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kingsettcapital.sharepoint.com/workspace/Swing Loans Temp Library/KS Templates/"/>
    </mc:Choice>
  </mc:AlternateContent>
  <xr:revisionPtr revIDLastSave="60" documentId="8_{96C2D6F7-4752-48E5-B451-7EE067B2F596}" xr6:coauthVersionLast="47" xr6:coauthVersionMax="47" xr10:uidLastSave="{5DD39D3C-B50E-4E3E-973D-E30258DEEEA2}"/>
  <bookViews>
    <workbookView xWindow="-120" yWindow="-120" windowWidth="29040" windowHeight="15720" tabRatio="812" activeTab="1" xr2:uid="{00000000-000D-0000-FFFF-FFFF00000000}"/>
  </bookViews>
  <sheets>
    <sheet name="Summary" sheetId="52" r:id="rId1"/>
    <sheet name="Economics" sheetId="5" r:id="rId2"/>
    <sheet name="Buydown Calc" sheetId="50" state="hidden" r:id="rId3"/>
    <sheet name="ControlBackEnd" sheetId="34" state="hidden" r:id="rId4"/>
    <sheet name="PremiumBackEnd" sheetId="47" state="hidden" r:id="rId5"/>
    <sheet name="Premium&amp;DSCBackEndNEW" sheetId="58" state="hidden" r:id="rId6"/>
    <sheet name="BenchmarkBackEnd" sheetId="36" state="hidden" r:id="rId7"/>
    <sheet name="Rent Roll" sheetId="42" r:id="rId8"/>
    <sheet name="Utilities" sheetId="54" r:id="rId9"/>
    <sheet name="PNW Verification" sheetId="53" r:id="rId10"/>
    <sheet name="Sales Comps" sheetId="40" r:id="rId11"/>
    <sheet name="Leasing Comps" sheetId="41" r:id="rId12"/>
    <sheet name="Budget" sheetId="55" r:id="rId13"/>
    <sheet name="Int Reserve - Single Loan" sheetId="56" r:id="rId14"/>
    <sheet name="Int Reserve - A-B Loan" sheetId="57" r:id="rId15"/>
    <sheet name="KS Database Inputs" sheetId="51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123Graph_A" localSheetId="9" hidden="1">#REF!</definedName>
    <definedName name="__123Graph_A" localSheetId="7" hidden="1">[1]RENT!#REF!</definedName>
    <definedName name="__123Graph_A" localSheetId="0" hidden="1">[1]RENT!#REF!</definedName>
    <definedName name="__123Graph_A" hidden="1">[1]RENT!#REF!</definedName>
    <definedName name="__123Graph_B" localSheetId="9" hidden="1">#REF!</definedName>
    <definedName name="__123Graph_B" localSheetId="7" hidden="1">[1]RENT!#REF!</definedName>
    <definedName name="__123Graph_B" localSheetId="0" hidden="1">[1]RENT!#REF!</definedName>
    <definedName name="__123Graph_B" hidden="1">[1]RENT!#REF!</definedName>
    <definedName name="__123Graph_C" localSheetId="9" hidden="1">#REF!</definedName>
    <definedName name="__123Graph_C" localSheetId="7" hidden="1">[1]RENT!#REF!</definedName>
    <definedName name="__123Graph_C" localSheetId="0" hidden="1">[1]RENT!#REF!</definedName>
    <definedName name="__123Graph_C" hidden="1">[1]RENT!#REF!</definedName>
    <definedName name="__123Graph_D" localSheetId="9" hidden="1">#REF!</definedName>
    <definedName name="__123Graph_D" localSheetId="7" hidden="1">[1]RENT!#REF!</definedName>
    <definedName name="__123Graph_D" localSheetId="0" hidden="1">[1]RENT!#REF!</definedName>
    <definedName name="__123Graph_D" hidden="1">[1]RENT!#REF!</definedName>
    <definedName name="__123Graph_E" localSheetId="9" hidden="1">#REF!</definedName>
    <definedName name="__123Graph_E" localSheetId="7" hidden="1">[1]RENT!#REF!</definedName>
    <definedName name="__123Graph_E" localSheetId="0" hidden="1">[1]RENT!#REF!</definedName>
    <definedName name="__123Graph_E" hidden="1">[1]RENT!#REF!</definedName>
    <definedName name="__123Graph_F" localSheetId="9" hidden="1">#REF!</definedName>
    <definedName name="__123Graph_F" localSheetId="7" hidden="1">[1]RENT!#REF!</definedName>
    <definedName name="__123Graph_F" localSheetId="0" hidden="1">[1]RENT!#REF!</definedName>
    <definedName name="__123Graph_F" hidden="1">[1]RENT!#REF!</definedName>
    <definedName name="__R">'[2]YM Tranche 2'!$F$7</definedName>
    <definedName name="_2484_1_00">"Project_number"</definedName>
    <definedName name="_bdm.032B6A61AC4245F38402E8892B7DF646.edm" hidden="1">#REF!</definedName>
    <definedName name="_bdm.07F8562E7D8A4CF19CEB616251F51789.edm" localSheetId="9" hidden="1">#REF!</definedName>
    <definedName name="_bdm.07F8562E7D8A4CF19CEB616251F51789.edm" hidden="1">#REF!</definedName>
    <definedName name="_bdm.170078CB4FEA48B1B65B85124BD77156.edm" localSheetId="9" hidden="1">#REF!</definedName>
    <definedName name="_bdm.170078CB4FEA48B1B65B85124BD77156.edm" hidden="1">#REF!</definedName>
    <definedName name="_bdm.1736A87DBC4F4A24BBB5A012998585F8.edm" localSheetId="9" hidden="1">#REF!</definedName>
    <definedName name="_bdm.1736A87DBC4F4A24BBB5A012998585F8.edm" hidden="1">#REF!</definedName>
    <definedName name="_bdm.1A8684A388EA4001BF963A35C7E77B87.edm" localSheetId="9" hidden="1">#REF!</definedName>
    <definedName name="_bdm.1A8684A388EA4001BF963A35C7E77B87.edm" hidden="1">#REF!</definedName>
    <definedName name="_bdm.1FF0C8BA539349C189CE813E9CF95A59.edm" localSheetId="9" hidden="1">#REF!</definedName>
    <definedName name="_bdm.1FF0C8BA539349C189CE813E9CF95A59.edm" hidden="1">#REF!</definedName>
    <definedName name="_bdm.22B82C7E916145548A42C9573EA48D04.edm" localSheetId="9" hidden="1">#REF!</definedName>
    <definedName name="_bdm.22B82C7E916145548A42C9573EA48D04.edm" hidden="1">#REF!</definedName>
    <definedName name="_bdm.3A0150B2E9604DE886841131BBE995FC.edm" localSheetId="9" hidden="1">#REF!</definedName>
    <definedName name="_bdm.3A0150B2E9604DE886841131BBE995FC.edm" hidden="1">#REF!</definedName>
    <definedName name="_bdm.47606B74A1A3464195E20A5F48A595C4.edm" localSheetId="9" hidden="1">#REF!</definedName>
    <definedName name="_bdm.47606B74A1A3464195E20A5F48A595C4.edm" hidden="1">#REF!</definedName>
    <definedName name="_bdm.5861D4789C3A412EB937C843EC5EE8EA.edm" localSheetId="9" hidden="1">#REF!</definedName>
    <definedName name="_bdm.5861D4789C3A412EB937C843EC5EE8EA.edm" hidden="1">#REF!</definedName>
    <definedName name="_bdm.5D5B43FD5E3841828419D8DEF87D92B7.edm" localSheetId="9" hidden="1">#REF!</definedName>
    <definedName name="_bdm.5D5B43FD5E3841828419D8DEF87D92B7.edm" hidden="1">#REF!</definedName>
    <definedName name="_bdm.667BAB146D4A42E3841A3533F55FA601.edm" localSheetId="9" hidden="1">#REF!</definedName>
    <definedName name="_bdm.667BAB146D4A42E3841A3533F55FA601.edm" hidden="1">#REF!</definedName>
    <definedName name="_bdm.6CA87658C685436DAA3D8CF0FF3A4C6F.edm" localSheetId="9" hidden="1">#REF!</definedName>
    <definedName name="_bdm.6CA87658C685436DAA3D8CF0FF3A4C6F.edm" hidden="1">#REF!</definedName>
    <definedName name="_bdm.6DCB9BF3FE6C4025AE39FC5BFDB3FC34.edm" localSheetId="9" hidden="1">#REF!</definedName>
    <definedName name="_bdm.6DCB9BF3FE6C4025AE39FC5BFDB3FC34.edm" hidden="1">#REF!</definedName>
    <definedName name="_bdm.81E89FE11E0E4EAE923C13E25DA00240.edm" localSheetId="9" hidden="1">#REF!</definedName>
    <definedName name="_bdm.81E89FE11E0E4EAE923C13E25DA00240.edm" hidden="1">#REF!</definedName>
    <definedName name="_bdm.84EC8396C75A40D2BE8D808975AA2D46.edm" localSheetId="9" hidden="1">#REF!</definedName>
    <definedName name="_bdm.84EC8396C75A40D2BE8D808975AA2D46.edm" hidden="1">#REF!</definedName>
    <definedName name="_bdm.87E1070EDF0546AF90E7BB38B24D7B9D.edm" localSheetId="9" hidden="1">#REF!</definedName>
    <definedName name="_bdm.87E1070EDF0546AF90E7BB38B24D7B9D.edm" hidden="1">#REF!</definedName>
    <definedName name="_bdm.886A0A840A194FA19A248B88449BB9D9.edm" localSheetId="9" hidden="1">#REF!</definedName>
    <definedName name="_bdm.886A0A840A194FA19A248B88449BB9D9.edm" hidden="1">#REF!</definedName>
    <definedName name="_bdm.89C95AC71CE6435185BE3CEEB5AABDAF.edm" localSheetId="9" hidden="1">#REF!</definedName>
    <definedName name="_bdm.89C95AC71CE6435185BE3CEEB5AABDAF.edm" hidden="1">#REF!</definedName>
    <definedName name="_bdm.9174A095C14E462497684E54745CA076.edm" localSheetId="9" hidden="1">#REF!</definedName>
    <definedName name="_bdm.9174A095C14E462497684E54745CA076.edm" hidden="1">#REF!</definedName>
    <definedName name="_bdm.93F5B329718B493AB5DF1B4785DB6F21.edm" localSheetId="9" hidden="1">#REF!</definedName>
    <definedName name="_bdm.93F5B329718B493AB5DF1B4785DB6F21.edm" hidden="1">#REF!</definedName>
    <definedName name="_bdm.962BBD42AD7E4A2A9E1C6B79D9654877.edm" localSheetId="9" hidden="1">#REF!</definedName>
    <definedName name="_bdm.962BBD42AD7E4A2A9E1C6B79D9654877.edm" hidden="1">#REF!</definedName>
    <definedName name="_bdm.96572B0199EC4D22B41EF6EDB05F0795.edm" localSheetId="9" hidden="1">#REF!</definedName>
    <definedName name="_bdm.96572B0199EC4D22B41EF6EDB05F0795.edm" hidden="1">#REF!</definedName>
    <definedName name="_bdm.96FE9864591E431E91D9DAECF0599ACF.edm" localSheetId="9" hidden="1">#REF!</definedName>
    <definedName name="_bdm.96FE9864591E431E91D9DAECF0599ACF.edm" hidden="1">#REF!</definedName>
    <definedName name="_bdm.A97F32054DA348E0BF8AA8B9B4FB8DDB.edm" localSheetId="9" hidden="1">#REF!</definedName>
    <definedName name="_bdm.A97F32054DA348E0BF8AA8B9B4FB8DDB.edm" hidden="1">#REF!</definedName>
    <definedName name="_bdm.B202C0D7E75846559482B28A6BCA667E.edm" localSheetId="9" hidden="1">#REF!</definedName>
    <definedName name="_bdm.B202C0D7E75846559482B28A6BCA667E.edm" hidden="1">#REF!</definedName>
    <definedName name="_bdm.BA4E19D99ABF40F6AEFBD19E62DE9B81.edm" localSheetId="9" hidden="1">#REF!</definedName>
    <definedName name="_bdm.BA4E19D99ABF40F6AEFBD19E62DE9B81.edm" hidden="1">#REF!</definedName>
    <definedName name="_bdm.CBBCDB2E5DF14348A66F6F1E434D00E8.edm" localSheetId="9" hidden="1">#REF!</definedName>
    <definedName name="_bdm.CBBCDB2E5DF14348A66F6F1E434D00E8.edm" hidden="1">#REF!</definedName>
    <definedName name="_bdm.D6B6F6CABD0A40B290BA338CD1733651.edm" localSheetId="9" hidden="1">#REF!</definedName>
    <definedName name="_bdm.D6B6F6CABD0A40B290BA338CD1733651.edm" hidden="1">#REF!</definedName>
    <definedName name="_bdm.DC008E67391147718A9DE5691507E6FA.edm" localSheetId="9" hidden="1">#REF!</definedName>
    <definedName name="_bdm.DC008E67391147718A9DE5691507E6FA.edm" hidden="1">#REF!</definedName>
    <definedName name="_bdm.E2C9FF5B4C9A43E1960D799C61C55AA0.edm" localSheetId="9" hidden="1">#REF!</definedName>
    <definedName name="_bdm.E2C9FF5B4C9A43E1960D799C61C55AA0.edm" hidden="1">#REF!</definedName>
    <definedName name="_bdm.FAAFBA45620A4A78A544B5765D201FA4.edm" localSheetId="9" hidden="1">#REF!</definedName>
    <definedName name="_bdm.FAAFBA45620A4A78A544B5765D201FA4.edm" hidden="1">#REF!</definedName>
    <definedName name="_Fill" localSheetId="9" hidden="1">#REF!</definedName>
    <definedName name="_Fill" hidden="1">#REF!</definedName>
    <definedName name="_Fill2" localSheetId="9" hidden="1">#REF!</definedName>
    <definedName name="_Fill2" hidden="1">#REF!</definedName>
    <definedName name="_xlnm._FilterDatabase" localSheetId="7" hidden="1">'Rent Roll'!$C$29:$X$251</definedName>
    <definedName name="_Key1" localSheetId="13" hidden="1">#REF!</definedName>
    <definedName name="_Key1" localSheetId="9" hidden="1">#REF!</definedName>
    <definedName name="_Key1" localSheetId="0" hidden="1">#REF!</definedName>
    <definedName name="_Key1" hidden="1">#REF!</definedName>
    <definedName name="_Key2" localSheetId="13" hidden="1">#REF!</definedName>
    <definedName name="_Key2" localSheetId="9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9" hidden="1">#REF!</definedName>
    <definedName name="_Sort" hidden="1">#REF!</definedName>
    <definedName name="_Table2_In1" localSheetId="9" hidden="1">#REF!</definedName>
    <definedName name="_Table2_In1" hidden="1">#REF!</definedName>
    <definedName name="_Table2_In2" localSheetId="9" hidden="1">#REF!</definedName>
    <definedName name="_Table2_In2" hidden="1">#REF!</definedName>
    <definedName name="_Table2_Out" localSheetId="9" hidden="1">#REF!</definedName>
    <definedName name="_Table2_Out" hidden="1">#REF!</definedName>
    <definedName name="a" localSheetId="0">'[3]Cash Flow'!$A$14:$W$194</definedName>
    <definedName name="a">'[3]Cash Flow'!$A$14:$W$194</definedName>
    <definedName name="aaa" localSheetId="9" hidden="1">{"CASHFLOW",#N/A,FALSE,"Northpointe"}</definedName>
    <definedName name="aaa" localSheetId="4" hidden="1">{"CASHFLOW",#N/A,FALSE,"Northpointe"}</definedName>
    <definedName name="aaa" localSheetId="7" hidden="1">{"CASHFLOW",#N/A,FALSE,"Northpointe"}</definedName>
    <definedName name="aaa" localSheetId="0" hidden="1">{"CASHFLOW",#N/A,FALSE,"Northpointe"}</definedName>
    <definedName name="aaa" hidden="1">{"CASHFLOW",#N/A,FALSE,"Northpointe"}</definedName>
    <definedName name="AccessDatabase" hidden="1">"J:\Condo\The Bonavista\The Bonavista.mdb"</definedName>
    <definedName name="Adera1" hidden="1">#REF!</definedName>
    <definedName name="adf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adf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adf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adf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adf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anscount" hidden="1">1</definedName>
    <definedName name="aqret" localSheetId="9" hidden="1">{"summary",#N/A,TRUE,"SUMMARY";"oneyear",#N/A,TRUE,"PROJECTIONS"}</definedName>
    <definedName name="aqret" localSheetId="4" hidden="1">{"summary",#N/A,TRUE,"SUMMARY";"oneyear",#N/A,TRUE,"PROJECTIONS"}</definedName>
    <definedName name="aqret" localSheetId="7" hidden="1">{"summary",#N/A,TRUE,"SUMMARY";"oneyear",#N/A,TRUE,"PROJECTIONS"}</definedName>
    <definedName name="aqret" localSheetId="0" hidden="1">{"summary",#N/A,TRUE,"SUMMARY";"oneyear",#N/A,TRUE,"PROJECTIONS"}</definedName>
    <definedName name="aqret" hidden="1">{"summary",#N/A,TRUE,"SUMMARY";"oneyear",#N/A,TRUE,"PROJECTIONS"}</definedName>
    <definedName name="Ass" localSheetId="9" hidden="1">#REF!</definedName>
    <definedName name="Ass" localSheetId="7" hidden="1">[4]RENT!#REF!</definedName>
    <definedName name="Ass" localSheetId="0" hidden="1">[4]RENT!#REF!</definedName>
    <definedName name="Ass" hidden="1">[4]RENT!#REF!</definedName>
    <definedName name="Button_1">"CalifornianCasa_UnitDetails_List"</definedName>
    <definedName name="Button_80">"The_Bonavista_UnitDetails_List"</definedName>
    <definedName name="CashFlow" localSheetId="0">'[5]Cash Flow'!$A$14:$W$194</definedName>
    <definedName name="CashFlow">'[5]Cash Flow'!$A$14:$W$194</definedName>
    <definedName name="CCC" localSheetId="9" hidden="1">{#N/A,#N/A,FALSE,"Consolidated";#N/A,#N/A,FALSE,"Bell_Rich";#N/A,#N/A,FALSE,"Assmp_2.0";#N/A,#N/A,FALSE,"Proforma_2.0";#N/A,#N/A,FALSE,"IRR_2.0";#N/A,#N/A,FALSE,"Assumptions_2.5";#N/A,#N/A,FALSE,"Assumptions_3.0";#N/A,#N/A,FALSE,"Proforma_3.0"}</definedName>
    <definedName name="CCC" localSheetId="4" hidden="1">{#N/A,#N/A,FALSE,"Consolidated";#N/A,#N/A,FALSE,"Bell_Rich";#N/A,#N/A,FALSE,"Assmp_2.0";#N/A,#N/A,FALSE,"Proforma_2.0";#N/A,#N/A,FALSE,"IRR_2.0";#N/A,#N/A,FALSE,"Assumptions_2.5";#N/A,#N/A,FALSE,"Assumptions_3.0";#N/A,#N/A,FALSE,"Proforma_3.0"}</definedName>
    <definedName name="CCC" localSheetId="7" hidden="1">{#N/A,#N/A,FALSE,"Consolidated";#N/A,#N/A,FALSE,"Bell_Rich";#N/A,#N/A,FALSE,"Assmp_2.0";#N/A,#N/A,FALSE,"Proforma_2.0";#N/A,#N/A,FALSE,"IRR_2.0";#N/A,#N/A,FALSE,"Assumptions_2.5";#N/A,#N/A,FALSE,"Assumptions_3.0";#N/A,#N/A,FALSE,"Proforma_3.0"}</definedName>
    <definedName name="CCC" localSheetId="0" hidden="1">{#N/A,#N/A,FALSE,"Consolidated";#N/A,#N/A,FALSE,"Bell_Rich";#N/A,#N/A,FALSE,"Assmp_2.0";#N/A,#N/A,FALSE,"Proforma_2.0";#N/A,#N/A,FALSE,"IRR_2.0";#N/A,#N/A,FALSE,"Assumptions_2.5";#N/A,#N/A,FALSE,"Assumptions_3.0";#N/A,#N/A,FALSE,"Proforma_3.0"}</definedName>
    <definedName name="CCC" hidden="1">{#N/A,#N/A,FALSE,"Consolidated";#N/A,#N/A,FALSE,"Bell_Rich";#N/A,#N/A,FALSE,"Assmp_2.0";#N/A,#N/A,FALSE,"Proforma_2.0";#N/A,#N/A,FALSE,"IRR_2.0";#N/A,#N/A,FALSE,"Assumptions_2.5";#N/A,#N/A,FALSE,"Assumptions_3.0";#N/A,#N/A,FALSE,"Proforma_3.0"}</definedName>
    <definedName name="chart_balance">OFFSET(#REF!,2,0,#REF!,1)</definedName>
    <definedName name="chart_date">OFFSET(#REF!,2,0,#REF!,1)</definedName>
    <definedName name="chart_date1">OFFSET(#REF!,2,0,#REF!,1)</definedName>
    <definedName name="Chart1" localSheetId="0">[6]MADRONA!$M$4</definedName>
    <definedName name="Chart1">[6]MADRONA!$M$4</definedName>
    <definedName name="Chart2" localSheetId="0">[6]MADRONA!$N$2</definedName>
    <definedName name="Chart2">[6]MADRONA!$N$2</definedName>
    <definedName name="CIQWBGuid" hidden="1">"Cameron Arms VMcc CIM V3.xlsm"</definedName>
    <definedName name="compound_period" localSheetId="0">INDEX({2,12,4,1},MATCH(#REF!,Summary!compound_periods,0))</definedName>
    <definedName name="compound_period">INDEX({2,12,4,1},MATCH(#REF!,[0]!compound_periods,0))</definedName>
    <definedName name="compound_periods" localSheetId="0">{"Semi-Annually";"Monthly";"Quarterly";"Annually"}</definedName>
    <definedName name="compound_periods">{"Semi-Annually";"Monthly";"Quarterly";"Annually"}</definedName>
    <definedName name="dasfdasf" localSheetId="9" hidden="1">{"summary",#N/A,TRUE,"SUMMARY";"rents",#N/A,TRUE,"RENTS";"costs",#N/A,TRUE,"COSTS";#N/A,#N/A,TRUE,"ADJUST";"mortgages",#N/A,TRUE,"FINANCING";"base",#N/A,TRUE,"PROJECTIONS";"five",#N/A,TRUE,"PROJECTIONS"}</definedName>
    <definedName name="dasfdasf" localSheetId="4" hidden="1">{"summary",#N/A,TRUE,"SUMMARY";"rents",#N/A,TRUE,"RENTS";"costs",#N/A,TRUE,"COSTS";#N/A,#N/A,TRUE,"ADJUST";"mortgages",#N/A,TRUE,"FINANCING";"base",#N/A,TRUE,"PROJECTIONS";"five",#N/A,TRUE,"PROJECTIONS"}</definedName>
    <definedName name="dasfdasf" localSheetId="7" hidden="1">{"summary",#N/A,TRUE,"SUMMARY";"rents",#N/A,TRUE,"RENTS";"costs",#N/A,TRUE,"COSTS";#N/A,#N/A,TRUE,"ADJUST";"mortgages",#N/A,TRUE,"FINANCING";"base",#N/A,TRUE,"PROJECTIONS";"five",#N/A,TRUE,"PROJECTIONS"}</definedName>
    <definedName name="dasfdasf" localSheetId="0" hidden="1">{"summary",#N/A,TRUE,"SUMMARY";"rents",#N/A,TRUE,"RENTS";"costs",#N/A,TRUE,"COSTS";#N/A,#N/A,TRUE,"ADJUST";"mortgages",#N/A,TRUE,"FINANCING";"base",#N/A,TRUE,"PROJECTIONS";"five",#N/A,TRUE,"PROJECTIONS"}</definedName>
    <definedName name="dasfdasf" hidden="1">{"summary",#N/A,TRUE,"SUMMARY";"rents",#N/A,TRUE,"RENTS";"costs",#N/A,TRUE,"COSTS";#N/A,#N/A,TRUE,"ADJUST";"mortgages",#N/A,TRUE,"FINANCING";"base",#N/A,TRUE,"PROJECTIONS";"five",#N/A,TRUE,"PROJECTIONS"}</definedName>
    <definedName name="data">'[7]download realigned'!$A$1:$Y$12683</definedName>
    <definedName name="DEBT" localSheetId="0">'[8]Senior Mortgage'!$A$12:$F$32</definedName>
    <definedName name="DEBT">'[8]Senior Mortgage'!$A$12:$F$32</definedName>
    <definedName name="dfdf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df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df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df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df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gsg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gsg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gsg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gsg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gsg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sfgsdg" localSheetId="9" hidden="1">{"summary",#N/A,TRUE,"SUMMARY";"rents",#N/A,TRUE,"RENTS";"costs",#N/A,TRUE,"COSTS";#N/A,#N/A,TRUE,"ADJUST";"mortgages",#N/A,TRUE,"FINANCING";"mtganalysis",#N/A,TRUE,"FINANCING";"mtgprice1",#N/A,TRUE,"FINANCING";"base",#N/A,TRUE,"PROJECTIONS";"oneyear",#N/A,TRUE,"PROJECTIONS";"five",#N/A,TRUE,"PROJECTIONS";"ten",#N/A,TRUE,"PROJECTIONS";"assumptions",#N/A,TRUE,"PROJECTIONS"}</definedName>
    <definedName name="dsfgsdg" localSheetId="4" hidden="1">{"summary",#N/A,TRUE,"SUMMARY";"rents",#N/A,TRUE,"RENTS";"costs",#N/A,TRUE,"COSTS";#N/A,#N/A,TRUE,"ADJUST";"mortgages",#N/A,TRUE,"FINANCING";"mtganalysis",#N/A,TRUE,"FINANCING";"mtgprice1",#N/A,TRUE,"FINANCING";"base",#N/A,TRUE,"PROJECTIONS";"oneyear",#N/A,TRUE,"PROJECTIONS";"five",#N/A,TRUE,"PROJECTIONS";"ten",#N/A,TRUE,"PROJECTIONS";"assumptions",#N/A,TRUE,"PROJECTIONS"}</definedName>
    <definedName name="dsfgsdg" localSheetId="7" hidden="1">{"summary",#N/A,TRUE,"SUMMARY";"rents",#N/A,TRUE,"RENTS";"costs",#N/A,TRUE,"COSTS";#N/A,#N/A,TRUE,"ADJUST";"mortgages",#N/A,TRUE,"FINANCING";"mtganalysis",#N/A,TRUE,"FINANCING";"mtgprice1",#N/A,TRUE,"FINANCING";"base",#N/A,TRUE,"PROJECTIONS";"oneyear",#N/A,TRUE,"PROJECTIONS";"five",#N/A,TRUE,"PROJECTIONS";"ten",#N/A,TRUE,"PROJECTIONS";"assumptions",#N/A,TRUE,"PROJECTIONS"}</definedName>
    <definedName name="dsfgsdg" localSheetId="0" hidden="1">{"summary",#N/A,TRUE,"SUMMARY";"rents",#N/A,TRUE,"RENTS";"costs",#N/A,TRUE,"COSTS";#N/A,#N/A,TRUE,"ADJUST";"mortgages",#N/A,TRUE,"FINANCING";"mtganalysis",#N/A,TRUE,"FINANCING";"mtgprice1",#N/A,TRUE,"FINANCING";"base",#N/A,TRUE,"PROJECTIONS";"oneyear",#N/A,TRUE,"PROJECTIONS";"five",#N/A,TRUE,"PROJECTIONS";"ten",#N/A,TRUE,"PROJECTIONS";"assumptions",#N/A,TRUE,"PROJECTIONS"}</definedName>
    <definedName name="dsfgsdg" hidden="1">{"summary",#N/A,TRUE,"SUMMARY";"rents",#N/A,TRUE,"RENTS";"costs",#N/A,TRUE,"COSTS";#N/A,#N/A,TRUE,"ADJUST";"mortgages",#N/A,TRUE,"FINANCING";"mtganalysis",#N/A,TRUE,"FINANCING";"mtgprice1",#N/A,TRUE,"FINANCING";"base",#N/A,TRUE,"PROJECTIONS";"oneyear",#N/A,TRUE,"PROJECTIONS";"five",#N/A,TRUE,"PROJECTIONS";"ten",#N/A,TRUE,"PROJECTIONS";"assumptions",#N/A,TRUE,"PROJECTIONS"}</definedName>
    <definedName name="dsthdryjcghmcg" localSheetId="9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dsthdryjcghmcg" localSheetId="4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dsthdryjcghmcg" localSheetId="7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dsthdryjcghmcg" localSheetId="0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dsthdryjcghmcg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eret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eret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eret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eret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eret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r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r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r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r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r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s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s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s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s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s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inal2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inal2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inal2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inal2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inal2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latRentRoll" localSheetId="0">[9]WAVG!$A$7:$J$65536</definedName>
    <definedName name="FlatRentRoll">[9]WAVG!$A$7:$J$65536</definedName>
    <definedName name="fqww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qww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qww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qww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qww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requency" localSheetId="0">{"Annually";"Semi-Annually";"Quarterly";"Bi-Monthly";"Monthly";"Semi-Monthly";"Bi-Weekly";"Weekly"}</definedName>
    <definedName name="frequency">{"Annually";"Semi-Annually";"Quarterly";"Bi-Monthly";"Monthly";"Semi-Monthly";"Bi-Weekly";"Weekly"}</definedName>
    <definedName name="fuck" localSheetId="0">[6]MADRONA!$B$68:$B$73</definedName>
    <definedName name="fuck">[6]MADRONA!$B$68:$B$73</definedName>
    <definedName name="fuckyou" localSheetId="0">[6]MADRONA!$B$24:$Q$54</definedName>
    <definedName name="fuckyou">[6]MADRONA!$B$24:$Q$54</definedName>
    <definedName name="ggf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gf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gf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gf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gf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h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h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h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h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h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s" localSheetId="9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gs" localSheetId="4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gs" localSheetId="7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gs" localSheetId="0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gs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gss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ss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ss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ss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ss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" localSheetId="0">[6]MADRONA!$B$94:$C$153</definedName>
    <definedName name="h">[6]MADRONA!$B$94:$C$153</definedName>
    <definedName name="hrt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rt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rt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rt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rt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ssssa" localSheetId="9" hidden="1">{"summary",#N/A,TRUE,"SUMMARY";"rents",#N/A,TRUE,"RENTS";"costs",#N/A,TRUE,"COSTS";#N/A,#N/A,TRUE,"ADJUST";"mortgages",#N/A,TRUE,"FINANCING";"base",#N/A,TRUE,"PROJECTIONS";"five",#N/A,TRUE,"PROJECTIONS";"ten",#N/A,TRUE,"PROJECTIONS"}</definedName>
    <definedName name="hssssa" localSheetId="4" hidden="1">{"summary",#N/A,TRUE,"SUMMARY";"rents",#N/A,TRUE,"RENTS";"costs",#N/A,TRUE,"COSTS";#N/A,#N/A,TRUE,"ADJUST";"mortgages",#N/A,TRUE,"FINANCING";"base",#N/A,TRUE,"PROJECTIONS";"five",#N/A,TRUE,"PROJECTIONS";"ten",#N/A,TRUE,"PROJECTIONS"}</definedName>
    <definedName name="hssssa" localSheetId="7" hidden="1">{"summary",#N/A,TRUE,"SUMMARY";"rents",#N/A,TRUE,"RENTS";"costs",#N/A,TRUE,"COSTS";#N/A,#N/A,TRUE,"ADJUST";"mortgages",#N/A,TRUE,"FINANCING";"base",#N/A,TRUE,"PROJECTIONS";"five",#N/A,TRUE,"PROJECTIONS";"ten",#N/A,TRUE,"PROJECTIONS"}</definedName>
    <definedName name="hssssa" localSheetId="0" hidden="1">{"summary",#N/A,TRUE,"SUMMARY";"rents",#N/A,TRUE,"RENTS";"costs",#N/A,TRUE,"COSTS";#N/A,#N/A,TRUE,"ADJUST";"mortgages",#N/A,TRUE,"FINANCING";"base",#N/A,TRUE,"PROJECTIONS";"five",#N/A,TRUE,"PROJECTIONS";"ten",#N/A,TRUE,"PROJECTIONS"}</definedName>
    <definedName name="hssssa" hidden="1">{"summary",#N/A,TRUE,"SUMMARY";"rents",#N/A,TRUE,"RENTS";"costs",#N/A,TRUE,"COSTS";#N/A,#N/A,TRUE,"ADJUST";"mortgages",#N/A,TRUE,"FINANCING";"base",#N/A,TRUE,"PROJECTIONS";"five",#N/A,TRUE,"PROJECTIONS";"ten",#N/A,TRUE,"PROJECTIONS"}</definedName>
    <definedName name="ImportName" localSheetId="0">[5]Summary!$C$7</definedName>
    <definedName name="ImportName">[5]Summary!$C$7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41379.5163888889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LookupRange" localSheetId="0">'[5]Financing CF '!$F$7:$AB$49</definedName>
    <definedName name="IrrLookupRange">'[5]Financing CF '!$F$7:$AB$49</definedName>
    <definedName name="khgkjh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khgkjh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khgkjh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khgkjh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khgkjh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kj" localSheetId="9" hidden="1">{"CASHFLOW",#N/A,FALSE,"Northpointe"}</definedName>
    <definedName name="kj" localSheetId="4" hidden="1">{"CASHFLOW",#N/A,FALSE,"Northpointe"}</definedName>
    <definedName name="kj" localSheetId="7" hidden="1">{"CASHFLOW",#N/A,FALSE,"Northpointe"}</definedName>
    <definedName name="kj" localSheetId="0" hidden="1">{"CASHFLOW",#N/A,FALSE,"Northpointe"}</definedName>
    <definedName name="kj" hidden="1">{"CASHFLOW",#N/A,FALSE,"Northpointe"}</definedName>
    <definedName name="kyle" localSheetId="9" hidden="1">{"CASHFLOW",#N/A,FALSE,"Northpointe"}</definedName>
    <definedName name="kyle" localSheetId="4" hidden="1">{"CASHFLOW",#N/A,FALSE,"Northpointe"}</definedName>
    <definedName name="kyle" localSheetId="7" hidden="1">{"CASHFLOW",#N/A,FALSE,"Northpointe"}</definedName>
    <definedName name="kyle" localSheetId="0" hidden="1">{"CASHFLOW",#N/A,FALSE,"Northpointe"}</definedName>
    <definedName name="kyle" hidden="1">{"CASHFLOW",#N/A,FALSE,"Northpointe"}</definedName>
    <definedName name="limcount" hidden="1">1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xs" localSheetId="14">'Int Reserve - A-B Loan'!$I$24:$I$29</definedName>
    <definedName name="Maxs" localSheetId="13">'Int Reserve - Single Loan'!$V$24:$V$29</definedName>
    <definedName name="Maxs2" localSheetId="14">'Int Reserve - A-B Loan'!$R$24:$R$29</definedName>
    <definedName name="Maxs2" localSheetId="13">'Int Reserve - Single Loan'!$I$24:$I$29</definedName>
    <definedName name="Mins" localSheetId="14">'Int Reserve - A-B Loan'!$H$24:$H$29</definedName>
    <definedName name="Mins" localSheetId="13">'Int Reserve - Single Loan'!$U$24:$U$29</definedName>
    <definedName name="Mins2" localSheetId="14">'Int Reserve - A-B Loan'!$Q$24:$Q$29</definedName>
    <definedName name="Mins2" localSheetId="13">'Int Reserve - Single Loan'!$H$24:$H$29</definedName>
    <definedName name="months_per_period" localSheetId="0">INDEX({12,6,3,2,1,0.5,0.5,0.25},MATCH(#REF!,Summary!frequency,0))</definedName>
    <definedName name="months_per_period">INDEX({12,6,3,2,1,0.5,0.5,0.25},MATCH(#REF!,frequency,0))</definedName>
    <definedName name="NewName" localSheetId="9" hidden="1">#REF!</definedName>
    <definedName name="NewName" hidden="1">#REF!</definedName>
    <definedName name="nio" localSheetId="0">'[10]Globa Ass''ns'!$J$8</definedName>
    <definedName name="nio">'[10]Globa Ass''ns'!$J$8</definedName>
    <definedName name="periods_per_year" localSheetId="0">INDEX({1,2,4,6,12,24,26,52},MATCH(#REF!,Summary!frequency,0))</definedName>
    <definedName name="periods_per_year">INDEX({1,2,4,6,12,24,26,52},MATCH(#REF!,frequency,0))</definedName>
    <definedName name="Pivot">"Rollover!$A$1:$G$10"</definedName>
    <definedName name="qw" localSheetId="9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qw" localSheetId="4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qw" localSheetId="7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qw" localSheetId="0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qw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Rates" localSheetId="14">'Int Reserve - A-B Loan'!$J$24:$J$29</definedName>
    <definedName name="Rates" localSheetId="13">'Int Reserve - Single Loan'!$W$24:$W$29</definedName>
    <definedName name="Rates2" localSheetId="14">'Int Reserve - A-B Loan'!$S$24:$S$29</definedName>
    <definedName name="Rates2" localSheetId="13">'Int Reserve - Single Loan'!$J$24:$J$29</definedName>
    <definedName name="REFI" localSheetId="0">'[8]Senior Mortgage'!$AT$5:$AV$304</definedName>
    <definedName name="REFI">'[8]Senior Mortgage'!$AT$5:$AV$304</definedName>
    <definedName name="rrr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rrr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rrr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rrr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rrr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sdsa" localSheetId="9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sdsa" localSheetId="4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sdsa" localSheetId="7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sdsa" localSheetId="0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sdsa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sencount" hidden="1">1</definedName>
    <definedName name="Table2" localSheetId="0">'[8]Senior Mortgage'!$AE$5:$AK$304</definedName>
    <definedName name="Table2">'[8]Senior Mortgage'!$AE$5:$AK$304</definedName>
    <definedName name="Table3" localSheetId="0">'[8]Senior Mortgage'!$AE$5:$AK$304</definedName>
    <definedName name="Table3">'[8]Senior Mortgage'!$AE$5:$AK$304</definedName>
    <definedName name="test" localSheetId="9" hidden="1">#REF!</definedName>
    <definedName name="test" localSheetId="7" hidden="1">[6]MADRONA!$A$2:$A$55</definedName>
    <definedName name="test" localSheetId="0" hidden="1">[6]MADRONA!$A$2:$A$55</definedName>
    <definedName name="test" hidden="1">[6]MADRONA!$A$2:$A$55</definedName>
    <definedName name="Total_No._Units" localSheetId="0">[11]Construction!$C$29</definedName>
    <definedName name="Total_No._Units">[11]Construction!$C$29</definedName>
    <definedName name="ts" localSheetId="9" hidden="1">{"CASHFLOW",#N/A,FALSE,"Northpointe"}</definedName>
    <definedName name="ts" localSheetId="4" hidden="1">{"CASHFLOW",#N/A,FALSE,"Northpointe"}</definedName>
    <definedName name="ts" localSheetId="7" hidden="1">{"CASHFLOW",#N/A,FALSE,"Northpointe"}</definedName>
    <definedName name="ts" localSheetId="0" hidden="1">{"CASHFLOW",#N/A,FALSE,"Northpointe"}</definedName>
    <definedName name="ts" hidden="1">{"CASHFLOW",#N/A,FALSE,"Northpointe"}</definedName>
    <definedName name="ttrrt" localSheetId="9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ttrrt" localSheetId="4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ttrrt" localSheetId="7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ttrrt" localSheetId="0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ttrrt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Unit_Type">ControlBackEnd!$C$48:$C$56</definedName>
    <definedName name="Update" localSheetId="9" hidden="1">#REF!</definedName>
    <definedName name="Update" localSheetId="0" hidden="1">#REF!</definedName>
    <definedName name="Update" hidden="1">#REF!</definedName>
    <definedName name="uu" localSheetId="0">[6]MADRONA!$J$31</definedName>
    <definedName name="uu">[6]MADRONA!$J$31</definedName>
    <definedName name="valuevx">42.314159</definedName>
    <definedName name="wr" localSheetId="9" hidden="1">{"CASHFLOW",#N/A,FALSE,"Northpointe"}</definedName>
    <definedName name="wr" localSheetId="4" hidden="1">{"CASHFLOW",#N/A,FALSE,"Northpointe"}</definedName>
    <definedName name="wr" localSheetId="7" hidden="1">{"CASHFLOW",#N/A,FALSE,"Northpointe"}</definedName>
    <definedName name="wr" localSheetId="0" hidden="1">{"CASHFLOW",#N/A,FALSE,"Northpointe"}</definedName>
    <definedName name="wr" hidden="1">{"CASHFLOW",#N/A,FALSE,"Northpointe"}</definedName>
    <definedName name="wrn.All." localSheetId="9" hidden="1">{#N/A,#N/A,FALSE,"Fallingbrook Assumptions";#N/A,#N/A,FALSE,"Fallingbrook Leasing";#N/A,#N/A,FALSE,"Stabilized NOI";#N/A,#N/A,FALSE,"Proforma";#N/A,#N/A,FALSE,"Graph 2";#N/A,#N/A,FALSE,"Fallingbrook DCF";#N/A,#N/A,FALSE,"Returns";#N/A,#N/A,FALSE,"Graph";#N/A,#N/A,FALSE,"Reconciliation";#N/A,#N/A,FALSE,"Mortgage Summary"}</definedName>
    <definedName name="wrn.All." localSheetId="4" hidden="1">{#N/A,#N/A,FALSE,"Fallingbrook Assumptions";#N/A,#N/A,FALSE,"Fallingbrook Leasing";#N/A,#N/A,FALSE,"Stabilized NOI";#N/A,#N/A,FALSE,"Proforma";#N/A,#N/A,FALSE,"Graph 2";#N/A,#N/A,FALSE,"Fallingbrook DCF";#N/A,#N/A,FALSE,"Returns";#N/A,#N/A,FALSE,"Graph";#N/A,#N/A,FALSE,"Reconciliation";#N/A,#N/A,FALSE,"Mortgage Summary"}</definedName>
    <definedName name="wrn.All." localSheetId="7" hidden="1">{#N/A,#N/A,FALSE,"Fallingbrook Assumptions";#N/A,#N/A,FALSE,"Fallingbrook Leasing";#N/A,#N/A,FALSE,"Stabilized NOI";#N/A,#N/A,FALSE,"Proforma";#N/A,#N/A,FALSE,"Graph 2";#N/A,#N/A,FALSE,"Fallingbrook DCF";#N/A,#N/A,FALSE,"Returns";#N/A,#N/A,FALSE,"Graph";#N/A,#N/A,FALSE,"Reconciliation";#N/A,#N/A,FALSE,"Mortgage Summary"}</definedName>
    <definedName name="wrn.All." localSheetId="0" hidden="1">{#N/A,#N/A,FALSE,"Fallingbrook Assumptions";#N/A,#N/A,FALSE,"Fallingbrook Leasing";#N/A,#N/A,FALSE,"Stabilized NOI";#N/A,#N/A,FALSE,"Proforma";#N/A,#N/A,FALSE,"Graph 2";#N/A,#N/A,FALSE,"Fallingbrook DCF";#N/A,#N/A,FALSE,"Returns";#N/A,#N/A,FALSE,"Graph";#N/A,#N/A,FALSE,"Reconciliation";#N/A,#N/A,FALSE,"Mortgage Summary"}</definedName>
    <definedName name="wrn.All." hidden="1">{#N/A,#N/A,FALSE,"Fallingbrook Assumptions";#N/A,#N/A,FALSE,"Fallingbrook Leasing";#N/A,#N/A,FALSE,"Stabilized NOI";#N/A,#N/A,FALSE,"Proforma";#N/A,#N/A,FALSE,"Graph 2";#N/A,#N/A,FALSE,"Fallingbrook DCF";#N/A,#N/A,FALSE,"Returns";#N/A,#N/A,FALSE,"Graph";#N/A,#N/A,FALSE,"Reconciliation";#N/A,#N/A,FALSE,"Mortgage Summary"}</definedName>
    <definedName name="wrn.Assumptions." localSheetId="9" hidden="1">{#N/A,#N/A,FALSE,"Leeds Assump";#N/A,#N/A,FALSE,"Berger Assump";#N/A,#N/A,FALSE,"O'Connor Assump";#N/A,#N/A,FALSE,"Capitol Assump";#N/A,#N/A,FALSE,"Metro Expenses"}</definedName>
    <definedName name="wrn.Assumptions." localSheetId="4" hidden="1">{#N/A,#N/A,FALSE,"Leeds Assump";#N/A,#N/A,FALSE,"Berger Assump";#N/A,#N/A,FALSE,"O'Connor Assump";#N/A,#N/A,FALSE,"Capitol Assump";#N/A,#N/A,FALSE,"Metro Expenses"}</definedName>
    <definedName name="wrn.Assumptions." localSheetId="7" hidden="1">{#N/A,#N/A,FALSE,"Leeds Assump";#N/A,#N/A,FALSE,"Berger Assump";#N/A,#N/A,FALSE,"O'Connor Assump";#N/A,#N/A,FALSE,"Capitol Assump";#N/A,#N/A,FALSE,"Metro Expenses"}</definedName>
    <definedName name="wrn.Assumptions." localSheetId="0" hidden="1">{#N/A,#N/A,FALSE,"Leeds Assump";#N/A,#N/A,FALSE,"Berger Assump";#N/A,#N/A,FALSE,"O'Connor Assump";#N/A,#N/A,FALSE,"Capitol Assump";#N/A,#N/A,FALSE,"Metro Expenses"}</definedName>
    <definedName name="wrn.Assumptions." hidden="1">{#N/A,#N/A,FALSE,"Leeds Assump";#N/A,#N/A,FALSE,"Berger Assump";#N/A,#N/A,FALSE,"O'Connor Assump";#N/A,#N/A,FALSE,"Capitol Assump";#N/A,#N/A,FALSE,"Metro Expenses"}</definedName>
    <definedName name="wrn.Complete._.Model." localSheetId="9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_.Model." localSheetId="4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_.Model." localSheetId="7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_.Model." localSheetId="0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DCF." localSheetId="9" hidden="1">{#N/A,#N/A,FALSE,"DCF-COM";#N/A,#N/A,FALSE,"VAC-COM"}</definedName>
    <definedName name="wrn.DCF." localSheetId="4" hidden="1">{#N/A,#N/A,FALSE,"DCF-COM";#N/A,#N/A,FALSE,"VAC-COM"}</definedName>
    <definedName name="wrn.DCF." localSheetId="7" hidden="1">{#N/A,#N/A,FALSE,"DCF-COM";#N/A,#N/A,FALSE,"VAC-COM"}</definedName>
    <definedName name="wrn.DCF." localSheetId="0" hidden="1">{#N/A,#N/A,FALSE,"DCF-COM";#N/A,#N/A,FALSE,"VAC-COM"}</definedName>
    <definedName name="wrn.DCF." hidden="1">{#N/A,#N/A,FALSE,"DCF-COM";#N/A,#N/A,FALSE,"VAC-COM"}</definedName>
    <definedName name="wrn.Expenses." localSheetId="9" hidden="1">{#N/A,#N/A,FALSE,"Leeds Expenses";#N/A,#N/A,FALSE,"Berber Expenses";#N/A,#N/A,FALSE,"Berger Op Costs";#N/A,#N/A,FALSE,"Berger Taxes";#N/A,#N/A,FALSE,"O'Connor Taxes";#N/A,#N/A,FALSE,"Metro Expenses";#N/A,#N/A,FALSE,"Cap. Sq. Expenses";#N/A,#N/A,FALSE,"Cap Sq. Taxes"}</definedName>
    <definedName name="wrn.Expenses." localSheetId="4" hidden="1">{#N/A,#N/A,FALSE,"Leeds Expenses";#N/A,#N/A,FALSE,"Berber Expenses";#N/A,#N/A,FALSE,"Berger Op Costs";#N/A,#N/A,FALSE,"Berger Taxes";#N/A,#N/A,FALSE,"O'Connor Taxes";#N/A,#N/A,FALSE,"Metro Expenses";#N/A,#N/A,FALSE,"Cap. Sq. Expenses";#N/A,#N/A,FALSE,"Cap Sq. Taxes"}</definedName>
    <definedName name="wrn.Expenses." localSheetId="7" hidden="1">{#N/A,#N/A,FALSE,"Leeds Expenses";#N/A,#N/A,FALSE,"Berber Expenses";#N/A,#N/A,FALSE,"Berger Op Costs";#N/A,#N/A,FALSE,"Berger Taxes";#N/A,#N/A,FALSE,"O'Connor Taxes";#N/A,#N/A,FALSE,"Metro Expenses";#N/A,#N/A,FALSE,"Cap. Sq. Expenses";#N/A,#N/A,FALSE,"Cap Sq. Taxes"}</definedName>
    <definedName name="wrn.Expenses." localSheetId="0" hidden="1">{#N/A,#N/A,FALSE,"Leeds Expenses";#N/A,#N/A,FALSE,"Berber Expenses";#N/A,#N/A,FALSE,"Berger Op Costs";#N/A,#N/A,FALSE,"Berger Taxes";#N/A,#N/A,FALSE,"O'Connor Taxes";#N/A,#N/A,FALSE,"Metro Expenses";#N/A,#N/A,FALSE,"Cap. Sq. Expenses";#N/A,#N/A,FALSE,"Cap Sq. Taxes"}</definedName>
    <definedName name="wrn.Expenses." hidden="1">{#N/A,#N/A,FALSE,"Leeds Expenses";#N/A,#N/A,FALSE,"Berber Expenses";#N/A,#N/A,FALSE,"Berger Op Costs";#N/A,#N/A,FALSE,"Berger Taxes";#N/A,#N/A,FALSE,"O'Connor Taxes";#N/A,#N/A,FALSE,"Metro Expenses";#N/A,#N/A,FALSE,"Cap. Sq. Expenses";#N/A,#N/A,FALSE,"Cap Sq. Taxes"}</definedName>
    <definedName name="wrn.Final." localSheetId="9" hidden="1">{"print",#N/A,TRUE,"jec1";"print",#N/A,TRUE,"jec2";"print",#N/A,TRUE,"jec3";"print",#N/A,TRUE,"jec4";"print",#N/A,TRUE,"jec5";"print",#N/A,TRUE,"jec6";"print",#N/A,TRUE,"jec7";"print",#N/A,TRUE,"jec8";"print",#N/A,TRUE,"jec9";"print",#N/A,TRUE,"jec10";"print",#N/A,TRUE,"jec11";"print",#N/A,TRUE,"jec12";"print",#N/A,TRUE,"jec13";"print",#N/A,TRUE,"jec14";"print",#N/A,TRUE,"jec15";"print",#N/A,TRUE,"jec16";"print",#N/A,TRUE,"jec17";"print",#N/A,TRUE,"jec18"}</definedName>
    <definedName name="wrn.Final." localSheetId="4" hidden="1">{"print",#N/A,TRUE,"jec1";"print",#N/A,TRUE,"jec2";"print",#N/A,TRUE,"jec3";"print",#N/A,TRUE,"jec4";"print",#N/A,TRUE,"jec5";"print",#N/A,TRUE,"jec6";"print",#N/A,TRUE,"jec7";"print",#N/A,TRUE,"jec8";"print",#N/A,TRUE,"jec9";"print",#N/A,TRUE,"jec10";"print",#N/A,TRUE,"jec11";"print",#N/A,TRUE,"jec12";"print",#N/A,TRUE,"jec13";"print",#N/A,TRUE,"jec14";"print",#N/A,TRUE,"jec15";"print",#N/A,TRUE,"jec16";"print",#N/A,TRUE,"jec17";"print",#N/A,TRUE,"jec18"}</definedName>
    <definedName name="wrn.Final." localSheetId="7" hidden="1">{"print",#N/A,TRUE,"jec1";"print",#N/A,TRUE,"jec2";"print",#N/A,TRUE,"jec3";"print",#N/A,TRUE,"jec4";"print",#N/A,TRUE,"jec5";"print",#N/A,TRUE,"jec6";"print",#N/A,TRUE,"jec7";"print",#N/A,TRUE,"jec8";"print",#N/A,TRUE,"jec9";"print",#N/A,TRUE,"jec10";"print",#N/A,TRUE,"jec11";"print",#N/A,TRUE,"jec12";"print",#N/A,TRUE,"jec13";"print",#N/A,TRUE,"jec14";"print",#N/A,TRUE,"jec15";"print",#N/A,TRUE,"jec16";"print",#N/A,TRUE,"jec17";"print",#N/A,TRUE,"jec18"}</definedName>
    <definedName name="wrn.Final." localSheetId="0" hidden="1">{"print",#N/A,TRUE,"jec1";"print",#N/A,TRUE,"jec2";"print",#N/A,TRUE,"jec3";"print",#N/A,TRUE,"jec4";"print",#N/A,TRUE,"jec5";"print",#N/A,TRUE,"jec6";"print",#N/A,TRUE,"jec7";"print",#N/A,TRUE,"jec8";"print",#N/A,TRUE,"jec9";"print",#N/A,TRUE,"jec10";"print",#N/A,TRUE,"jec11";"print",#N/A,TRUE,"jec12";"print",#N/A,TRUE,"jec13";"print",#N/A,TRUE,"jec14";"print",#N/A,TRUE,"jec15";"print",#N/A,TRUE,"jec16";"print",#N/A,TRUE,"jec17";"print",#N/A,TRUE,"jec18"}</definedName>
    <definedName name="wrn.Final." hidden="1">{"print",#N/A,TRUE,"jec1";"print",#N/A,TRUE,"jec2";"print",#N/A,TRUE,"jec3";"print",#N/A,TRUE,"jec4";"print",#N/A,TRUE,"jec5";"print",#N/A,TRUE,"jec6";"print",#N/A,TRUE,"jec7";"print",#N/A,TRUE,"jec8";"print",#N/A,TRUE,"jec9";"print",#N/A,TRUE,"jec10";"print",#N/A,TRUE,"jec11";"print",#N/A,TRUE,"jec12";"print",#N/A,TRUE,"jec13";"print",#N/A,TRUE,"jec14";"print",#N/A,TRUE,"jec15";"print",#N/A,TRUE,"jec16";"print",#N/A,TRUE,"jec17";"print",#N/A,TRUE,"jec18"}</definedName>
    <definedName name="wrn.FinalMort." localSheetId="9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rn.FinalMort." localSheetId="4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rn.FinalMort." localSheetId="7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rn.FinalMort." localSheetId="0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rn.FinalMort.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rn.III." localSheetId="9" hidden="1">{"CASHFLOW",#N/A,FALSE,"Northpointe"}</definedName>
    <definedName name="wrn.III." localSheetId="4" hidden="1">{"CASHFLOW",#N/A,FALSE,"Northpointe"}</definedName>
    <definedName name="wrn.III." localSheetId="7" hidden="1">{"CASHFLOW",#N/A,FALSE,"Northpointe"}</definedName>
    <definedName name="wrn.III." localSheetId="0" hidden="1">{"CASHFLOW",#N/A,FALSE,"Northpointe"}</definedName>
    <definedName name="wrn.III." hidden="1">{"CASHFLOW",#N/A,FALSE,"Northpointe"}</definedName>
    <definedName name="wrn.IV." localSheetId="9" hidden="1">{"CASHFLOW",#N/A,FALSE,"Northpointe"}</definedName>
    <definedName name="wrn.IV." localSheetId="4" hidden="1">{"CASHFLOW",#N/A,FALSE,"Northpointe"}</definedName>
    <definedName name="wrn.IV." localSheetId="7" hidden="1">{"CASHFLOW",#N/A,FALSE,"Northpointe"}</definedName>
    <definedName name="wrn.IV." localSheetId="0" hidden="1">{"CASHFLOW",#N/A,FALSE,"Northpointe"}</definedName>
    <definedName name="wrn.IV." hidden="1">{"CASHFLOW",#N/A,FALSE,"Northpointe"}</definedName>
    <definedName name="wrn.Rapport." localSheetId="9" hidden="1">{#N/A,#N/A,FALSE,"SHEET1";#N/A,#N/A,FALSE,"SHEET2";#N/A,#N/A,FALSE,"SHEET3";#N/A,#N/A,FALSE,"SHEET4"}</definedName>
    <definedName name="wrn.Rapport." localSheetId="4" hidden="1">{#N/A,#N/A,FALSE,"SHEET1";#N/A,#N/A,FALSE,"SHEET2";#N/A,#N/A,FALSE,"SHEET3";#N/A,#N/A,FALSE,"SHEET4"}</definedName>
    <definedName name="wrn.Rapport." localSheetId="7" hidden="1">{#N/A,#N/A,FALSE,"SHEET1";#N/A,#N/A,FALSE,"SHEET2";#N/A,#N/A,FALSE,"SHEET3";#N/A,#N/A,FALSE,"SHEET4"}</definedName>
    <definedName name="wrn.Rapport." localSheetId="0" hidden="1">{#N/A,#N/A,FALSE,"SHEET1";#N/A,#N/A,FALSE,"SHEET2";#N/A,#N/A,FALSE,"SHEET3";#N/A,#N/A,FALSE,"SHEET4"}</definedName>
    <definedName name="wrn.Rapport." hidden="1">{#N/A,#N/A,FALSE,"SHEET1";#N/A,#N/A,FALSE,"SHEET2";#N/A,#N/A,FALSE,"SHEET3";#N/A,#N/A,FALSE,"SHEET4"}</definedName>
    <definedName name="wrn.Report." localSheetId="9" hidden="1">{#N/A,#N/A,FALSE,"Proforma";#N/A,#N/A,FALSE,"Fallingbrook DCF";#N/A,#N/A,FALSE,"Reconciliation";#N/A,#N/A,FALSE,"Fallingbrook Leasing"}</definedName>
    <definedName name="wrn.Report." localSheetId="4" hidden="1">{#N/A,#N/A,FALSE,"Proforma";#N/A,#N/A,FALSE,"Fallingbrook DCF";#N/A,#N/A,FALSE,"Reconciliation";#N/A,#N/A,FALSE,"Fallingbrook Leasing"}</definedName>
    <definedName name="wrn.Report." localSheetId="7" hidden="1">{#N/A,#N/A,FALSE,"Proforma";#N/A,#N/A,FALSE,"Fallingbrook DCF";#N/A,#N/A,FALSE,"Reconciliation";#N/A,#N/A,FALSE,"Fallingbrook Leasing"}</definedName>
    <definedName name="wrn.Report." localSheetId="0" hidden="1">{#N/A,#N/A,FALSE,"Proforma";#N/A,#N/A,FALSE,"Fallingbrook DCF";#N/A,#N/A,FALSE,"Reconciliation";#N/A,#N/A,FALSE,"Fallingbrook Leasing"}</definedName>
    <definedName name="wrn.Report." hidden="1">{#N/A,#N/A,FALSE,"Proforma";#N/A,#N/A,FALSE,"Fallingbrook DCF";#N/A,#N/A,FALSE,"Reconciliation";#N/A,#N/A,FALSE,"Fallingbrook Leasing"}</definedName>
    <definedName name="wrn.Summaries." localSheetId="9" hidden="1">{#N/A,#N/A,FALSE,"Capitol Summary";#N/A,#N/A,FALSE,"Mayfair Summary"}</definedName>
    <definedName name="wrn.Summaries." localSheetId="4" hidden="1">{#N/A,#N/A,FALSE,"Capitol Summary";#N/A,#N/A,FALSE,"Mayfair Summary"}</definedName>
    <definedName name="wrn.Summaries." localSheetId="7" hidden="1">{#N/A,#N/A,FALSE,"Capitol Summary";#N/A,#N/A,FALSE,"Mayfair Summary"}</definedName>
    <definedName name="wrn.Summaries." localSheetId="0" hidden="1">{#N/A,#N/A,FALSE,"Capitol Summary";#N/A,#N/A,FALSE,"Mayfair Summary"}</definedName>
    <definedName name="wrn.Summaries." hidden="1">{#N/A,#N/A,FALSE,"Capitol Summary";#N/A,#N/A,FALSE,"Mayfair Summary"}</definedName>
    <definedName name="wrn.The._.Rock." localSheetId="9" hidden="1">{"1",#N/A,TRUE,"1";"2",#N/A,TRUE,"2";"3",#N/A,TRUE,"3";"4",#N/A,TRUE,"4";"5",#N/A,TRUE,"5";"6",#N/A,TRUE,"6";"7",#N/A,TRUE,"7";"8",#N/A,TRUE,"8";"9",#N/A,TRUE,"9";"10",#N/A,TRUE,"10";"11",#N/A,TRUE,"11";"12",#N/A,TRUE,"12";"13",#N/A,TRUE,"13";"14",#N/A,TRUE,"14";"15",#N/A,TRUE,"15";"16",#N/A,TRUE,"16";"17",#N/A,TRUE,"17";"18",#N/A,TRUE,"18";"19",#N/A,TRUE,"19";"20",#N/A,TRUE,"20";"21",#N/A,TRUE,"21";"22",#N/A,TRUE,"22";"23",#N/A,TRUE,"23";"24",#N/A,TRUE,"24";"25",#N/A,TRUE,"25";"26",#N/A,TRUE,"26";"27",#N/A,TRUE,"27";"28",#N/A,TRUE,"28";"29",#N/A,TRUE,"29";"30",#N/A,TRUE,"30";"31",#N/A,TRUE,"31";"32",#N/A,TRUE,"32";"33",#N/A,TRUE,"33";"34",#N/A,TRUE,"34";"35",#N/A,TRUE,"35";"36",#N/A,TRUE,"36";"37",#N/A,TRUE,"37";"38",#N/A,TRUE,"38";"39",#N/A,TRUE,"39";"40",#N/A,TRUE,"40";"41",#N/A,TRUE,"41";"42",#N/A,TRUE,"42";"43",#N/A,TRUE,"43";"44",#N/A,TRUE,"44";"45",#N/A,TRUE,"45";"46",#N/A,TRUE,"46";"47",#N/A,TRUE,"47";"48",#N/A,TRUE,"48";"49",#N/A,TRUE,"49";"50",#N/A,TRUE,"50";"51",#N/A,TRUE,"51"}</definedName>
    <definedName name="wrn.The._.Rock." localSheetId="4" hidden="1">{"1",#N/A,TRUE,"1";"2",#N/A,TRUE,"2";"3",#N/A,TRUE,"3";"4",#N/A,TRUE,"4";"5",#N/A,TRUE,"5";"6",#N/A,TRUE,"6";"7",#N/A,TRUE,"7";"8",#N/A,TRUE,"8";"9",#N/A,TRUE,"9";"10",#N/A,TRUE,"10";"11",#N/A,TRUE,"11";"12",#N/A,TRUE,"12";"13",#N/A,TRUE,"13";"14",#N/A,TRUE,"14";"15",#N/A,TRUE,"15";"16",#N/A,TRUE,"16";"17",#N/A,TRUE,"17";"18",#N/A,TRUE,"18";"19",#N/A,TRUE,"19";"20",#N/A,TRUE,"20";"21",#N/A,TRUE,"21";"22",#N/A,TRUE,"22";"23",#N/A,TRUE,"23";"24",#N/A,TRUE,"24";"25",#N/A,TRUE,"25";"26",#N/A,TRUE,"26";"27",#N/A,TRUE,"27";"28",#N/A,TRUE,"28";"29",#N/A,TRUE,"29";"30",#N/A,TRUE,"30";"31",#N/A,TRUE,"31";"32",#N/A,TRUE,"32";"33",#N/A,TRUE,"33";"34",#N/A,TRUE,"34";"35",#N/A,TRUE,"35";"36",#N/A,TRUE,"36";"37",#N/A,TRUE,"37";"38",#N/A,TRUE,"38";"39",#N/A,TRUE,"39";"40",#N/A,TRUE,"40";"41",#N/A,TRUE,"41";"42",#N/A,TRUE,"42";"43",#N/A,TRUE,"43";"44",#N/A,TRUE,"44";"45",#N/A,TRUE,"45";"46",#N/A,TRUE,"46";"47",#N/A,TRUE,"47";"48",#N/A,TRUE,"48";"49",#N/A,TRUE,"49";"50",#N/A,TRUE,"50";"51",#N/A,TRUE,"51"}</definedName>
    <definedName name="wrn.The._.Rock." localSheetId="7" hidden="1">{"1",#N/A,TRUE,"1";"2",#N/A,TRUE,"2";"3",#N/A,TRUE,"3";"4",#N/A,TRUE,"4";"5",#N/A,TRUE,"5";"6",#N/A,TRUE,"6";"7",#N/A,TRUE,"7";"8",#N/A,TRUE,"8";"9",#N/A,TRUE,"9";"10",#N/A,TRUE,"10";"11",#N/A,TRUE,"11";"12",#N/A,TRUE,"12";"13",#N/A,TRUE,"13";"14",#N/A,TRUE,"14";"15",#N/A,TRUE,"15";"16",#N/A,TRUE,"16";"17",#N/A,TRUE,"17";"18",#N/A,TRUE,"18";"19",#N/A,TRUE,"19";"20",#N/A,TRUE,"20";"21",#N/A,TRUE,"21";"22",#N/A,TRUE,"22";"23",#N/A,TRUE,"23";"24",#N/A,TRUE,"24";"25",#N/A,TRUE,"25";"26",#N/A,TRUE,"26";"27",#N/A,TRUE,"27";"28",#N/A,TRUE,"28";"29",#N/A,TRUE,"29";"30",#N/A,TRUE,"30";"31",#N/A,TRUE,"31";"32",#N/A,TRUE,"32";"33",#N/A,TRUE,"33";"34",#N/A,TRUE,"34";"35",#N/A,TRUE,"35";"36",#N/A,TRUE,"36";"37",#N/A,TRUE,"37";"38",#N/A,TRUE,"38";"39",#N/A,TRUE,"39";"40",#N/A,TRUE,"40";"41",#N/A,TRUE,"41";"42",#N/A,TRUE,"42";"43",#N/A,TRUE,"43";"44",#N/A,TRUE,"44";"45",#N/A,TRUE,"45";"46",#N/A,TRUE,"46";"47",#N/A,TRUE,"47";"48",#N/A,TRUE,"48";"49",#N/A,TRUE,"49";"50",#N/A,TRUE,"50";"51",#N/A,TRUE,"51"}</definedName>
    <definedName name="wrn.The._.Rock." localSheetId="0" hidden="1">{"1",#N/A,TRUE,"1";"2",#N/A,TRUE,"2";"3",#N/A,TRUE,"3";"4",#N/A,TRUE,"4";"5",#N/A,TRUE,"5";"6",#N/A,TRUE,"6";"7",#N/A,TRUE,"7";"8",#N/A,TRUE,"8";"9",#N/A,TRUE,"9";"10",#N/A,TRUE,"10";"11",#N/A,TRUE,"11";"12",#N/A,TRUE,"12";"13",#N/A,TRUE,"13";"14",#N/A,TRUE,"14";"15",#N/A,TRUE,"15";"16",#N/A,TRUE,"16";"17",#N/A,TRUE,"17";"18",#N/A,TRUE,"18";"19",#N/A,TRUE,"19";"20",#N/A,TRUE,"20";"21",#N/A,TRUE,"21";"22",#N/A,TRUE,"22";"23",#N/A,TRUE,"23";"24",#N/A,TRUE,"24";"25",#N/A,TRUE,"25";"26",#N/A,TRUE,"26";"27",#N/A,TRUE,"27";"28",#N/A,TRUE,"28";"29",#N/A,TRUE,"29";"30",#N/A,TRUE,"30";"31",#N/A,TRUE,"31";"32",#N/A,TRUE,"32";"33",#N/A,TRUE,"33";"34",#N/A,TRUE,"34";"35",#N/A,TRUE,"35";"36",#N/A,TRUE,"36";"37",#N/A,TRUE,"37";"38",#N/A,TRUE,"38";"39",#N/A,TRUE,"39";"40",#N/A,TRUE,"40";"41",#N/A,TRUE,"41";"42",#N/A,TRUE,"42";"43",#N/A,TRUE,"43";"44",#N/A,TRUE,"44";"45",#N/A,TRUE,"45";"46",#N/A,TRUE,"46";"47",#N/A,TRUE,"47";"48",#N/A,TRUE,"48";"49",#N/A,TRUE,"49";"50",#N/A,TRUE,"50";"51",#N/A,TRUE,"51"}</definedName>
    <definedName name="wrn.The._.Rock." hidden="1">{"1",#N/A,TRUE,"1";"2",#N/A,TRUE,"2";"3",#N/A,TRUE,"3";"4",#N/A,TRUE,"4";"5",#N/A,TRUE,"5";"6",#N/A,TRUE,"6";"7",#N/A,TRUE,"7";"8",#N/A,TRUE,"8";"9",#N/A,TRUE,"9";"10",#N/A,TRUE,"10";"11",#N/A,TRUE,"11";"12",#N/A,TRUE,"12";"13",#N/A,TRUE,"13";"14",#N/A,TRUE,"14";"15",#N/A,TRUE,"15";"16",#N/A,TRUE,"16";"17",#N/A,TRUE,"17";"18",#N/A,TRUE,"18";"19",#N/A,TRUE,"19";"20",#N/A,TRUE,"20";"21",#N/A,TRUE,"21";"22",#N/A,TRUE,"22";"23",#N/A,TRUE,"23";"24",#N/A,TRUE,"24";"25",#N/A,TRUE,"25";"26",#N/A,TRUE,"26";"27",#N/A,TRUE,"27";"28",#N/A,TRUE,"28";"29",#N/A,TRUE,"29";"30",#N/A,TRUE,"30";"31",#N/A,TRUE,"31";"32",#N/A,TRUE,"32";"33",#N/A,TRUE,"33";"34",#N/A,TRUE,"34";"35",#N/A,TRUE,"35";"36",#N/A,TRUE,"36";"37",#N/A,TRUE,"37";"38",#N/A,TRUE,"38";"39",#N/A,TRUE,"39";"40",#N/A,TRUE,"40";"41",#N/A,TRUE,"41";"42",#N/A,TRUE,"42";"43",#N/A,TRUE,"43";"44",#N/A,TRUE,"44";"45",#N/A,TRUE,"45";"46",#N/A,TRUE,"46";"47",#N/A,TRUE,"47";"48",#N/A,TRUE,"48";"49",#N/A,TRUE,"49";"50",#N/A,TRUE,"50";"51",#N/A,TRUE,"51"}</definedName>
    <definedName name="wrn.Total." localSheetId="9" hidden="1">{"Industrial",#N/A,FALSE,"Thumb";"Office",#N/A,FALSE,"Thumb";"Retail",#N/A,FALSE,"Thumb"}</definedName>
    <definedName name="wrn.Total." localSheetId="4" hidden="1">{"Industrial",#N/A,FALSE,"Thumb";"Office",#N/A,FALSE,"Thumb";"Retail",#N/A,FALSE,"Thumb"}</definedName>
    <definedName name="wrn.Total." localSheetId="7" hidden="1">{"Industrial",#N/A,FALSE,"Thumb";"Office",#N/A,FALSE,"Thumb";"Retail",#N/A,FALSE,"Thumb"}</definedName>
    <definedName name="wrn.Total." localSheetId="0" hidden="1">{"Industrial",#N/A,FALSE,"Thumb";"Office",#N/A,FALSE,"Thumb";"Retail",#N/A,FALSE,"Thumb"}</definedName>
    <definedName name="wrn.Total." hidden="1">{"Industrial",#N/A,FALSE,"Thumb";"Office",#N/A,FALSE,"Thumb";"Retail",#N/A,FALSE,"Thumb"}</definedName>
    <definedName name="ww" localSheetId="9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w" localSheetId="4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w" localSheetId="7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w" localSheetId="0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w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F5" i="5"/>
  <c r="G5" i="5"/>
  <c r="H5" i="5"/>
  <c r="I5" i="5"/>
  <c r="E6" i="5"/>
  <c r="F6" i="5"/>
  <c r="G6" i="5"/>
  <c r="H6" i="5"/>
  <c r="I6" i="5"/>
  <c r="E7" i="5"/>
  <c r="F7" i="5"/>
  <c r="G7" i="5"/>
  <c r="H7" i="5"/>
  <c r="I7" i="5"/>
  <c r="E8" i="5"/>
  <c r="F8" i="5"/>
  <c r="G8" i="5"/>
  <c r="H8" i="5"/>
  <c r="I8" i="5"/>
  <c r="E9" i="5"/>
  <c r="F9" i="5"/>
  <c r="G9" i="5"/>
  <c r="H9" i="5"/>
  <c r="I9" i="5"/>
  <c r="E10" i="5"/>
  <c r="F10" i="5"/>
  <c r="G10" i="5"/>
  <c r="H10" i="5"/>
  <c r="I10" i="5"/>
  <c r="J10" i="5"/>
  <c r="E11" i="5"/>
  <c r="F11" i="5"/>
  <c r="G11" i="5"/>
  <c r="H11" i="5"/>
  <c r="I11" i="5"/>
  <c r="J11" i="5" s="1"/>
  <c r="E12" i="5"/>
  <c r="F12" i="5"/>
  <c r="G12" i="5"/>
  <c r="H12" i="5"/>
  <c r="I12" i="5"/>
  <c r="E13" i="5"/>
  <c r="F13" i="5"/>
  <c r="G13" i="5"/>
  <c r="J13" i="5" s="1"/>
  <c r="H13" i="5"/>
  <c r="I13" i="5"/>
  <c r="E14" i="5"/>
  <c r="F14" i="5"/>
  <c r="G14" i="5"/>
  <c r="H14" i="5"/>
  <c r="I14" i="5"/>
  <c r="J14" i="5"/>
  <c r="H16" i="5"/>
  <c r="H17" i="5"/>
  <c r="H18" i="5"/>
  <c r="C24" i="5"/>
  <c r="H24" i="5"/>
  <c r="C25" i="5"/>
  <c r="H25" i="5"/>
  <c r="C26" i="5"/>
  <c r="C27" i="5"/>
  <c r="C28" i="5"/>
  <c r="C29" i="5"/>
  <c r="C30" i="5"/>
  <c r="C31" i="5"/>
  <c r="P7" i="58"/>
  <c r="P6" i="58"/>
  <c r="E244" i="5"/>
  <c r="I229" i="5"/>
  <c r="J39" i="42"/>
  <c r="G39" i="42"/>
  <c r="C39" i="42"/>
  <c r="J38" i="42"/>
  <c r="G38" i="42"/>
  <c r="C38" i="42"/>
  <c r="J37" i="42"/>
  <c r="G37" i="42"/>
  <c r="C37" i="42"/>
  <c r="J36" i="42"/>
  <c r="G36" i="42"/>
  <c r="C36" i="42"/>
  <c r="J35" i="42"/>
  <c r="G35" i="42"/>
  <c r="C35" i="42"/>
  <c r="J34" i="42"/>
  <c r="G34" i="42"/>
  <c r="C34" i="42"/>
  <c r="J33" i="42"/>
  <c r="G33" i="42"/>
  <c r="C33" i="42"/>
  <c r="J32" i="42"/>
  <c r="G32" i="42"/>
  <c r="C32" i="42"/>
  <c r="J31" i="42"/>
  <c r="G31" i="42"/>
  <c r="C31" i="42"/>
  <c r="J30" i="42"/>
  <c r="G30" i="42"/>
  <c r="C30" i="42"/>
  <c r="J6" i="5" l="1"/>
  <c r="J9" i="5"/>
  <c r="J7" i="5"/>
  <c r="J12" i="5"/>
  <c r="J5" i="5"/>
  <c r="E15" i="5"/>
  <c r="H15" i="5"/>
  <c r="F15" i="5"/>
  <c r="I24" i="5" s="1"/>
  <c r="J8" i="5"/>
  <c r="H21" i="5"/>
  <c r="I25" i="5"/>
  <c r="B83" i="58"/>
  <c r="B82" i="58"/>
  <c r="B80" i="58"/>
  <c r="B79" i="58"/>
  <c r="B77" i="58"/>
  <c r="B76" i="58"/>
  <c r="I20" i="5" l="1"/>
  <c r="I15" i="5"/>
  <c r="I19" i="5"/>
  <c r="G15" i="5"/>
  <c r="J15" i="5" s="1"/>
  <c r="I21" i="5"/>
  <c r="H22" i="5"/>
  <c r="H23" i="5" s="1"/>
  <c r="G69" i="5"/>
  <c r="J268" i="5"/>
  <c r="C267" i="5"/>
  <c r="E268" i="5"/>
  <c r="D224" i="5"/>
  <c r="I23" i="5" l="1"/>
  <c r="E248" i="5"/>
  <c r="K26" i="55"/>
  <c r="H39" i="5"/>
  <c r="G160" i="5"/>
  <c r="J245" i="5"/>
  <c r="AK243" i="5"/>
  <c r="P12" i="58"/>
  <c r="O11" i="52" l="1"/>
  <c r="O10" i="52"/>
  <c r="D60" i="58"/>
  <c r="D59" i="58"/>
  <c r="D58" i="58"/>
  <c r="D57" i="58"/>
  <c r="D56" i="58"/>
  <c r="D55" i="58"/>
  <c r="D52" i="58"/>
  <c r="D51" i="58"/>
  <c r="D50" i="58"/>
  <c r="D49" i="58"/>
  <c r="D48" i="58"/>
  <c r="D47" i="58"/>
  <c r="D28" i="58"/>
  <c r="D27" i="58"/>
  <c r="D26" i="58"/>
  <c r="D25" i="58"/>
  <c r="D24" i="58"/>
  <c r="D23" i="58"/>
  <c r="D20" i="58"/>
  <c r="D19" i="58"/>
  <c r="D18" i="58"/>
  <c r="D17" i="58"/>
  <c r="D16" i="58"/>
  <c r="D15" i="58"/>
  <c r="AL79" i="5"/>
  <c r="AK79" i="5"/>
  <c r="AJ79" i="5"/>
  <c r="A67" i="47"/>
  <c r="A66" i="47"/>
  <c r="A65" i="47"/>
  <c r="A64" i="47"/>
  <c r="A63" i="47"/>
  <c r="A62" i="47"/>
  <c r="A61" i="47"/>
  <c r="A60" i="47"/>
  <c r="AN72" i="5"/>
  <c r="AM72" i="5"/>
  <c r="AL72" i="5"/>
  <c r="AK72" i="5"/>
  <c r="AJ72" i="5"/>
  <c r="P11" i="58"/>
  <c r="P10" i="58"/>
  <c r="P16" i="58" s="1"/>
  <c r="D68" i="58"/>
  <c r="D67" i="58"/>
  <c r="D66" i="58"/>
  <c r="D65" i="58"/>
  <c r="D64" i="58"/>
  <c r="D63" i="58"/>
  <c r="D44" i="58"/>
  <c r="D43" i="58"/>
  <c r="D42" i="58"/>
  <c r="D41" i="58"/>
  <c r="D40" i="58"/>
  <c r="D39" i="58"/>
  <c r="D36" i="58"/>
  <c r="D35" i="58"/>
  <c r="D34" i="58"/>
  <c r="D33" i="58"/>
  <c r="D32" i="58"/>
  <c r="D31" i="58"/>
  <c r="D12" i="58"/>
  <c r="D11" i="58"/>
  <c r="D10" i="58"/>
  <c r="D9" i="58"/>
  <c r="D8" i="58"/>
  <c r="D7" i="58"/>
  <c r="P17" i="58" l="1"/>
  <c r="J244" i="5" s="1"/>
  <c r="D19" i="57" l="1"/>
  <c r="D14" i="57"/>
  <c r="I9" i="57" s="1"/>
  <c r="D20" i="56"/>
  <c r="D19" i="56" s="1"/>
  <c r="F9" i="56"/>
  <c r="Q14" i="56"/>
  <c r="D14" i="56" s="1"/>
  <c r="G9" i="56"/>
  <c r="H113" i="5"/>
  <c r="H112" i="5"/>
  <c r="I122" i="5"/>
  <c r="H122" i="5"/>
  <c r="I121" i="5"/>
  <c r="H121" i="5"/>
  <c r="B54" i="55"/>
  <c r="B53" i="55"/>
  <c r="B52" i="55"/>
  <c r="B51" i="55"/>
  <c r="B50" i="55"/>
  <c r="B40" i="55"/>
  <c r="B44" i="55"/>
  <c r="B43" i="55"/>
  <c r="B42" i="55"/>
  <c r="B41" i="55"/>
  <c r="W87" i="57"/>
  <c r="W86" i="57"/>
  <c r="W85" i="57"/>
  <c r="W84" i="57"/>
  <c r="W83" i="57"/>
  <c r="W82" i="57"/>
  <c r="W81" i="57"/>
  <c r="W80" i="57"/>
  <c r="W79" i="57"/>
  <c r="W78" i="57"/>
  <c r="W77" i="57"/>
  <c r="W76" i="57"/>
  <c r="W75" i="57"/>
  <c r="W74" i="57"/>
  <c r="W73" i="57"/>
  <c r="W72" i="57"/>
  <c r="W71" i="57"/>
  <c r="W70" i="57"/>
  <c r="W69" i="57"/>
  <c r="W68" i="57"/>
  <c r="W67" i="57"/>
  <c r="W66" i="57"/>
  <c r="W65" i="57"/>
  <c r="W64" i="57"/>
  <c r="W63" i="57"/>
  <c r="W62" i="57"/>
  <c r="W61" i="57"/>
  <c r="W60" i="57"/>
  <c r="W59" i="57"/>
  <c r="W58" i="57"/>
  <c r="W57" i="57"/>
  <c r="W56" i="57"/>
  <c r="W55" i="57"/>
  <c r="W54" i="57"/>
  <c r="W53" i="57"/>
  <c r="W52" i="57"/>
  <c r="W51" i="57"/>
  <c r="W50" i="57"/>
  <c r="W49" i="57"/>
  <c r="W48" i="57"/>
  <c r="W47" i="57"/>
  <c r="W46" i="57"/>
  <c r="W45" i="57"/>
  <c r="W44" i="57"/>
  <c r="W43" i="57"/>
  <c r="W42" i="57"/>
  <c r="W41" i="57"/>
  <c r="W40" i="57"/>
  <c r="W39" i="57"/>
  <c r="W38" i="57"/>
  <c r="W37" i="57"/>
  <c r="W36" i="57"/>
  <c r="C36" i="57"/>
  <c r="C37" i="57" s="1"/>
  <c r="D35" i="57"/>
  <c r="D36" i="57" s="1"/>
  <c r="D37" i="57" s="1"/>
  <c r="D38" i="57" s="1"/>
  <c r="D39" i="57" s="1"/>
  <c r="D40" i="57" s="1"/>
  <c r="D41" i="57" s="1"/>
  <c r="D42" i="57" s="1"/>
  <c r="D43" i="57" s="1"/>
  <c r="D44" i="57" s="1"/>
  <c r="D45" i="57" s="1"/>
  <c r="D46" i="57" s="1"/>
  <c r="D47" i="57" s="1"/>
  <c r="D48" i="57" s="1"/>
  <c r="D49" i="57" s="1"/>
  <c r="D50" i="57" s="1"/>
  <c r="D51" i="57" s="1"/>
  <c r="D52" i="57" s="1"/>
  <c r="D53" i="57" s="1"/>
  <c r="D54" i="57" s="1"/>
  <c r="D55" i="57" s="1"/>
  <c r="D56" i="57" s="1"/>
  <c r="D57" i="57" s="1"/>
  <c r="D58" i="57" s="1"/>
  <c r="D59" i="57" s="1"/>
  <c r="D60" i="57" s="1"/>
  <c r="D61" i="57" s="1"/>
  <c r="D62" i="57" s="1"/>
  <c r="D63" i="57" s="1"/>
  <c r="D64" i="57" s="1"/>
  <c r="D65" i="57" s="1"/>
  <c r="D66" i="57" s="1"/>
  <c r="D67" i="57" s="1"/>
  <c r="D68" i="57" s="1"/>
  <c r="D69" i="57" s="1"/>
  <c r="D70" i="57" s="1"/>
  <c r="D71" i="57" s="1"/>
  <c r="D72" i="57" s="1"/>
  <c r="D73" i="57" s="1"/>
  <c r="D74" i="57" s="1"/>
  <c r="D75" i="57" s="1"/>
  <c r="D76" i="57" s="1"/>
  <c r="D77" i="57" s="1"/>
  <c r="D78" i="57" s="1"/>
  <c r="D79" i="57" s="1"/>
  <c r="D80" i="57" s="1"/>
  <c r="D81" i="57" s="1"/>
  <c r="D82" i="57" s="1"/>
  <c r="D83" i="57" s="1"/>
  <c r="D84" i="57" s="1"/>
  <c r="D85" i="57" s="1"/>
  <c r="D86" i="57" s="1"/>
  <c r="D87" i="57" s="1"/>
  <c r="L34" i="57"/>
  <c r="T29" i="57"/>
  <c r="R29" i="57"/>
  <c r="Q29" i="57"/>
  <c r="T28" i="57"/>
  <c r="R28" i="57"/>
  <c r="Q28" i="57"/>
  <c r="T27" i="57"/>
  <c r="R27" i="57"/>
  <c r="Q27" i="57"/>
  <c r="T26" i="57"/>
  <c r="R26" i="57"/>
  <c r="Q26" i="57"/>
  <c r="T25" i="57"/>
  <c r="R25" i="57"/>
  <c r="Q25" i="57"/>
  <c r="T24" i="57"/>
  <c r="S24" i="57" s="1"/>
  <c r="R24" i="57"/>
  <c r="Q24" i="57"/>
  <c r="P24" i="57"/>
  <c r="O24" i="57"/>
  <c r="J24" i="57"/>
  <c r="J25" i="57" s="1"/>
  <c r="J26" i="57" s="1"/>
  <c r="J27" i="57" s="1"/>
  <c r="J28" i="57" s="1"/>
  <c r="J29" i="57" s="1"/>
  <c r="F24" i="57"/>
  <c r="H16" i="57"/>
  <c r="F16" i="57"/>
  <c r="G15" i="57"/>
  <c r="I15" i="57" s="1"/>
  <c r="F15" i="57"/>
  <c r="G14" i="57"/>
  <c r="G16" i="57" s="1"/>
  <c r="F14" i="57"/>
  <c r="E11" i="57"/>
  <c r="D11" i="57" s="1"/>
  <c r="F10" i="57"/>
  <c r="H9" i="57"/>
  <c r="D35" i="56"/>
  <c r="Q35" i="56"/>
  <c r="Q34" i="56" s="1"/>
  <c r="L34" i="56"/>
  <c r="Y34" i="56"/>
  <c r="K29" i="56"/>
  <c r="I29" i="56"/>
  <c r="H29" i="56"/>
  <c r="K28" i="56"/>
  <c r="I28" i="56"/>
  <c r="H28" i="56"/>
  <c r="K27" i="56"/>
  <c r="I27" i="56"/>
  <c r="H27" i="56"/>
  <c r="K26" i="56"/>
  <c r="I26" i="56"/>
  <c r="H26" i="56"/>
  <c r="K25" i="56"/>
  <c r="I25" i="56"/>
  <c r="H25" i="56"/>
  <c r="K24" i="56"/>
  <c r="I24" i="56"/>
  <c r="H24" i="56"/>
  <c r="W24" i="56"/>
  <c r="W25" i="56" s="1"/>
  <c r="W26" i="56" s="1"/>
  <c r="W27" i="56" s="1"/>
  <c r="W28" i="56" s="1"/>
  <c r="W29" i="56" s="1"/>
  <c r="T24" i="56"/>
  <c r="S24" i="56"/>
  <c r="I23" i="56"/>
  <c r="H23" i="56"/>
  <c r="F21" i="56"/>
  <c r="S21" i="56"/>
  <c r="H16" i="56"/>
  <c r="G15" i="56"/>
  <c r="I15" i="56" s="1"/>
  <c r="F15" i="56"/>
  <c r="F14" i="56"/>
  <c r="U9" i="56"/>
  <c r="D77" i="55"/>
  <c r="D67" i="55"/>
  <c r="D66" i="55"/>
  <c r="D65" i="55"/>
  <c r="C61" i="55"/>
  <c r="D61" i="55" s="1"/>
  <c r="O51" i="55"/>
  <c r="K49" i="55"/>
  <c r="J52" i="55"/>
  <c r="J46" i="55"/>
  <c r="D27" i="55" s="1"/>
  <c r="O45" i="55"/>
  <c r="O43" i="55"/>
  <c r="O42" i="55"/>
  <c r="O41" i="55"/>
  <c r="O40" i="55"/>
  <c r="O38" i="55"/>
  <c r="O37" i="55"/>
  <c r="K36" i="55"/>
  <c r="O36" i="55" s="1"/>
  <c r="O35" i="55"/>
  <c r="D34" i="55"/>
  <c r="J32" i="55"/>
  <c r="O31" i="55"/>
  <c r="O30" i="55"/>
  <c r="O29" i="55"/>
  <c r="I28" i="55"/>
  <c r="O27" i="55"/>
  <c r="O25" i="55"/>
  <c r="O24" i="55"/>
  <c r="I24" i="55"/>
  <c r="O23" i="55"/>
  <c r="I23" i="55"/>
  <c r="K19" i="55"/>
  <c r="D21" i="55" s="1"/>
  <c r="J19" i="55"/>
  <c r="O18" i="55"/>
  <c r="O17" i="55"/>
  <c r="I17" i="55"/>
  <c r="O16" i="55"/>
  <c r="C16" i="55"/>
  <c r="O15" i="55"/>
  <c r="O14" i="55"/>
  <c r="C14" i="55"/>
  <c r="O13" i="55"/>
  <c r="O12" i="55"/>
  <c r="O11" i="55"/>
  <c r="O9" i="55"/>
  <c r="K8" i="55"/>
  <c r="J8" i="55"/>
  <c r="O7" i="55"/>
  <c r="D7" i="55"/>
  <c r="M29" i="55" s="1"/>
  <c r="B7" i="55"/>
  <c r="O6" i="55"/>
  <c r="V9" i="56" l="1"/>
  <c r="I11" i="57"/>
  <c r="H37" i="57"/>
  <c r="O35" i="57"/>
  <c r="O88" i="57" s="1"/>
  <c r="S25" i="57"/>
  <c r="S26" i="57" s="1"/>
  <c r="S27" i="57" s="1"/>
  <c r="S28" i="57" s="1"/>
  <c r="S29" i="57" s="1"/>
  <c r="I14" i="57"/>
  <c r="C38" i="57"/>
  <c r="E38" i="57" s="1" a="1"/>
  <c r="E38" i="57" s="1"/>
  <c r="D10" i="57"/>
  <c r="E36" i="57" a="1"/>
  <c r="E36" i="57" s="1"/>
  <c r="H11" i="57"/>
  <c r="U35" i="56"/>
  <c r="H35" i="56"/>
  <c r="P36" i="56"/>
  <c r="R36" i="56" s="1" a="1"/>
  <c r="R36" i="56" s="1"/>
  <c r="J24" i="56"/>
  <c r="E36" i="56" s="1" a="1"/>
  <c r="E36" i="56" s="1"/>
  <c r="D22" i="55"/>
  <c r="E22" i="55" s="1"/>
  <c r="D31" i="55"/>
  <c r="O19" i="55"/>
  <c r="D74" i="55"/>
  <c r="M8" i="55"/>
  <c r="M31" i="55"/>
  <c r="M38" i="55"/>
  <c r="E27" i="55"/>
  <c r="M7" i="55"/>
  <c r="M11" i="55"/>
  <c r="M25" i="55"/>
  <c r="M30" i="55"/>
  <c r="M37" i="55"/>
  <c r="M45" i="55"/>
  <c r="O49" i="55"/>
  <c r="M51" i="55"/>
  <c r="J54" i="55"/>
  <c r="J58" i="55" s="1"/>
  <c r="T35" i="56"/>
  <c r="C36" i="56"/>
  <c r="D34" i="56"/>
  <c r="D36" i="56"/>
  <c r="D37" i="56" s="1"/>
  <c r="D38" i="56" s="1"/>
  <c r="D39" i="56" s="1"/>
  <c r="D40" i="56" s="1"/>
  <c r="D41" i="56" s="1"/>
  <c r="D42" i="56" s="1"/>
  <c r="D43" i="56" s="1"/>
  <c r="D44" i="56" s="1"/>
  <c r="D45" i="56" s="1"/>
  <c r="D46" i="56" s="1"/>
  <c r="D47" i="56" s="1"/>
  <c r="D48" i="56" s="1"/>
  <c r="D49" i="56" s="1"/>
  <c r="D50" i="56" s="1"/>
  <c r="D51" i="56" s="1"/>
  <c r="D52" i="56" s="1"/>
  <c r="D53" i="56" s="1"/>
  <c r="D54" i="56" s="1"/>
  <c r="D55" i="56" s="1"/>
  <c r="D56" i="56" s="1"/>
  <c r="D57" i="56" s="1"/>
  <c r="D58" i="56" s="1"/>
  <c r="D59" i="56" s="1"/>
  <c r="D60" i="56" s="1"/>
  <c r="D61" i="56" s="1"/>
  <c r="D62" i="56" s="1"/>
  <c r="D63" i="56" s="1"/>
  <c r="D64" i="56" s="1"/>
  <c r="D65" i="56" s="1"/>
  <c r="D66" i="56" s="1"/>
  <c r="D67" i="56" s="1"/>
  <c r="D68" i="56" s="1"/>
  <c r="D69" i="56" s="1"/>
  <c r="D70" i="56" s="1"/>
  <c r="D71" i="56" s="1"/>
  <c r="D72" i="56" s="1"/>
  <c r="D73" i="56" s="1"/>
  <c r="D74" i="56" s="1"/>
  <c r="D75" i="56" s="1"/>
  <c r="D76" i="56" s="1"/>
  <c r="D77" i="56" s="1"/>
  <c r="D78" i="56" s="1"/>
  <c r="D79" i="56" s="1"/>
  <c r="D80" i="56" s="1"/>
  <c r="D81" i="56" s="1"/>
  <c r="D82" i="56" s="1"/>
  <c r="D83" i="56" s="1"/>
  <c r="D84" i="56" s="1"/>
  <c r="D85" i="56" s="1"/>
  <c r="D86" i="56" s="1"/>
  <c r="D87" i="56" s="1"/>
  <c r="O8" i="55"/>
  <c r="M16" i="55"/>
  <c r="E31" i="55"/>
  <c r="D17" i="55"/>
  <c r="M15" i="55"/>
  <c r="O44" i="55"/>
  <c r="D68" i="55"/>
  <c r="S35" i="56"/>
  <c r="S88" i="56" s="1"/>
  <c r="M13" i="55"/>
  <c r="K46" i="55"/>
  <c r="H115" i="5" s="1"/>
  <c r="O39" i="55"/>
  <c r="M44" i="55"/>
  <c r="M24" i="55"/>
  <c r="M42" i="55"/>
  <c r="E34" i="55"/>
  <c r="M40" i="55"/>
  <c r="M17" i="55"/>
  <c r="M14" i="55"/>
  <c r="M6" i="55"/>
  <c r="M43" i="55"/>
  <c r="M41" i="55"/>
  <c r="M27" i="55"/>
  <c r="M18" i="55"/>
  <c r="M12" i="55"/>
  <c r="M9" i="55"/>
  <c r="M39" i="55"/>
  <c r="D15" i="55"/>
  <c r="M23" i="55"/>
  <c r="E21" i="55"/>
  <c r="D13" i="55"/>
  <c r="M35" i="55"/>
  <c r="Q36" i="56"/>
  <c r="Q37" i="56" s="1"/>
  <c r="Q38" i="56" s="1"/>
  <c r="Q39" i="56" s="1"/>
  <c r="Q40" i="56" s="1"/>
  <c r="Q41" i="56" s="1"/>
  <c r="Q42" i="56" s="1"/>
  <c r="Q43" i="56" s="1"/>
  <c r="Q44" i="56" s="1"/>
  <c r="Q45" i="56" s="1"/>
  <c r="Q46" i="56" s="1"/>
  <c r="Q47" i="56" s="1"/>
  <c r="Q48" i="56" s="1"/>
  <c r="Q49" i="56" s="1"/>
  <c r="Q50" i="56" s="1"/>
  <c r="Q51" i="56" s="1"/>
  <c r="Q52" i="56" s="1"/>
  <c r="Q53" i="56" s="1"/>
  <c r="Q54" i="56" s="1"/>
  <c r="Q55" i="56" s="1"/>
  <c r="Q56" i="56" s="1"/>
  <c r="Q57" i="56" s="1"/>
  <c r="Q58" i="56" s="1"/>
  <c r="Q59" i="56" s="1"/>
  <c r="Q60" i="56" s="1"/>
  <c r="Q61" i="56" s="1"/>
  <c r="Q62" i="56" s="1"/>
  <c r="Q63" i="56" s="1"/>
  <c r="Q64" i="56" s="1"/>
  <c r="Q65" i="56" s="1"/>
  <c r="Q66" i="56" s="1"/>
  <c r="Q67" i="56" s="1"/>
  <c r="Q68" i="56" s="1"/>
  <c r="Q69" i="56" s="1"/>
  <c r="Q70" i="56" s="1"/>
  <c r="Q71" i="56" s="1"/>
  <c r="Q72" i="56" s="1"/>
  <c r="Q73" i="56" s="1"/>
  <c r="Q74" i="56" s="1"/>
  <c r="Q75" i="56" s="1"/>
  <c r="Q76" i="56" s="1"/>
  <c r="Q77" i="56" s="1"/>
  <c r="Q78" i="56" s="1"/>
  <c r="Q79" i="56" s="1"/>
  <c r="Q80" i="56" s="1"/>
  <c r="Q81" i="56" s="1"/>
  <c r="Q82" i="56" s="1"/>
  <c r="Q83" i="56" s="1"/>
  <c r="Q84" i="56" s="1"/>
  <c r="Q85" i="56" s="1"/>
  <c r="Q86" i="56" s="1"/>
  <c r="Q87" i="56" s="1"/>
  <c r="P37" i="56"/>
  <c r="M19" i="55"/>
  <c r="D32" i="55"/>
  <c r="M36" i="55"/>
  <c r="I9" i="56"/>
  <c r="F24" i="56"/>
  <c r="I10" i="57"/>
  <c r="H35" i="57"/>
  <c r="D18" i="57"/>
  <c r="H38" i="57"/>
  <c r="M49" i="55"/>
  <c r="I16" i="57"/>
  <c r="J14" i="57" s="1"/>
  <c r="G10" i="57"/>
  <c r="H10" i="57" s="1"/>
  <c r="H36" i="57"/>
  <c r="G24" i="57"/>
  <c r="D9" i="57"/>
  <c r="D34" i="57"/>
  <c r="N36" i="57" a="1"/>
  <c r="N36" i="57" s="1"/>
  <c r="N37" i="57" a="1"/>
  <c r="N37" i="57" s="1"/>
  <c r="E37" i="57" a="1"/>
  <c r="E37" i="57" s="1"/>
  <c r="B4" i="54"/>
  <c r="B5" i="54" s="1"/>
  <c r="C39" i="57" l="1"/>
  <c r="N38" i="57" a="1"/>
  <c r="N38" i="57" s="1"/>
  <c r="J25" i="56"/>
  <c r="J26" i="56" s="1"/>
  <c r="J27" i="56" s="1"/>
  <c r="J28" i="56" s="1"/>
  <c r="J29" i="56" s="1"/>
  <c r="U36" i="56"/>
  <c r="O46" i="55"/>
  <c r="M46" i="55"/>
  <c r="F35" i="57"/>
  <c r="X24" i="57"/>
  <c r="H36" i="56"/>
  <c r="C37" i="56"/>
  <c r="Y35" i="56"/>
  <c r="T36" i="56"/>
  <c r="P34" i="57"/>
  <c r="E15" i="55"/>
  <c r="E16" i="55" s="1"/>
  <c r="D16" i="55"/>
  <c r="D18" i="55" s="1"/>
  <c r="H58" i="55"/>
  <c r="E13" i="55"/>
  <c r="D14" i="55"/>
  <c r="E14" i="55" s="1"/>
  <c r="C40" i="57"/>
  <c r="H39" i="57"/>
  <c r="N39" i="57" a="1"/>
  <c r="N39" i="57" s="1"/>
  <c r="E39" i="57" a="1"/>
  <c r="E39" i="57" s="1"/>
  <c r="E32" i="55"/>
  <c r="D33" i="55"/>
  <c r="E17" i="55"/>
  <c r="G35" i="57"/>
  <c r="P35" i="57" s="1"/>
  <c r="J15" i="57"/>
  <c r="J16" i="57" s="1"/>
  <c r="U37" i="56"/>
  <c r="P38" i="56"/>
  <c r="R37" i="56" a="1"/>
  <c r="R37" i="56" s="1"/>
  <c r="F18" i="54"/>
  <c r="E18" i="54"/>
  <c r="D18" i="54"/>
  <c r="F17" i="54"/>
  <c r="E17" i="54"/>
  <c r="D17" i="54"/>
  <c r="B6" i="54"/>
  <c r="B7" i="54" s="1"/>
  <c r="B8" i="54" s="1"/>
  <c r="B9" i="54" s="1"/>
  <c r="B10" i="54" s="1"/>
  <c r="B11" i="54" s="1"/>
  <c r="B12" i="54" s="1"/>
  <c r="B13" i="54" s="1"/>
  <c r="B14" i="54" s="1"/>
  <c r="B15" i="54" s="1"/>
  <c r="B16" i="54" s="1"/>
  <c r="C4" i="54"/>
  <c r="F9" i="53"/>
  <c r="F10" i="53"/>
  <c r="F11" i="53"/>
  <c r="F14" i="53"/>
  <c r="F15" i="53"/>
  <c r="F16" i="53"/>
  <c r="F21" i="53"/>
  <c r="F22" i="53"/>
  <c r="F23" i="53"/>
  <c r="F26" i="53"/>
  <c r="F27" i="53"/>
  <c r="F28" i="53"/>
  <c r="F33" i="53"/>
  <c r="F34" i="53"/>
  <c r="F35" i="53"/>
  <c r="F38" i="53"/>
  <c r="F39" i="53"/>
  <c r="F40" i="53"/>
  <c r="F46" i="53"/>
  <c r="F47" i="53"/>
  <c r="F48" i="53"/>
  <c r="F51" i="53"/>
  <c r="F52" i="53"/>
  <c r="F53" i="53"/>
  <c r="F58" i="53"/>
  <c r="F59" i="53"/>
  <c r="F60" i="53"/>
  <c r="F63" i="53"/>
  <c r="F64" i="53"/>
  <c r="F65" i="53"/>
  <c r="F71" i="53"/>
  <c r="F72" i="53"/>
  <c r="F73" i="53"/>
  <c r="F76" i="53"/>
  <c r="F77" i="53"/>
  <c r="F78" i="53"/>
  <c r="F83" i="53"/>
  <c r="F84" i="53"/>
  <c r="F85" i="53"/>
  <c r="F88" i="53"/>
  <c r="F89" i="53"/>
  <c r="F90" i="53"/>
  <c r="G36" i="57" l="1"/>
  <c r="P36" i="57" s="1"/>
  <c r="R38" i="56" a="1"/>
  <c r="R38" i="56" s="1"/>
  <c r="U38" i="56"/>
  <c r="P39" i="56"/>
  <c r="H40" i="57"/>
  <c r="E40" i="57" a="1"/>
  <c r="E40" i="57" s="1"/>
  <c r="N40" i="57" a="1"/>
  <c r="N40" i="57" s="1"/>
  <c r="C41" i="57"/>
  <c r="C38" i="56"/>
  <c r="H37" i="56"/>
  <c r="E37" i="56" a="1"/>
  <c r="E37" i="56" s="1"/>
  <c r="F88" i="57"/>
  <c r="W35" i="57"/>
  <c r="W88" i="57" s="1"/>
  <c r="F89" i="57" s="1"/>
  <c r="D35" i="55"/>
  <c r="E33" i="55"/>
  <c r="E18" i="55"/>
  <c r="C18" i="55"/>
  <c r="T37" i="56"/>
  <c r="T38" i="56" s="1"/>
  <c r="X36" i="56"/>
  <c r="Y36" i="56" s="1"/>
  <c r="V36" i="56"/>
  <c r="L35" i="57"/>
  <c r="X35" i="57"/>
  <c r="X34" i="57"/>
  <c r="AC34" i="57" s="1"/>
  <c r="U34" i="57"/>
  <c r="C5" i="54"/>
  <c r="C6" i="54" s="1"/>
  <c r="C7" i="54" s="1"/>
  <c r="C8" i="54" s="1"/>
  <c r="C9" i="54" s="1"/>
  <c r="C10" i="54" s="1"/>
  <c r="C11" i="54" s="1"/>
  <c r="C12" i="54" s="1"/>
  <c r="C13" i="54" s="1"/>
  <c r="C14" i="54" s="1"/>
  <c r="C15" i="54" s="1"/>
  <c r="C16" i="54" s="1"/>
  <c r="F93" i="53"/>
  <c r="AJ209" i="5"/>
  <c r="AJ208" i="5"/>
  <c r="AJ207" i="5"/>
  <c r="AJ206" i="5"/>
  <c r="AJ205" i="5"/>
  <c r="AJ201" i="5"/>
  <c r="AK201" i="5" s="1"/>
  <c r="G80" i="5"/>
  <c r="X36" i="57" l="1"/>
  <c r="J90" i="57"/>
  <c r="G37" i="57"/>
  <c r="T39" i="56"/>
  <c r="T40" i="56" s="1"/>
  <c r="V37" i="56"/>
  <c r="X37" i="56"/>
  <c r="Y37" i="56" s="1"/>
  <c r="N41" i="57" a="1"/>
  <c r="N41" i="57" s="1"/>
  <c r="C42" i="57"/>
  <c r="H41" i="57"/>
  <c r="E41" i="57" a="1"/>
  <c r="E41" i="57" s="1"/>
  <c r="P40" i="56"/>
  <c r="R39" i="56" a="1"/>
  <c r="R39" i="56" s="1"/>
  <c r="U39" i="56"/>
  <c r="H38" i="56"/>
  <c r="C39" i="56"/>
  <c r="E38" i="56" a="1"/>
  <c r="E38" i="56" s="1"/>
  <c r="W36" i="56"/>
  <c r="C35" i="55"/>
  <c r="E35" i="55"/>
  <c r="K36" i="57"/>
  <c r="L36" i="57" s="1"/>
  <c r="I36" i="57"/>
  <c r="Q35" i="57"/>
  <c r="E19" i="54" a="1"/>
  <c r="E19" i="54" s="1"/>
  <c r="D19" i="54" a="1"/>
  <c r="D19" i="54" s="1"/>
  <c r="F19" i="54" a="1"/>
  <c r="F19" i="54" s="1"/>
  <c r="V15" i="40"/>
  <c r="V14" i="40"/>
  <c r="V13" i="40"/>
  <c r="V12" i="40"/>
  <c r="V11" i="40"/>
  <c r="V10" i="40"/>
  <c r="V9" i="40"/>
  <c r="V8" i="40"/>
  <c r="V7" i="40"/>
  <c r="V6" i="40"/>
  <c r="V5" i="40"/>
  <c r="V4" i="40"/>
  <c r="U4" i="40"/>
  <c r="S13" i="40"/>
  <c r="S11" i="40"/>
  <c r="S10" i="40"/>
  <c r="S9" i="40"/>
  <c r="S8" i="40"/>
  <c r="S7" i="40"/>
  <c r="S6" i="40"/>
  <c r="S5" i="40"/>
  <c r="S4" i="40"/>
  <c r="S12" i="40" s="1"/>
  <c r="Q4" i="40"/>
  <c r="R15" i="40"/>
  <c r="R14" i="40"/>
  <c r="R12" i="40"/>
  <c r="R13" i="40"/>
  <c r="O15" i="40"/>
  <c r="O14" i="40"/>
  <c r="O13" i="40"/>
  <c r="O12" i="40"/>
  <c r="P15" i="40"/>
  <c r="P14" i="40"/>
  <c r="P13" i="40"/>
  <c r="P12" i="40"/>
  <c r="Q11" i="40"/>
  <c r="Q10" i="40"/>
  <c r="Q9" i="40"/>
  <c r="Q8" i="40"/>
  <c r="Q7" i="40"/>
  <c r="Q6" i="40"/>
  <c r="Q5" i="40"/>
  <c r="Q13" i="40"/>
  <c r="E15" i="40"/>
  <c r="F15" i="40"/>
  <c r="F14" i="40"/>
  <c r="F13" i="40"/>
  <c r="F12" i="40"/>
  <c r="T16" i="40"/>
  <c r="T15" i="40"/>
  <c r="T14" i="40"/>
  <c r="T13" i="40"/>
  <c r="T12" i="40"/>
  <c r="U11" i="40"/>
  <c r="U10" i="40"/>
  <c r="U9" i="40"/>
  <c r="U8" i="40"/>
  <c r="U7" i="40"/>
  <c r="U6" i="40"/>
  <c r="U5" i="40"/>
  <c r="D3" i="50"/>
  <c r="G39" i="57" l="1"/>
  <c r="P37" i="57"/>
  <c r="X37" i="57" s="1"/>
  <c r="G38" i="57"/>
  <c r="T41" i="56"/>
  <c r="W37" i="56"/>
  <c r="K37" i="57"/>
  <c r="L37" i="57" s="1"/>
  <c r="Q36" i="57"/>
  <c r="Y36" i="57" s="1"/>
  <c r="I37" i="57"/>
  <c r="C40" i="56"/>
  <c r="E39" i="56" a="1"/>
  <c r="E39" i="56" s="1"/>
  <c r="H39" i="56"/>
  <c r="Y35" i="57"/>
  <c r="U35" i="57"/>
  <c r="V38" i="56"/>
  <c r="X38" i="56"/>
  <c r="Y38" i="56" s="1"/>
  <c r="J36" i="57"/>
  <c r="H42" i="57"/>
  <c r="N42" i="57" a="1"/>
  <c r="N42" i="57" s="1"/>
  <c r="E42" i="57" a="1"/>
  <c r="E42" i="57" s="1"/>
  <c r="C43" i="57"/>
  <c r="T42" i="56"/>
  <c r="R40" i="56" a="1"/>
  <c r="R40" i="56" s="1"/>
  <c r="P41" i="56"/>
  <c r="U40" i="56"/>
  <c r="D21" i="54"/>
  <c r="AJ26" i="5" s="1"/>
  <c r="H26" i="5" s="1"/>
  <c r="I26" i="5" s="1"/>
  <c r="S14" i="40"/>
  <c r="S15" i="40"/>
  <c r="Q12" i="40"/>
  <c r="U15" i="40"/>
  <c r="Q14" i="40"/>
  <c r="U14" i="40"/>
  <c r="Q15" i="40"/>
  <c r="U13" i="40"/>
  <c r="U12" i="40"/>
  <c r="AI21" i="5"/>
  <c r="G145" i="5" s="1"/>
  <c r="G146" i="5" s="1"/>
  <c r="G147" i="5" s="1"/>
  <c r="G169" i="5"/>
  <c r="G40" i="57" l="1"/>
  <c r="P38" i="57"/>
  <c r="X38" i="57" s="1"/>
  <c r="P39" i="57"/>
  <c r="X39" i="57" s="1"/>
  <c r="C41" i="56"/>
  <c r="E40" i="56" a="1"/>
  <c r="E40" i="56" s="1"/>
  <c r="H40" i="56"/>
  <c r="U41" i="56"/>
  <c r="P42" i="56"/>
  <c r="R41" i="56" a="1"/>
  <c r="R41" i="56" s="1"/>
  <c r="J37" i="57"/>
  <c r="H43" i="57"/>
  <c r="N43" i="57" a="1"/>
  <c r="N43" i="57" s="1"/>
  <c r="E43" i="57" a="1"/>
  <c r="E43" i="57" s="1"/>
  <c r="C44" i="57"/>
  <c r="V39" i="56"/>
  <c r="X39" i="56"/>
  <c r="Y39" i="56" s="1"/>
  <c r="T43" i="56"/>
  <c r="T36" i="57"/>
  <c r="U36" i="57" s="1"/>
  <c r="R36" i="57"/>
  <c r="I38" i="57"/>
  <c r="K38" i="57"/>
  <c r="Q37" i="57"/>
  <c r="W38" i="56"/>
  <c r="AC35" i="57"/>
  <c r="M19" i="54"/>
  <c r="N19" i="54" s="1"/>
  <c r="I19" i="54"/>
  <c r="J19" i="54" s="1"/>
  <c r="G144" i="5"/>
  <c r="AJ245" i="5"/>
  <c r="G42" i="57" l="1"/>
  <c r="P42" i="57" s="1"/>
  <c r="X42" i="57" s="1"/>
  <c r="P40" i="57"/>
  <c r="X40" i="57" s="1"/>
  <c r="G41" i="57"/>
  <c r="X40" i="56"/>
  <c r="Y40" i="56" s="1"/>
  <c r="V40" i="56"/>
  <c r="W39" i="56"/>
  <c r="T37" i="57"/>
  <c r="AB37" i="57" s="1"/>
  <c r="R37" i="57"/>
  <c r="C45" i="57"/>
  <c r="N44" i="57" a="1"/>
  <c r="N44" i="57" s="1"/>
  <c r="H44" i="57"/>
  <c r="E44" i="57" a="1"/>
  <c r="E44" i="57" s="1"/>
  <c r="R42" i="56" a="1"/>
  <c r="R42" i="56" s="1"/>
  <c r="U42" i="56"/>
  <c r="P43" i="56"/>
  <c r="L38" i="57"/>
  <c r="T44" i="56"/>
  <c r="J38" i="57"/>
  <c r="S36" i="57"/>
  <c r="Z36" i="57"/>
  <c r="Y37" i="57"/>
  <c r="AB36" i="57"/>
  <c r="C42" i="56"/>
  <c r="H41" i="56"/>
  <c r="E41" i="56" a="1"/>
  <c r="E41" i="56" s="1"/>
  <c r="G143" i="5"/>
  <c r="AJ246" i="5"/>
  <c r="J237" i="5"/>
  <c r="I237" i="5"/>
  <c r="H158" i="5"/>
  <c r="I271" i="5" l="1"/>
  <c r="I247" i="5"/>
  <c r="I270" i="5"/>
  <c r="E270" i="5"/>
  <c r="I249" i="5"/>
  <c r="P41" i="57"/>
  <c r="X41" i="57" s="1"/>
  <c r="G43" i="57"/>
  <c r="U37" i="57"/>
  <c r="T38" i="57" s="1"/>
  <c r="W40" i="56"/>
  <c r="V41" i="56"/>
  <c r="X41" i="56"/>
  <c r="Y41" i="56" s="1"/>
  <c r="S37" i="57"/>
  <c r="Z37" i="57"/>
  <c r="AA37" i="57" s="1"/>
  <c r="T45" i="56"/>
  <c r="K39" i="57"/>
  <c r="I39" i="57"/>
  <c r="Q38" i="57"/>
  <c r="H42" i="56"/>
  <c r="C43" i="56"/>
  <c r="E42" i="56" a="1"/>
  <c r="E42" i="56" s="1"/>
  <c r="AA36" i="57"/>
  <c r="N45" i="57" a="1"/>
  <c r="N45" i="57" s="1"/>
  <c r="E45" i="57" a="1"/>
  <c r="E45" i="57" s="1"/>
  <c r="C46" i="57"/>
  <c r="H45" i="57"/>
  <c r="AC36" i="57"/>
  <c r="AC37" i="57" s="1"/>
  <c r="U43" i="56"/>
  <c r="P44" i="56"/>
  <c r="R43" i="56" a="1"/>
  <c r="R43" i="56" s="1"/>
  <c r="D10" i="52"/>
  <c r="D11" i="52"/>
  <c r="D12" i="52"/>
  <c r="N19" i="52"/>
  <c r="R38" i="57" l="1"/>
  <c r="Z38" i="57" s="1"/>
  <c r="P43" i="57"/>
  <c r="X43" i="57" s="1"/>
  <c r="G44" i="57"/>
  <c r="X42" i="56"/>
  <c r="Y42" i="56" s="1"/>
  <c r="V42" i="56"/>
  <c r="C44" i="56"/>
  <c r="H43" i="56"/>
  <c r="E43" i="56" a="1"/>
  <c r="E43" i="56" s="1"/>
  <c r="J39" i="57"/>
  <c r="N46" i="57" a="1"/>
  <c r="N46" i="57" s="1"/>
  <c r="E46" i="57" a="1"/>
  <c r="E46" i="57" s="1"/>
  <c r="H46" i="57"/>
  <c r="C47" i="57"/>
  <c r="L39" i="57"/>
  <c r="AB38" i="57"/>
  <c r="T46" i="56"/>
  <c r="R44" i="56" a="1"/>
  <c r="R44" i="56" s="1"/>
  <c r="U44" i="56"/>
  <c r="P45" i="56"/>
  <c r="U38" i="57"/>
  <c r="W41" i="56"/>
  <c r="Y38" i="57"/>
  <c r="I7" i="40"/>
  <c r="I8" i="40"/>
  <c r="I9" i="40"/>
  <c r="I10" i="40"/>
  <c r="I11" i="40"/>
  <c r="B37" i="41"/>
  <c r="B36" i="41"/>
  <c r="B35" i="41"/>
  <c r="B34" i="41"/>
  <c r="B33" i="41"/>
  <c r="I6" i="40"/>
  <c r="I5" i="40"/>
  <c r="G6" i="40"/>
  <c r="G5" i="40"/>
  <c r="S38" i="57" l="1"/>
  <c r="AA38" i="57"/>
  <c r="P44" i="57"/>
  <c r="X44" i="57" s="1"/>
  <c r="G45" i="57"/>
  <c r="P45" i="57" s="1"/>
  <c r="X45" i="57" s="1"/>
  <c r="W42" i="56"/>
  <c r="H47" i="57"/>
  <c r="E47" i="57" a="1"/>
  <c r="E47" i="57" s="1"/>
  <c r="N47" i="57" a="1"/>
  <c r="N47" i="57" s="1"/>
  <c r="C48" i="57"/>
  <c r="T47" i="56"/>
  <c r="P46" i="56"/>
  <c r="R45" i="56" a="1"/>
  <c r="R45" i="56" s="1"/>
  <c r="E44" i="56" a="1"/>
  <c r="E44" i="56" s="1"/>
  <c r="C45" i="56"/>
  <c r="H44" i="56"/>
  <c r="V43" i="56"/>
  <c r="X43" i="56"/>
  <c r="Y43" i="56" s="1"/>
  <c r="T39" i="57"/>
  <c r="R39" i="57"/>
  <c r="AC38" i="57"/>
  <c r="K40" i="57"/>
  <c r="L40" i="57" s="1"/>
  <c r="Q39" i="57"/>
  <c r="I40" i="57"/>
  <c r="N18" i="52"/>
  <c r="U39" i="57" l="1"/>
  <c r="R40" i="57" s="1"/>
  <c r="G46" i="57"/>
  <c r="C46" i="56"/>
  <c r="E45" i="56" a="1"/>
  <c r="E45" i="56" s="1"/>
  <c r="Y39" i="57"/>
  <c r="S39" i="57"/>
  <c r="Z39" i="57"/>
  <c r="AB39" i="57"/>
  <c r="C49" i="57"/>
  <c r="H48" i="57"/>
  <c r="E48" i="57" a="1"/>
  <c r="E48" i="57" s="1"/>
  <c r="N48" i="57" a="1"/>
  <c r="N48" i="57" s="1"/>
  <c r="J40" i="57"/>
  <c r="V44" i="56"/>
  <c r="X44" i="56"/>
  <c r="Y44" i="56" s="1"/>
  <c r="W43" i="56"/>
  <c r="R46" i="56" a="1"/>
  <c r="R46" i="56" s="1"/>
  <c r="P47" i="56"/>
  <c r="U46" i="56"/>
  <c r="T40" i="57"/>
  <c r="I41" i="57"/>
  <c r="Q40" i="57"/>
  <c r="Y40" i="57" s="1"/>
  <c r="K41" i="57"/>
  <c r="L41" i="57" s="1"/>
  <c r="T48" i="56"/>
  <c r="AP19" i="5"/>
  <c r="AP18" i="5"/>
  <c r="C530" i="42"/>
  <c r="C529" i="42"/>
  <c r="C527" i="42"/>
  <c r="C526" i="42"/>
  <c r="C525" i="42"/>
  <c r="C524" i="42"/>
  <c r="C523" i="42"/>
  <c r="C522" i="42"/>
  <c r="C521" i="42"/>
  <c r="C520" i="42"/>
  <c r="C519" i="42"/>
  <c r="C518" i="42"/>
  <c r="C517" i="42"/>
  <c r="C516" i="42"/>
  <c r="C515" i="42"/>
  <c r="C514" i="42"/>
  <c r="C513" i="42"/>
  <c r="C512" i="42"/>
  <c r="C511" i="42"/>
  <c r="C510" i="42"/>
  <c r="C509" i="42"/>
  <c r="C508" i="42"/>
  <c r="C507" i="42"/>
  <c r="C506" i="42"/>
  <c r="C505" i="42"/>
  <c r="C504" i="42"/>
  <c r="C503" i="42"/>
  <c r="C502" i="42"/>
  <c r="C501" i="42"/>
  <c r="C500" i="42"/>
  <c r="C499" i="42"/>
  <c r="C498" i="42"/>
  <c r="C497" i="42"/>
  <c r="C496" i="42"/>
  <c r="C495" i="42"/>
  <c r="C494" i="42"/>
  <c r="C493" i="42"/>
  <c r="C492" i="42"/>
  <c r="C491" i="42"/>
  <c r="C490" i="42"/>
  <c r="C489" i="42"/>
  <c r="C488" i="42"/>
  <c r="C487" i="42"/>
  <c r="C486" i="42"/>
  <c r="C485" i="42"/>
  <c r="C484" i="42"/>
  <c r="C483" i="42"/>
  <c r="C482" i="42"/>
  <c r="C481" i="42"/>
  <c r="C480" i="42"/>
  <c r="C479" i="42"/>
  <c r="C478" i="42"/>
  <c r="C477" i="42"/>
  <c r="C476" i="42"/>
  <c r="C475" i="42"/>
  <c r="C474" i="42"/>
  <c r="C473" i="42"/>
  <c r="C472" i="42"/>
  <c r="C471" i="42"/>
  <c r="C470" i="42"/>
  <c r="C469" i="42"/>
  <c r="C468" i="42"/>
  <c r="C467" i="42"/>
  <c r="C466" i="42"/>
  <c r="C465" i="42"/>
  <c r="C464" i="42"/>
  <c r="C463" i="42"/>
  <c r="C462" i="42"/>
  <c r="C461" i="42"/>
  <c r="C460" i="42"/>
  <c r="C459" i="42"/>
  <c r="C458" i="42"/>
  <c r="C457" i="42"/>
  <c r="C456" i="42"/>
  <c r="C455" i="42"/>
  <c r="C454" i="42"/>
  <c r="C453" i="42"/>
  <c r="C452" i="42"/>
  <c r="C451" i="42"/>
  <c r="C450" i="42"/>
  <c r="C449" i="42"/>
  <c r="C448" i="42"/>
  <c r="C447" i="42"/>
  <c r="C446" i="42"/>
  <c r="C445" i="42"/>
  <c r="C444" i="42"/>
  <c r="C443" i="42"/>
  <c r="C442" i="42"/>
  <c r="C441" i="42"/>
  <c r="C440" i="42"/>
  <c r="C439" i="42"/>
  <c r="C438" i="42"/>
  <c r="C437" i="42"/>
  <c r="C436" i="42"/>
  <c r="C435" i="42"/>
  <c r="C434" i="42"/>
  <c r="C433" i="42"/>
  <c r="C432" i="42"/>
  <c r="C431" i="42"/>
  <c r="C430" i="42"/>
  <c r="C429" i="42"/>
  <c r="C428" i="42"/>
  <c r="C427" i="42"/>
  <c r="C426" i="42"/>
  <c r="C425" i="42"/>
  <c r="C424" i="42"/>
  <c r="C423" i="42"/>
  <c r="C422" i="42"/>
  <c r="C421" i="42"/>
  <c r="C420" i="42"/>
  <c r="C419" i="42"/>
  <c r="C418" i="42"/>
  <c r="C417" i="42"/>
  <c r="C416" i="42"/>
  <c r="C415" i="42"/>
  <c r="C414" i="42"/>
  <c r="C413" i="42"/>
  <c r="C412" i="42"/>
  <c r="C411" i="42"/>
  <c r="C410" i="42"/>
  <c r="C409" i="42"/>
  <c r="C408" i="42"/>
  <c r="C407" i="42"/>
  <c r="C406" i="42"/>
  <c r="C405" i="42"/>
  <c r="C404" i="42"/>
  <c r="C403" i="42"/>
  <c r="C402" i="42"/>
  <c r="C401" i="42"/>
  <c r="C400" i="42"/>
  <c r="C399" i="42"/>
  <c r="C398" i="42"/>
  <c r="C397" i="42"/>
  <c r="C396" i="42"/>
  <c r="C395" i="42"/>
  <c r="C394" i="42"/>
  <c r="C393" i="42"/>
  <c r="C392" i="42"/>
  <c r="C391" i="42"/>
  <c r="C390" i="42"/>
  <c r="C389" i="42"/>
  <c r="C388" i="42"/>
  <c r="C387" i="42"/>
  <c r="C386" i="42"/>
  <c r="C385" i="42"/>
  <c r="C384" i="42"/>
  <c r="C383" i="42"/>
  <c r="C382" i="42"/>
  <c r="C381" i="42"/>
  <c r="C380" i="42"/>
  <c r="C379" i="42"/>
  <c r="C378" i="42"/>
  <c r="C377" i="42"/>
  <c r="C376" i="42"/>
  <c r="C375" i="42"/>
  <c r="C374" i="42"/>
  <c r="C373" i="42"/>
  <c r="C372" i="42"/>
  <c r="C371" i="42"/>
  <c r="C370" i="42"/>
  <c r="C369" i="42"/>
  <c r="C368" i="42"/>
  <c r="C367" i="42"/>
  <c r="C366" i="42"/>
  <c r="C365" i="42"/>
  <c r="C364" i="42"/>
  <c r="C363" i="42"/>
  <c r="C362" i="42"/>
  <c r="C361" i="42"/>
  <c r="C360" i="42"/>
  <c r="C359" i="42"/>
  <c r="C358" i="42"/>
  <c r="C357" i="42"/>
  <c r="C356" i="42"/>
  <c r="C355" i="42"/>
  <c r="C354" i="42"/>
  <c r="C353" i="42"/>
  <c r="C352" i="42"/>
  <c r="C351" i="42"/>
  <c r="C350" i="42"/>
  <c r="C349" i="42"/>
  <c r="C348" i="42"/>
  <c r="C347" i="42"/>
  <c r="C346" i="42"/>
  <c r="C345" i="42"/>
  <c r="C344" i="42"/>
  <c r="C343" i="42"/>
  <c r="C342" i="42"/>
  <c r="C341" i="42"/>
  <c r="C340" i="42"/>
  <c r="C339" i="42"/>
  <c r="C338" i="42"/>
  <c r="C337" i="42"/>
  <c r="C336" i="42"/>
  <c r="C335" i="42"/>
  <c r="C334" i="42"/>
  <c r="C333" i="42"/>
  <c r="C332" i="42"/>
  <c r="C331" i="42"/>
  <c r="C330" i="42"/>
  <c r="C329" i="42"/>
  <c r="C328" i="42"/>
  <c r="C327" i="42"/>
  <c r="C326" i="42"/>
  <c r="C325" i="42"/>
  <c r="C324" i="42"/>
  <c r="C323" i="42"/>
  <c r="C322" i="42"/>
  <c r="C321" i="42"/>
  <c r="C320" i="42"/>
  <c r="C319" i="42"/>
  <c r="C318" i="42"/>
  <c r="C317" i="42"/>
  <c r="C316" i="42"/>
  <c r="C315" i="42"/>
  <c r="C314" i="42"/>
  <c r="C313" i="42"/>
  <c r="C312" i="42"/>
  <c r="C311" i="42"/>
  <c r="C310" i="42"/>
  <c r="C309" i="42"/>
  <c r="C308" i="42"/>
  <c r="C307" i="42"/>
  <c r="C306" i="42"/>
  <c r="C305" i="42"/>
  <c r="C304" i="42"/>
  <c r="C303" i="42"/>
  <c r="C302" i="42"/>
  <c r="C301" i="42"/>
  <c r="C300" i="42"/>
  <c r="C299" i="42"/>
  <c r="C298" i="42"/>
  <c r="C297" i="42"/>
  <c r="C296" i="42"/>
  <c r="C295" i="42"/>
  <c r="C294" i="42"/>
  <c r="C293" i="42"/>
  <c r="C292" i="42"/>
  <c r="C291" i="42"/>
  <c r="C290" i="42"/>
  <c r="C289" i="42"/>
  <c r="C288" i="42"/>
  <c r="C287" i="42"/>
  <c r="C286" i="42"/>
  <c r="C285" i="42"/>
  <c r="C284" i="42"/>
  <c r="C283" i="42"/>
  <c r="C282" i="42"/>
  <c r="C281" i="42"/>
  <c r="C280" i="42"/>
  <c r="C279" i="42"/>
  <c r="C278" i="42"/>
  <c r="C277" i="42"/>
  <c r="C276" i="42"/>
  <c r="C275" i="42"/>
  <c r="C274" i="42"/>
  <c r="C273" i="42"/>
  <c r="C272" i="42"/>
  <c r="C271" i="42"/>
  <c r="C270" i="42"/>
  <c r="C269" i="42"/>
  <c r="C268" i="42"/>
  <c r="C267" i="42"/>
  <c r="C266" i="42"/>
  <c r="C265" i="42"/>
  <c r="C264" i="42"/>
  <c r="C263" i="42"/>
  <c r="C262" i="42"/>
  <c r="C261" i="42"/>
  <c r="C260" i="42"/>
  <c r="C259" i="42"/>
  <c r="C258" i="42"/>
  <c r="C257" i="42"/>
  <c r="C256" i="42"/>
  <c r="C255" i="42"/>
  <c r="C254" i="42"/>
  <c r="C253" i="42"/>
  <c r="C252" i="42"/>
  <c r="C251" i="42"/>
  <c r="C250" i="42"/>
  <c r="C249" i="42"/>
  <c r="C248" i="42"/>
  <c r="C247" i="42"/>
  <c r="C246" i="42"/>
  <c r="C245" i="42"/>
  <c r="C244" i="42"/>
  <c r="C243" i="42"/>
  <c r="C242" i="42"/>
  <c r="C241" i="42"/>
  <c r="C240" i="42"/>
  <c r="C239" i="42"/>
  <c r="C238" i="42"/>
  <c r="C237" i="42"/>
  <c r="C236" i="42"/>
  <c r="C235" i="42"/>
  <c r="C234" i="42"/>
  <c r="C233" i="42"/>
  <c r="C232" i="42"/>
  <c r="C231" i="42"/>
  <c r="C230" i="42"/>
  <c r="C229" i="42"/>
  <c r="C228" i="42"/>
  <c r="C227" i="42"/>
  <c r="C226" i="42"/>
  <c r="C225" i="42"/>
  <c r="C224" i="42"/>
  <c r="C223" i="42"/>
  <c r="C222" i="42"/>
  <c r="C221" i="42"/>
  <c r="C220" i="42"/>
  <c r="C219" i="42"/>
  <c r="C218" i="42"/>
  <c r="C217" i="42"/>
  <c r="C216" i="42"/>
  <c r="C215" i="42"/>
  <c r="C214" i="42"/>
  <c r="C213" i="42"/>
  <c r="C212" i="42"/>
  <c r="C211" i="42"/>
  <c r="C210" i="42"/>
  <c r="C209" i="42"/>
  <c r="C208" i="42"/>
  <c r="C207" i="42"/>
  <c r="C206" i="42"/>
  <c r="C205" i="42"/>
  <c r="C204" i="42"/>
  <c r="C203" i="42"/>
  <c r="C202" i="42"/>
  <c r="C201" i="42"/>
  <c r="C200" i="42"/>
  <c r="C199" i="42"/>
  <c r="C198" i="42"/>
  <c r="C197" i="42"/>
  <c r="C196" i="42"/>
  <c r="C195" i="42"/>
  <c r="C194" i="42"/>
  <c r="C193" i="42"/>
  <c r="C192" i="42"/>
  <c r="C191" i="42"/>
  <c r="C190" i="42"/>
  <c r="C189" i="42"/>
  <c r="C188" i="42"/>
  <c r="C187" i="42"/>
  <c r="C186" i="42"/>
  <c r="C185" i="42"/>
  <c r="C184" i="42"/>
  <c r="C183" i="42"/>
  <c r="C182" i="42"/>
  <c r="C181" i="42"/>
  <c r="C180" i="42"/>
  <c r="C179" i="42"/>
  <c r="C178" i="42"/>
  <c r="C177" i="42"/>
  <c r="C176" i="42"/>
  <c r="C175" i="42"/>
  <c r="C174" i="42"/>
  <c r="C173" i="42"/>
  <c r="C172" i="42"/>
  <c r="C171" i="42"/>
  <c r="C170" i="42"/>
  <c r="C169" i="42"/>
  <c r="C168" i="42"/>
  <c r="C167" i="42"/>
  <c r="C166" i="42"/>
  <c r="C165" i="42"/>
  <c r="C164" i="42"/>
  <c r="C163" i="42"/>
  <c r="C162" i="42"/>
  <c r="C161" i="42"/>
  <c r="C160" i="42"/>
  <c r="C159" i="42"/>
  <c r="C158" i="42"/>
  <c r="C157" i="42"/>
  <c r="C156" i="42"/>
  <c r="C155" i="42"/>
  <c r="C154" i="42"/>
  <c r="C153" i="42"/>
  <c r="C152" i="42"/>
  <c r="C151" i="42"/>
  <c r="C150" i="42"/>
  <c r="C149" i="42"/>
  <c r="C148" i="42"/>
  <c r="C147" i="42"/>
  <c r="C146" i="42"/>
  <c r="C145" i="42"/>
  <c r="C144" i="42"/>
  <c r="C143" i="42"/>
  <c r="C142" i="42"/>
  <c r="C141" i="42"/>
  <c r="C140" i="42"/>
  <c r="C139" i="42"/>
  <c r="C138" i="42"/>
  <c r="C137" i="42"/>
  <c r="C136" i="42"/>
  <c r="C135" i="42"/>
  <c r="C134" i="42"/>
  <c r="C133" i="42"/>
  <c r="C132" i="42"/>
  <c r="C131" i="42"/>
  <c r="C130" i="42"/>
  <c r="C129" i="42"/>
  <c r="C128" i="42"/>
  <c r="C127" i="42"/>
  <c r="C126" i="42"/>
  <c r="C125" i="42"/>
  <c r="C124" i="42"/>
  <c r="C123" i="42"/>
  <c r="C122" i="42"/>
  <c r="C121" i="42"/>
  <c r="C120" i="42"/>
  <c r="C119" i="42"/>
  <c r="C118" i="42"/>
  <c r="C117" i="42"/>
  <c r="C116" i="42"/>
  <c r="C115" i="42"/>
  <c r="C114" i="42"/>
  <c r="C113" i="42"/>
  <c r="C112" i="42"/>
  <c r="C111" i="42"/>
  <c r="C110" i="42"/>
  <c r="C109" i="42"/>
  <c r="C108" i="42"/>
  <c r="C107" i="42"/>
  <c r="C106" i="42"/>
  <c r="C105" i="42"/>
  <c r="C104" i="42"/>
  <c r="C103" i="42"/>
  <c r="C102" i="42"/>
  <c r="C101" i="42"/>
  <c r="C100" i="42"/>
  <c r="C99" i="42"/>
  <c r="C98" i="42"/>
  <c r="C97" i="42"/>
  <c r="C96" i="42"/>
  <c r="C95" i="42"/>
  <c r="C94" i="42"/>
  <c r="C93" i="42"/>
  <c r="C92" i="42"/>
  <c r="C91" i="42"/>
  <c r="C90" i="42"/>
  <c r="C89" i="42"/>
  <c r="C88" i="42"/>
  <c r="C87" i="42"/>
  <c r="C86" i="42"/>
  <c r="C85" i="42"/>
  <c r="C84" i="42"/>
  <c r="C83" i="42"/>
  <c r="C82" i="42"/>
  <c r="C81" i="42"/>
  <c r="C80" i="42"/>
  <c r="C79" i="42"/>
  <c r="C78" i="42"/>
  <c r="C77" i="42"/>
  <c r="C76" i="42"/>
  <c r="C75" i="42"/>
  <c r="C74" i="42"/>
  <c r="C73" i="42"/>
  <c r="C72" i="42"/>
  <c r="C71" i="42"/>
  <c r="C70" i="42"/>
  <c r="C69" i="42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AC39" i="57" l="1"/>
  <c r="G47" i="57"/>
  <c r="P47" i="57" s="1"/>
  <c r="X47" i="57" s="1"/>
  <c r="P46" i="57"/>
  <c r="X46" i="57" s="1"/>
  <c r="S40" i="57"/>
  <c r="T49" i="56"/>
  <c r="U40" i="57"/>
  <c r="AB40" i="57"/>
  <c r="W44" i="56"/>
  <c r="E49" i="57" a="1"/>
  <c r="E49" i="57" s="1"/>
  <c r="C50" i="57"/>
  <c r="H49" i="57"/>
  <c r="N49" i="57" a="1"/>
  <c r="N49" i="57" s="1"/>
  <c r="I42" i="57"/>
  <c r="Q41" i="57"/>
  <c r="Y41" i="57" s="1"/>
  <c r="K42" i="57"/>
  <c r="U47" i="56"/>
  <c r="P48" i="56"/>
  <c r="R47" i="56" a="1"/>
  <c r="R47" i="56" s="1"/>
  <c r="V45" i="56"/>
  <c r="X45" i="56"/>
  <c r="AA39" i="57"/>
  <c r="J41" i="57"/>
  <c r="Z40" i="57"/>
  <c r="H46" i="56"/>
  <c r="C47" i="56"/>
  <c r="E46" i="56" a="1"/>
  <c r="E46" i="56" s="1"/>
  <c r="AC40" i="57" l="1"/>
  <c r="G48" i="57"/>
  <c r="U45" i="56"/>
  <c r="Y45" i="56" s="1"/>
  <c r="W45" i="56"/>
  <c r="C48" i="56"/>
  <c r="H47" i="56"/>
  <c r="E47" i="56" a="1"/>
  <c r="E47" i="56" s="1"/>
  <c r="N50" i="57" a="1"/>
  <c r="N50" i="57" s="1"/>
  <c r="E50" i="57" a="1"/>
  <c r="E50" i="57" s="1"/>
  <c r="C51" i="57"/>
  <c r="H50" i="57"/>
  <c r="R48" i="56" a="1"/>
  <c r="R48" i="56" s="1"/>
  <c r="U48" i="56"/>
  <c r="P49" i="56"/>
  <c r="L42" i="57"/>
  <c r="R41" i="57"/>
  <c r="T41" i="57"/>
  <c r="AB41" i="57" s="1"/>
  <c r="AA40" i="57"/>
  <c r="J42" i="57"/>
  <c r="T50" i="56"/>
  <c r="F50" i="52"/>
  <c r="D14" i="52"/>
  <c r="AC41" i="57" l="1"/>
  <c r="G49" i="57"/>
  <c r="P48" i="57"/>
  <c r="X48" i="57" s="1"/>
  <c r="V46" i="56"/>
  <c r="X46" i="56"/>
  <c r="Y46" i="56" s="1"/>
  <c r="V47" i="56" s="1"/>
  <c r="U49" i="56"/>
  <c r="P50" i="56"/>
  <c r="R49" i="56" a="1"/>
  <c r="R49" i="56" s="1"/>
  <c r="C52" i="57"/>
  <c r="N51" i="57" a="1"/>
  <c r="N51" i="57" s="1"/>
  <c r="H51" i="57"/>
  <c r="E51" i="57" a="1"/>
  <c r="E51" i="57" s="1"/>
  <c r="T51" i="56"/>
  <c r="U41" i="57"/>
  <c r="S41" i="57"/>
  <c r="Z41" i="57"/>
  <c r="H48" i="56"/>
  <c r="C49" i="56"/>
  <c r="E48" i="56" a="1"/>
  <c r="E48" i="56" s="1"/>
  <c r="Q42" i="57"/>
  <c r="Y42" i="57" s="1"/>
  <c r="I43" i="57"/>
  <c r="K43" i="57"/>
  <c r="F51" i="52"/>
  <c r="F49" i="52"/>
  <c r="J40" i="42"/>
  <c r="J41" i="42"/>
  <c r="J42" i="42"/>
  <c r="J43" i="42"/>
  <c r="J44" i="42"/>
  <c r="J45" i="42"/>
  <c r="J46" i="42"/>
  <c r="J47" i="42"/>
  <c r="J48" i="42"/>
  <c r="J49" i="42"/>
  <c r="J50" i="42"/>
  <c r="J51" i="42"/>
  <c r="J52" i="42"/>
  <c r="J53" i="42"/>
  <c r="J54" i="42"/>
  <c r="J55" i="42"/>
  <c r="J56" i="42"/>
  <c r="J57" i="42"/>
  <c r="J58" i="42"/>
  <c r="J59" i="42"/>
  <c r="J60" i="42"/>
  <c r="J61" i="42"/>
  <c r="J62" i="42"/>
  <c r="J63" i="42"/>
  <c r="J64" i="42"/>
  <c r="J65" i="42"/>
  <c r="J66" i="42"/>
  <c r="J67" i="42"/>
  <c r="J68" i="42"/>
  <c r="J69" i="42"/>
  <c r="J70" i="42"/>
  <c r="J71" i="42"/>
  <c r="J72" i="42"/>
  <c r="J73" i="42"/>
  <c r="J74" i="42"/>
  <c r="J75" i="42"/>
  <c r="J76" i="42"/>
  <c r="J77" i="42"/>
  <c r="J78" i="42"/>
  <c r="J79" i="42"/>
  <c r="J80" i="42"/>
  <c r="J81" i="42"/>
  <c r="J82" i="42"/>
  <c r="J83" i="42"/>
  <c r="J84" i="42"/>
  <c r="J85" i="42"/>
  <c r="J86" i="42"/>
  <c r="J87" i="42"/>
  <c r="J88" i="42"/>
  <c r="J89" i="42"/>
  <c r="J90" i="42"/>
  <c r="J91" i="42"/>
  <c r="J92" i="42"/>
  <c r="J93" i="42"/>
  <c r="J94" i="42"/>
  <c r="J95" i="42"/>
  <c r="J96" i="42"/>
  <c r="J97" i="42"/>
  <c r="J98" i="42"/>
  <c r="J99" i="42"/>
  <c r="J100" i="42"/>
  <c r="J101" i="42"/>
  <c r="J102" i="42"/>
  <c r="J103" i="42"/>
  <c r="J104" i="42"/>
  <c r="J105" i="42"/>
  <c r="J106" i="42"/>
  <c r="J107" i="42"/>
  <c r="J108" i="42"/>
  <c r="J109" i="42"/>
  <c r="J110" i="42"/>
  <c r="J111" i="42"/>
  <c r="J112" i="42"/>
  <c r="J113" i="42"/>
  <c r="J114" i="42"/>
  <c r="J115" i="42"/>
  <c r="J116" i="42"/>
  <c r="J117" i="42"/>
  <c r="J118" i="42"/>
  <c r="J119" i="42"/>
  <c r="J120" i="42"/>
  <c r="J121" i="42"/>
  <c r="J122" i="42"/>
  <c r="J123" i="42"/>
  <c r="J124" i="42"/>
  <c r="J125" i="42"/>
  <c r="J126" i="42"/>
  <c r="J127" i="42"/>
  <c r="J128" i="42"/>
  <c r="J129" i="42"/>
  <c r="J130" i="42"/>
  <c r="J131" i="42"/>
  <c r="J132" i="42"/>
  <c r="J133" i="42"/>
  <c r="J134" i="42"/>
  <c r="J135" i="42"/>
  <c r="J136" i="42"/>
  <c r="J137" i="42"/>
  <c r="J138" i="42"/>
  <c r="J139" i="42"/>
  <c r="J140" i="42"/>
  <c r="J141" i="42"/>
  <c r="J142" i="42"/>
  <c r="J143" i="42"/>
  <c r="J144" i="42"/>
  <c r="J145" i="42"/>
  <c r="J146" i="42"/>
  <c r="J147" i="42"/>
  <c r="J148" i="42"/>
  <c r="J149" i="42"/>
  <c r="J150" i="42"/>
  <c r="J151" i="42"/>
  <c r="J152" i="42"/>
  <c r="J153" i="42"/>
  <c r="J154" i="42"/>
  <c r="J155" i="42"/>
  <c r="J156" i="42"/>
  <c r="J157" i="42"/>
  <c r="J158" i="42"/>
  <c r="J159" i="42"/>
  <c r="J160" i="42"/>
  <c r="J161" i="42"/>
  <c r="J162" i="42"/>
  <c r="J163" i="42"/>
  <c r="J164" i="42"/>
  <c r="J165" i="42"/>
  <c r="J166" i="42"/>
  <c r="J167" i="42"/>
  <c r="J168" i="42"/>
  <c r="J169" i="42"/>
  <c r="J170" i="42"/>
  <c r="J171" i="42"/>
  <c r="J172" i="42"/>
  <c r="J173" i="42"/>
  <c r="J174" i="42"/>
  <c r="J175" i="42"/>
  <c r="J176" i="42"/>
  <c r="J177" i="42"/>
  <c r="J178" i="42"/>
  <c r="J179" i="42"/>
  <c r="J180" i="42"/>
  <c r="J181" i="42"/>
  <c r="J182" i="42"/>
  <c r="J183" i="42"/>
  <c r="J184" i="42"/>
  <c r="J185" i="42"/>
  <c r="J186" i="42"/>
  <c r="J187" i="42"/>
  <c r="J188" i="42"/>
  <c r="J189" i="42"/>
  <c r="J190" i="42"/>
  <c r="J191" i="42"/>
  <c r="J192" i="42"/>
  <c r="J193" i="42"/>
  <c r="J194" i="42"/>
  <c r="J195" i="42"/>
  <c r="J196" i="42"/>
  <c r="J197" i="42"/>
  <c r="J198" i="42"/>
  <c r="J199" i="42"/>
  <c r="J200" i="42"/>
  <c r="J201" i="42"/>
  <c r="J202" i="42"/>
  <c r="J203" i="42"/>
  <c r="J204" i="42"/>
  <c r="J205" i="42"/>
  <c r="J206" i="42"/>
  <c r="J207" i="42"/>
  <c r="J208" i="42"/>
  <c r="J209" i="42"/>
  <c r="J210" i="42"/>
  <c r="J211" i="42"/>
  <c r="J212" i="42"/>
  <c r="J213" i="42"/>
  <c r="J214" i="42"/>
  <c r="J215" i="42"/>
  <c r="J216" i="42"/>
  <c r="J217" i="42"/>
  <c r="J218" i="42"/>
  <c r="J219" i="42"/>
  <c r="J220" i="42"/>
  <c r="J221" i="42"/>
  <c r="J222" i="42"/>
  <c r="J223" i="42"/>
  <c r="J224" i="42"/>
  <c r="J225" i="42"/>
  <c r="J226" i="42"/>
  <c r="J227" i="42"/>
  <c r="J228" i="42"/>
  <c r="J229" i="42"/>
  <c r="J230" i="42"/>
  <c r="J231" i="42"/>
  <c r="J232" i="42"/>
  <c r="J233" i="42"/>
  <c r="J234" i="42"/>
  <c r="J235" i="42"/>
  <c r="J236" i="42"/>
  <c r="J237" i="42"/>
  <c r="J238" i="42"/>
  <c r="J239" i="42"/>
  <c r="J240" i="42"/>
  <c r="J241" i="42"/>
  <c r="J242" i="42"/>
  <c r="J243" i="42"/>
  <c r="J244" i="42"/>
  <c r="J245" i="42"/>
  <c r="J246" i="42"/>
  <c r="J247" i="42"/>
  <c r="J248" i="42"/>
  <c r="J249" i="42"/>
  <c r="J250" i="42"/>
  <c r="J251" i="42"/>
  <c r="J252" i="42"/>
  <c r="J253" i="42"/>
  <c r="J254" i="42"/>
  <c r="J255" i="42"/>
  <c r="J256" i="42"/>
  <c r="J257" i="42"/>
  <c r="J258" i="42"/>
  <c r="J259" i="42"/>
  <c r="J260" i="42"/>
  <c r="J261" i="42"/>
  <c r="J262" i="42"/>
  <c r="J263" i="42"/>
  <c r="J264" i="42"/>
  <c r="J265" i="42"/>
  <c r="J266" i="42"/>
  <c r="J267" i="42"/>
  <c r="J268" i="42"/>
  <c r="J269" i="42"/>
  <c r="J270" i="42"/>
  <c r="J271" i="42"/>
  <c r="J272" i="42"/>
  <c r="J273" i="42"/>
  <c r="J274" i="42"/>
  <c r="J275" i="42"/>
  <c r="J276" i="42"/>
  <c r="J277" i="42"/>
  <c r="J278" i="42"/>
  <c r="J279" i="42"/>
  <c r="J280" i="42"/>
  <c r="J281" i="42"/>
  <c r="J282" i="42"/>
  <c r="J283" i="42"/>
  <c r="J284" i="42"/>
  <c r="J285" i="42"/>
  <c r="J286" i="42"/>
  <c r="J287" i="42"/>
  <c r="J288" i="42"/>
  <c r="J289" i="42"/>
  <c r="J290" i="42"/>
  <c r="J291" i="42"/>
  <c r="J292" i="42"/>
  <c r="J293" i="42"/>
  <c r="J294" i="42"/>
  <c r="J295" i="42"/>
  <c r="J296" i="42"/>
  <c r="J297" i="42"/>
  <c r="J298" i="42"/>
  <c r="J299" i="42"/>
  <c r="J300" i="42"/>
  <c r="J301" i="42"/>
  <c r="J302" i="42"/>
  <c r="J303" i="42"/>
  <c r="J304" i="42"/>
  <c r="J305" i="42"/>
  <c r="J306" i="42"/>
  <c r="J307" i="42"/>
  <c r="J308" i="42"/>
  <c r="J309" i="42"/>
  <c r="J310" i="42"/>
  <c r="J311" i="42"/>
  <c r="J312" i="42"/>
  <c r="J313" i="42"/>
  <c r="J314" i="42"/>
  <c r="J315" i="42"/>
  <c r="J316" i="42"/>
  <c r="J317" i="42"/>
  <c r="J318" i="42"/>
  <c r="J319" i="42"/>
  <c r="J320" i="42"/>
  <c r="J321" i="42"/>
  <c r="J322" i="42"/>
  <c r="J323" i="42"/>
  <c r="J324" i="42"/>
  <c r="J325" i="42"/>
  <c r="J326" i="42"/>
  <c r="J327" i="42"/>
  <c r="J328" i="42"/>
  <c r="J329" i="42"/>
  <c r="J330" i="42"/>
  <c r="J331" i="42"/>
  <c r="J332" i="42"/>
  <c r="J333" i="42"/>
  <c r="J334" i="42"/>
  <c r="J335" i="42"/>
  <c r="J336" i="42"/>
  <c r="J337" i="42"/>
  <c r="J338" i="42"/>
  <c r="J339" i="42"/>
  <c r="J340" i="42"/>
  <c r="J341" i="42"/>
  <c r="J342" i="42"/>
  <c r="J343" i="42"/>
  <c r="J344" i="42"/>
  <c r="J345" i="42"/>
  <c r="J346" i="42"/>
  <c r="J347" i="42"/>
  <c r="J348" i="42"/>
  <c r="J349" i="42"/>
  <c r="J350" i="42"/>
  <c r="J351" i="42"/>
  <c r="J352" i="42"/>
  <c r="J353" i="42"/>
  <c r="J354" i="42"/>
  <c r="J355" i="42"/>
  <c r="J356" i="42"/>
  <c r="J357" i="42"/>
  <c r="J358" i="42"/>
  <c r="J359" i="42"/>
  <c r="J360" i="42"/>
  <c r="J361" i="42"/>
  <c r="J362" i="42"/>
  <c r="J363" i="42"/>
  <c r="J364" i="42"/>
  <c r="J365" i="42"/>
  <c r="J366" i="42"/>
  <c r="J367" i="42"/>
  <c r="J368" i="42"/>
  <c r="J369" i="42"/>
  <c r="J370" i="42"/>
  <c r="J371" i="42"/>
  <c r="J372" i="42"/>
  <c r="J373" i="42"/>
  <c r="J374" i="42"/>
  <c r="J375" i="42"/>
  <c r="J376" i="42"/>
  <c r="J377" i="42"/>
  <c r="J378" i="42"/>
  <c r="J379" i="42"/>
  <c r="J380" i="42"/>
  <c r="J381" i="42"/>
  <c r="J382" i="42"/>
  <c r="J383" i="42"/>
  <c r="J384" i="42"/>
  <c r="J385" i="42"/>
  <c r="J386" i="42"/>
  <c r="J387" i="42"/>
  <c r="J388" i="42"/>
  <c r="J389" i="42"/>
  <c r="J390" i="42"/>
  <c r="J391" i="42"/>
  <c r="J392" i="42"/>
  <c r="J393" i="42"/>
  <c r="J394" i="42"/>
  <c r="J395" i="42"/>
  <c r="J396" i="42"/>
  <c r="J397" i="42"/>
  <c r="J398" i="42"/>
  <c r="J399" i="42"/>
  <c r="J400" i="42"/>
  <c r="J401" i="42"/>
  <c r="J402" i="42"/>
  <c r="J403" i="42"/>
  <c r="J404" i="42"/>
  <c r="J405" i="42"/>
  <c r="J406" i="42"/>
  <c r="J407" i="42"/>
  <c r="J408" i="42"/>
  <c r="J409" i="42"/>
  <c r="J410" i="42"/>
  <c r="J411" i="42"/>
  <c r="J412" i="42"/>
  <c r="J413" i="42"/>
  <c r="J414" i="42"/>
  <c r="J415" i="42"/>
  <c r="J416" i="42"/>
  <c r="J417" i="42"/>
  <c r="J418" i="42"/>
  <c r="J419" i="42"/>
  <c r="J420" i="42"/>
  <c r="J421" i="42"/>
  <c r="J422" i="42"/>
  <c r="J423" i="42"/>
  <c r="J424" i="42"/>
  <c r="J425" i="42"/>
  <c r="J426" i="42"/>
  <c r="J427" i="42"/>
  <c r="J428" i="42"/>
  <c r="J429" i="42"/>
  <c r="J430" i="42"/>
  <c r="J431" i="42"/>
  <c r="J432" i="42"/>
  <c r="J433" i="42"/>
  <c r="J434" i="42"/>
  <c r="J435" i="42"/>
  <c r="J436" i="42"/>
  <c r="J437" i="42"/>
  <c r="J438" i="42"/>
  <c r="J439" i="42"/>
  <c r="J440" i="42"/>
  <c r="J441" i="42"/>
  <c r="J442" i="42"/>
  <c r="J443" i="42"/>
  <c r="J444" i="42"/>
  <c r="J445" i="42"/>
  <c r="J446" i="42"/>
  <c r="J447" i="42"/>
  <c r="J448" i="42"/>
  <c r="J449" i="42"/>
  <c r="J450" i="42"/>
  <c r="J451" i="42"/>
  <c r="J452" i="42"/>
  <c r="J453" i="42"/>
  <c r="J454" i="42"/>
  <c r="J455" i="42"/>
  <c r="J456" i="42"/>
  <c r="J457" i="42"/>
  <c r="J458" i="42"/>
  <c r="J459" i="42"/>
  <c r="J460" i="42"/>
  <c r="J461" i="42"/>
  <c r="J462" i="42"/>
  <c r="J463" i="42"/>
  <c r="J464" i="42"/>
  <c r="J465" i="42"/>
  <c r="J466" i="42"/>
  <c r="J467" i="42"/>
  <c r="J468" i="42"/>
  <c r="J469" i="42"/>
  <c r="J470" i="42"/>
  <c r="J471" i="42"/>
  <c r="J472" i="42"/>
  <c r="J473" i="42"/>
  <c r="J474" i="42"/>
  <c r="J475" i="42"/>
  <c r="J476" i="42"/>
  <c r="J477" i="42"/>
  <c r="J478" i="42"/>
  <c r="J479" i="42"/>
  <c r="J480" i="42"/>
  <c r="J481" i="42"/>
  <c r="J482" i="42"/>
  <c r="J483" i="42"/>
  <c r="J484" i="42"/>
  <c r="J485" i="42"/>
  <c r="J486" i="42"/>
  <c r="J487" i="42"/>
  <c r="J488" i="42"/>
  <c r="J489" i="42"/>
  <c r="J490" i="42"/>
  <c r="J491" i="42"/>
  <c r="J492" i="42"/>
  <c r="J493" i="42"/>
  <c r="J494" i="42"/>
  <c r="J495" i="42"/>
  <c r="J496" i="42"/>
  <c r="J497" i="42"/>
  <c r="J498" i="42"/>
  <c r="J499" i="42"/>
  <c r="J500" i="42"/>
  <c r="J501" i="42"/>
  <c r="J502" i="42"/>
  <c r="J503" i="42"/>
  <c r="J504" i="42"/>
  <c r="J505" i="42"/>
  <c r="J506" i="42"/>
  <c r="J507" i="42"/>
  <c r="J508" i="42"/>
  <c r="J509" i="42"/>
  <c r="J510" i="42"/>
  <c r="J511" i="42"/>
  <c r="J512" i="42"/>
  <c r="J513" i="42"/>
  <c r="J514" i="42"/>
  <c r="J515" i="42"/>
  <c r="J516" i="42"/>
  <c r="J517" i="42"/>
  <c r="J518" i="42"/>
  <c r="J519" i="42"/>
  <c r="J520" i="42"/>
  <c r="J521" i="42"/>
  <c r="J522" i="42"/>
  <c r="J523" i="42"/>
  <c r="J524" i="42"/>
  <c r="J525" i="42"/>
  <c r="J526" i="42"/>
  <c r="J527" i="42"/>
  <c r="J528" i="42"/>
  <c r="J529" i="42"/>
  <c r="J530" i="42"/>
  <c r="AJ14" i="5"/>
  <c r="AJ13" i="5"/>
  <c r="AJ12" i="5"/>
  <c r="AJ11" i="5"/>
  <c r="AJ10" i="5"/>
  <c r="AJ9" i="5"/>
  <c r="AJ8" i="5"/>
  <c r="AJ7" i="5"/>
  <c r="AJ6" i="5"/>
  <c r="AJ5" i="5"/>
  <c r="G450" i="42"/>
  <c r="G451" i="42"/>
  <c r="G452" i="42"/>
  <c r="G453" i="42"/>
  <c r="G454" i="42"/>
  <c r="G455" i="42"/>
  <c r="G456" i="42"/>
  <c r="G457" i="42"/>
  <c r="G458" i="42"/>
  <c r="G459" i="42"/>
  <c r="G460" i="42"/>
  <c r="G461" i="42"/>
  <c r="G462" i="42"/>
  <c r="G463" i="42"/>
  <c r="G464" i="42"/>
  <c r="G465" i="42"/>
  <c r="G466" i="42"/>
  <c r="G467" i="42"/>
  <c r="G468" i="42"/>
  <c r="G469" i="42"/>
  <c r="G470" i="42"/>
  <c r="G471" i="42"/>
  <c r="G472" i="42"/>
  <c r="G473" i="42"/>
  <c r="G474" i="42"/>
  <c r="G475" i="42"/>
  <c r="G476" i="42"/>
  <c r="G477" i="42"/>
  <c r="G478" i="42"/>
  <c r="G479" i="42"/>
  <c r="G480" i="42"/>
  <c r="G481" i="42"/>
  <c r="G482" i="42"/>
  <c r="G483" i="42"/>
  <c r="G484" i="42"/>
  <c r="G485" i="42"/>
  <c r="G486" i="42"/>
  <c r="G487" i="42"/>
  <c r="G488" i="42"/>
  <c r="G489" i="42"/>
  <c r="G490" i="42"/>
  <c r="G491" i="42"/>
  <c r="G492" i="42"/>
  <c r="G493" i="42"/>
  <c r="G494" i="42"/>
  <c r="G495" i="42"/>
  <c r="G496" i="42"/>
  <c r="G497" i="42"/>
  <c r="G498" i="42"/>
  <c r="G499" i="42"/>
  <c r="G500" i="42"/>
  <c r="G501" i="42"/>
  <c r="G502" i="42"/>
  <c r="G503" i="42"/>
  <c r="G504" i="42"/>
  <c r="G505" i="42"/>
  <c r="G506" i="42"/>
  <c r="G507" i="42"/>
  <c r="G508" i="42"/>
  <c r="G509" i="42"/>
  <c r="G510" i="42"/>
  <c r="G511" i="42"/>
  <c r="G512" i="42"/>
  <c r="G513" i="42"/>
  <c r="G514" i="42"/>
  <c r="G515" i="42"/>
  <c r="G516" i="42"/>
  <c r="G517" i="42"/>
  <c r="G518" i="42"/>
  <c r="G519" i="42"/>
  <c r="G520" i="42"/>
  <c r="G521" i="42"/>
  <c r="G522" i="42"/>
  <c r="G523" i="42"/>
  <c r="G524" i="42"/>
  <c r="G525" i="42"/>
  <c r="G526" i="42"/>
  <c r="G527" i="42"/>
  <c r="C528" i="42"/>
  <c r="G528" i="42"/>
  <c r="G529" i="42"/>
  <c r="G530" i="42"/>
  <c r="P49" i="57" l="1"/>
  <c r="X49" i="57" s="1"/>
  <c r="G50" i="57"/>
  <c r="G51" i="57" s="1"/>
  <c r="X47" i="56"/>
  <c r="Y47" i="56" s="1"/>
  <c r="V48" i="56" s="1"/>
  <c r="W46" i="56"/>
  <c r="C50" i="56"/>
  <c r="H49" i="56"/>
  <c r="E49" i="56" a="1"/>
  <c r="E49" i="56" s="1"/>
  <c r="R42" i="57"/>
  <c r="T42" i="57"/>
  <c r="AB42" i="57" s="1"/>
  <c r="AC42" i="57" s="1"/>
  <c r="T52" i="56"/>
  <c r="R50" i="56" a="1"/>
  <c r="R50" i="56" s="1"/>
  <c r="U50" i="56"/>
  <c r="P51" i="56"/>
  <c r="AA41" i="57"/>
  <c r="J43" i="57"/>
  <c r="L43" i="57"/>
  <c r="H52" i="57"/>
  <c r="N52" i="57" a="1"/>
  <c r="N52" i="57" s="1"/>
  <c r="C53" i="57"/>
  <c r="E52" i="57" a="1"/>
  <c r="E52" i="57" s="1"/>
  <c r="F48" i="52"/>
  <c r="F52" i="52"/>
  <c r="H67" i="5"/>
  <c r="P51" i="57" l="1"/>
  <c r="X51" i="57" s="1"/>
  <c r="P50" i="57"/>
  <c r="X50" i="57" s="1"/>
  <c r="G52" i="57"/>
  <c r="W47" i="56"/>
  <c r="X48" i="56"/>
  <c r="Y48" i="56" s="1"/>
  <c r="X49" i="56" s="1"/>
  <c r="Y49" i="56" s="1"/>
  <c r="U42" i="57"/>
  <c r="S42" i="57"/>
  <c r="Z42" i="57"/>
  <c r="AA42" i="57" s="1"/>
  <c r="P52" i="56"/>
  <c r="U51" i="56"/>
  <c r="R51" i="56" a="1"/>
  <c r="R51" i="56" s="1"/>
  <c r="Q43" i="57"/>
  <c r="Y43" i="57" s="1"/>
  <c r="K44" i="57"/>
  <c r="I44" i="57"/>
  <c r="H50" i="56"/>
  <c r="E50" i="56" a="1"/>
  <c r="E50" i="56" s="1"/>
  <c r="C51" i="56"/>
  <c r="T53" i="56"/>
  <c r="C54" i="57"/>
  <c r="E53" i="57" a="1"/>
  <c r="E53" i="57" s="1"/>
  <c r="H53" i="57"/>
  <c r="N53" i="57" a="1"/>
  <c r="N53" i="57" s="1"/>
  <c r="F47" i="52"/>
  <c r="F53" i="52"/>
  <c r="P52" i="57" l="1"/>
  <c r="X52" i="57" s="1"/>
  <c r="G53" i="57"/>
  <c r="V49" i="56"/>
  <c r="W49" i="56" s="1"/>
  <c r="W48" i="56"/>
  <c r="P53" i="56"/>
  <c r="R52" i="56" a="1"/>
  <c r="R52" i="56" s="1"/>
  <c r="U52" i="56"/>
  <c r="X50" i="56"/>
  <c r="Y50" i="56" s="1"/>
  <c r="V50" i="56"/>
  <c r="T43" i="57"/>
  <c r="AB43" i="57" s="1"/>
  <c r="AC43" i="57" s="1"/>
  <c r="R43" i="57"/>
  <c r="H51" i="56"/>
  <c r="C52" i="56"/>
  <c r="E51" i="56" a="1"/>
  <c r="E51" i="56" s="1"/>
  <c r="L44" i="57"/>
  <c r="C55" i="57"/>
  <c r="E54" i="57" a="1"/>
  <c r="E54" i="57" s="1"/>
  <c r="N54" i="57" a="1"/>
  <c r="N54" i="57" s="1"/>
  <c r="H54" i="57"/>
  <c r="J44" i="57"/>
  <c r="T54" i="56"/>
  <c r="F54" i="52"/>
  <c r="F46" i="52"/>
  <c r="F23" i="52"/>
  <c r="F37" i="52"/>
  <c r="P53" i="57" l="1"/>
  <c r="X53" i="57" s="1"/>
  <c r="G54" i="57"/>
  <c r="W50" i="56"/>
  <c r="V51" i="56"/>
  <c r="X51" i="56"/>
  <c r="Y51" i="56" s="1"/>
  <c r="H52" i="56"/>
  <c r="E52" i="56" a="1"/>
  <c r="E52" i="56" s="1"/>
  <c r="C53" i="56"/>
  <c r="H55" i="57"/>
  <c r="N55" i="57" a="1"/>
  <c r="N55" i="57" s="1"/>
  <c r="E55" i="57" a="1"/>
  <c r="E55" i="57" s="1"/>
  <c r="C56" i="57"/>
  <c r="T55" i="56"/>
  <c r="S43" i="57"/>
  <c r="Z43" i="57"/>
  <c r="AA43" i="57" s="1"/>
  <c r="K45" i="57"/>
  <c r="L45" i="57" s="1"/>
  <c r="Q44" i="57"/>
  <c r="Y44" i="57" s="1"/>
  <c r="I45" i="57"/>
  <c r="U43" i="57"/>
  <c r="P54" i="56"/>
  <c r="R53" i="56" a="1"/>
  <c r="R53" i="56" s="1"/>
  <c r="U53" i="56"/>
  <c r="H8" i="34"/>
  <c r="H7" i="34"/>
  <c r="H6" i="34"/>
  <c r="H5" i="34"/>
  <c r="H4" i="34"/>
  <c r="H3" i="34"/>
  <c r="G55" i="57" l="1"/>
  <c r="P54" i="57"/>
  <c r="X54" i="57" s="1"/>
  <c r="I46" i="57"/>
  <c r="K46" i="57"/>
  <c r="Q45" i="57"/>
  <c r="Y45" i="57" s="1"/>
  <c r="X52" i="56"/>
  <c r="Y52" i="56" s="1"/>
  <c r="V52" i="56"/>
  <c r="H53" i="56"/>
  <c r="C54" i="56"/>
  <c r="E53" i="56" a="1"/>
  <c r="E53" i="56" s="1"/>
  <c r="T56" i="56"/>
  <c r="C57" i="57"/>
  <c r="H56" i="57"/>
  <c r="E56" i="57" a="1"/>
  <c r="E56" i="57" s="1"/>
  <c r="N56" i="57" a="1"/>
  <c r="N56" i="57" s="1"/>
  <c r="W51" i="56"/>
  <c r="J45" i="57"/>
  <c r="P55" i="56"/>
  <c r="U54" i="56"/>
  <c r="R54" i="56" a="1"/>
  <c r="R54" i="56" s="1"/>
  <c r="T44" i="57"/>
  <c r="AB44" i="57" s="1"/>
  <c r="AC44" i="57" s="1"/>
  <c r="R44" i="57"/>
  <c r="D15" i="52"/>
  <c r="D9" i="52"/>
  <c r="D8" i="52"/>
  <c r="F38" i="52"/>
  <c r="F36" i="52"/>
  <c r="P55" i="57" l="1"/>
  <c r="X55" i="57" s="1"/>
  <c r="U44" i="57"/>
  <c r="R45" i="57" s="1"/>
  <c r="G56" i="57"/>
  <c r="W52" i="56"/>
  <c r="X53" i="56"/>
  <c r="Y53" i="56" s="1"/>
  <c r="V53" i="56"/>
  <c r="T45" i="57"/>
  <c r="AB45" i="57" s="1"/>
  <c r="AC45" i="57" s="1"/>
  <c r="E57" i="57" a="1"/>
  <c r="E57" i="57" s="1"/>
  <c r="C58" i="57"/>
  <c r="H57" i="57"/>
  <c r="N57" i="57" a="1"/>
  <c r="N57" i="57" s="1"/>
  <c r="U55" i="56"/>
  <c r="R55" i="56" a="1"/>
  <c r="R55" i="56" s="1"/>
  <c r="P56" i="56"/>
  <c r="T57" i="56"/>
  <c r="S44" i="57"/>
  <c r="Z44" i="57"/>
  <c r="AA44" i="57" s="1"/>
  <c r="J46" i="57"/>
  <c r="H54" i="56"/>
  <c r="C55" i="56"/>
  <c r="E54" i="56" a="1"/>
  <c r="E54" i="56" s="1"/>
  <c r="L46" i="57"/>
  <c r="F35" i="52"/>
  <c r="F34" i="52" s="1"/>
  <c r="F39" i="52"/>
  <c r="P56" i="57" l="1"/>
  <c r="X56" i="57" s="1"/>
  <c r="G57" i="57"/>
  <c r="P57" i="57" s="1"/>
  <c r="X57" i="57" s="1"/>
  <c r="W53" i="56"/>
  <c r="P57" i="56"/>
  <c r="U56" i="56"/>
  <c r="R56" i="56" a="1"/>
  <c r="R56" i="56" s="1"/>
  <c r="S45" i="57"/>
  <c r="Z45" i="57"/>
  <c r="AA45" i="57" s="1"/>
  <c r="U45" i="57"/>
  <c r="N58" i="57" a="1"/>
  <c r="N58" i="57" s="1"/>
  <c r="E58" i="57" a="1"/>
  <c r="E58" i="57" s="1"/>
  <c r="C59" i="57"/>
  <c r="H58" i="57"/>
  <c r="K47" i="57"/>
  <c r="L47" i="57" s="1"/>
  <c r="I47" i="57"/>
  <c r="Q46" i="57"/>
  <c r="Y46" i="57" s="1"/>
  <c r="H55" i="56"/>
  <c r="C56" i="56"/>
  <c r="E55" i="56" a="1"/>
  <c r="E55" i="56" s="1"/>
  <c r="T58" i="56"/>
  <c r="V54" i="56"/>
  <c r="X54" i="56"/>
  <c r="Y54" i="56" s="1"/>
  <c r="F40" i="52"/>
  <c r="R22" i="5"/>
  <c r="S20" i="5"/>
  <c r="S19" i="5"/>
  <c r="R18" i="5"/>
  <c r="Q18" i="5"/>
  <c r="P18" i="5"/>
  <c r="R17" i="5"/>
  <c r="Q17" i="5"/>
  <c r="P17" i="5"/>
  <c r="Q16" i="5"/>
  <c r="P16" i="5"/>
  <c r="G58" i="57" l="1"/>
  <c r="W54" i="56"/>
  <c r="Q47" i="57"/>
  <c r="Y47" i="57" s="1"/>
  <c r="I48" i="57"/>
  <c r="K48" i="57"/>
  <c r="L48" i="57" s="1"/>
  <c r="R46" i="57"/>
  <c r="T46" i="57"/>
  <c r="AB46" i="57" s="1"/>
  <c r="AC46" i="57" s="1"/>
  <c r="J47" i="57"/>
  <c r="C57" i="56"/>
  <c r="H56" i="56"/>
  <c r="E56" i="56" a="1"/>
  <c r="E56" i="56" s="1"/>
  <c r="X55" i="56"/>
  <c r="Y55" i="56" s="1"/>
  <c r="V55" i="56"/>
  <c r="T59" i="56"/>
  <c r="C60" i="57"/>
  <c r="N59" i="57" a="1"/>
  <c r="N59" i="57" s="1"/>
  <c r="H59" i="57"/>
  <c r="E59" i="57" a="1"/>
  <c r="E59" i="57" s="1"/>
  <c r="U57" i="56"/>
  <c r="P58" i="56"/>
  <c r="R57" i="56" a="1"/>
  <c r="R57" i="56" s="1"/>
  <c r="F33" i="52"/>
  <c r="F41" i="52"/>
  <c r="P58" i="57" l="1"/>
  <c r="X58" i="57" s="1"/>
  <c r="G59" i="57"/>
  <c r="G60" i="57" s="1"/>
  <c r="W55" i="56"/>
  <c r="X56" i="56"/>
  <c r="Y56" i="56" s="1"/>
  <c r="V56" i="56"/>
  <c r="H57" i="56"/>
  <c r="E57" i="56" a="1"/>
  <c r="E57" i="56" s="1"/>
  <c r="C58" i="56"/>
  <c r="K49" i="57"/>
  <c r="L49" i="57" s="1"/>
  <c r="Q48" i="57"/>
  <c r="Y48" i="57" s="1"/>
  <c r="I49" i="57"/>
  <c r="U46" i="57"/>
  <c r="H60" i="57"/>
  <c r="N60" i="57" a="1"/>
  <c r="N60" i="57" s="1"/>
  <c r="C61" i="57"/>
  <c r="E60" i="57" a="1"/>
  <c r="E60" i="57" s="1"/>
  <c r="T60" i="56"/>
  <c r="R58" i="56" a="1"/>
  <c r="R58" i="56" s="1"/>
  <c r="P59" i="56"/>
  <c r="U58" i="56"/>
  <c r="J48" i="57"/>
  <c r="S46" i="57"/>
  <c r="Z46" i="57"/>
  <c r="AA46" i="57" s="1"/>
  <c r="S47" i="5"/>
  <c r="P60" i="57" l="1"/>
  <c r="X60" i="57" s="1"/>
  <c r="G61" i="57"/>
  <c r="P59" i="57"/>
  <c r="X59" i="57" s="1"/>
  <c r="G62" i="57"/>
  <c r="Q49" i="57"/>
  <c r="Y49" i="57" s="1"/>
  <c r="K50" i="57"/>
  <c r="I50" i="57"/>
  <c r="U59" i="56"/>
  <c r="R59" i="56" a="1"/>
  <c r="R59" i="56" s="1"/>
  <c r="P60" i="56"/>
  <c r="T47" i="57"/>
  <c r="AB47" i="57" s="1"/>
  <c r="AC47" i="57" s="1"/>
  <c r="R47" i="57"/>
  <c r="J49" i="57"/>
  <c r="T61" i="56"/>
  <c r="W56" i="56"/>
  <c r="N61" i="57" a="1"/>
  <c r="N61" i="57" s="1"/>
  <c r="E61" i="57" a="1"/>
  <c r="E61" i="57" s="1"/>
  <c r="C62" i="57"/>
  <c r="H61" i="57"/>
  <c r="E58" i="56" a="1"/>
  <c r="E58" i="56" s="1"/>
  <c r="C59" i="56"/>
  <c r="H58" i="56"/>
  <c r="X57" i="56"/>
  <c r="Y57" i="56" s="1"/>
  <c r="V57" i="56"/>
  <c r="U49" i="5"/>
  <c r="P62" i="57" l="1"/>
  <c r="X62" i="57" s="1"/>
  <c r="G63" i="57"/>
  <c r="G64" i="57"/>
  <c r="P64" i="57" s="1"/>
  <c r="X64" i="57" s="1"/>
  <c r="P61" i="57"/>
  <c r="X61" i="57" s="1"/>
  <c r="G65" i="57"/>
  <c r="P65" i="57" s="1"/>
  <c r="X65" i="57" s="1"/>
  <c r="W57" i="56"/>
  <c r="J50" i="57"/>
  <c r="X58" i="56"/>
  <c r="Y58" i="56" s="1"/>
  <c r="V58" i="56"/>
  <c r="S47" i="57"/>
  <c r="Z47" i="57"/>
  <c r="AA47" i="57" s="1"/>
  <c r="T62" i="56"/>
  <c r="N62" i="57" a="1"/>
  <c r="N62" i="57" s="1"/>
  <c r="E62" i="57" a="1"/>
  <c r="E62" i="57" s="1"/>
  <c r="C63" i="57"/>
  <c r="H62" i="57"/>
  <c r="U60" i="56"/>
  <c r="P61" i="56"/>
  <c r="R60" i="56" a="1"/>
  <c r="R60" i="56" s="1"/>
  <c r="H59" i="56"/>
  <c r="E59" i="56" a="1"/>
  <c r="E59" i="56" s="1"/>
  <c r="C60" i="56"/>
  <c r="U47" i="57"/>
  <c r="L50" i="57"/>
  <c r="D139" i="5"/>
  <c r="D138" i="5"/>
  <c r="D137" i="5"/>
  <c r="D136" i="5"/>
  <c r="D135" i="5"/>
  <c r="D134" i="5"/>
  <c r="D133" i="5"/>
  <c r="D132" i="5"/>
  <c r="D131" i="5"/>
  <c r="D130" i="5"/>
  <c r="P63" i="57" l="1"/>
  <c r="X63" i="57" s="1"/>
  <c r="G66" i="57"/>
  <c r="W58" i="56"/>
  <c r="X59" i="56"/>
  <c r="Y59" i="56" s="1"/>
  <c r="V59" i="56"/>
  <c r="U61" i="56"/>
  <c r="R61" i="56" a="1"/>
  <c r="R61" i="56" s="1"/>
  <c r="P62" i="56"/>
  <c r="G67" i="57"/>
  <c r="T63" i="56"/>
  <c r="H60" i="56"/>
  <c r="E60" i="56" a="1"/>
  <c r="E60" i="56" s="1"/>
  <c r="C61" i="56"/>
  <c r="I51" i="57"/>
  <c r="K51" i="57"/>
  <c r="L51" i="57" s="1"/>
  <c r="Q50" i="57"/>
  <c r="Y50" i="57" s="1"/>
  <c r="T48" i="57"/>
  <c r="AB48" i="57" s="1"/>
  <c r="AC48" i="57" s="1"/>
  <c r="R48" i="57"/>
  <c r="C64" i="57"/>
  <c r="H63" i="57"/>
  <c r="E63" i="57" a="1"/>
  <c r="E63" i="57" s="1"/>
  <c r="N63" i="57" a="1"/>
  <c r="N63" i="57" s="1"/>
  <c r="AK29" i="5"/>
  <c r="P66" i="57" l="1"/>
  <c r="X66" i="57" s="1"/>
  <c r="W59" i="56"/>
  <c r="X60" i="56"/>
  <c r="Y60" i="56" s="1"/>
  <c r="V60" i="56"/>
  <c r="S48" i="57"/>
  <c r="Z48" i="57"/>
  <c r="AA48" i="57" s="1"/>
  <c r="K52" i="57"/>
  <c r="Q51" i="57"/>
  <c r="Y51" i="57" s="1"/>
  <c r="I52" i="57"/>
  <c r="R62" i="56" a="1"/>
  <c r="R62" i="56" s="1"/>
  <c r="U62" i="56"/>
  <c r="P63" i="56"/>
  <c r="U48" i="57"/>
  <c r="N64" i="57" a="1"/>
  <c r="N64" i="57" s="1"/>
  <c r="E64" i="57" a="1"/>
  <c r="E64" i="57" s="1"/>
  <c r="H64" i="57"/>
  <c r="C65" i="57"/>
  <c r="T64" i="56"/>
  <c r="H61" i="56"/>
  <c r="E61" i="56" a="1"/>
  <c r="E61" i="56" s="1"/>
  <c r="C62" i="56"/>
  <c r="J51" i="57"/>
  <c r="P67" i="57"/>
  <c r="X67" i="57" s="1"/>
  <c r="G68" i="57"/>
  <c r="C145" i="5"/>
  <c r="P68" i="57" l="1"/>
  <c r="X68" i="57" s="1"/>
  <c r="G69" i="57"/>
  <c r="T49" i="57"/>
  <c r="AB49" i="57" s="1"/>
  <c r="AC49" i="57" s="1"/>
  <c r="R49" i="57"/>
  <c r="T65" i="56"/>
  <c r="W60" i="56"/>
  <c r="E62" i="56" a="1"/>
  <c r="E62" i="56" s="1"/>
  <c r="C63" i="56"/>
  <c r="H62" i="56"/>
  <c r="U63" i="56"/>
  <c r="P64" i="56"/>
  <c r="R63" i="56" a="1"/>
  <c r="R63" i="56" s="1"/>
  <c r="C66" i="57"/>
  <c r="E65" i="57" a="1"/>
  <c r="E65" i="57" s="1"/>
  <c r="N65" i="57" a="1"/>
  <c r="N65" i="57" s="1"/>
  <c r="H65" i="57"/>
  <c r="L52" i="57"/>
  <c r="J52" i="57"/>
  <c r="V61" i="56"/>
  <c r="X61" i="56"/>
  <c r="Y61" i="56" s="1"/>
  <c r="C144" i="5"/>
  <c r="C143" i="5" s="1"/>
  <c r="C146" i="5"/>
  <c r="C147" i="5" s="1"/>
  <c r="C134" i="5"/>
  <c r="J121" i="5"/>
  <c r="G40" i="42"/>
  <c r="G41" i="42"/>
  <c r="G47" i="42"/>
  <c r="G48" i="42"/>
  <c r="G49" i="42"/>
  <c r="G449" i="42"/>
  <c r="G448" i="42"/>
  <c r="G447" i="42"/>
  <c r="G446" i="42"/>
  <c r="G445" i="42"/>
  <c r="G444" i="42"/>
  <c r="G443" i="42"/>
  <c r="G442" i="42"/>
  <c r="G441" i="42"/>
  <c r="G440" i="42"/>
  <c r="G439" i="42"/>
  <c r="G438" i="42"/>
  <c r="G437" i="42"/>
  <c r="G436" i="42"/>
  <c r="G435" i="42"/>
  <c r="G434" i="42"/>
  <c r="G433" i="42"/>
  <c r="G432" i="42"/>
  <c r="G431" i="42"/>
  <c r="G430" i="42"/>
  <c r="G429" i="42"/>
  <c r="G428" i="42"/>
  <c r="G427" i="42"/>
  <c r="G426" i="42"/>
  <c r="G425" i="42"/>
  <c r="G424" i="42"/>
  <c r="G423" i="42"/>
  <c r="G422" i="42"/>
  <c r="G421" i="42"/>
  <c r="G420" i="42"/>
  <c r="G419" i="42"/>
  <c r="G418" i="42"/>
  <c r="G417" i="42"/>
  <c r="G416" i="42"/>
  <c r="G415" i="42"/>
  <c r="G414" i="42"/>
  <c r="G413" i="42"/>
  <c r="G412" i="42"/>
  <c r="G411" i="42"/>
  <c r="G410" i="42"/>
  <c r="G409" i="42"/>
  <c r="G408" i="42"/>
  <c r="G407" i="42"/>
  <c r="G406" i="42"/>
  <c r="G405" i="42"/>
  <c r="G404" i="42"/>
  <c r="G403" i="42"/>
  <c r="G402" i="42"/>
  <c r="G401" i="42"/>
  <c r="G400" i="42"/>
  <c r="G399" i="42"/>
  <c r="G398" i="42"/>
  <c r="G397" i="42"/>
  <c r="G396" i="42"/>
  <c r="G395" i="42"/>
  <c r="G394" i="42"/>
  <c r="G393" i="42"/>
  <c r="G392" i="42"/>
  <c r="G391" i="42"/>
  <c r="G390" i="42"/>
  <c r="G389" i="42"/>
  <c r="G388" i="42"/>
  <c r="G387" i="42"/>
  <c r="G386" i="42"/>
  <c r="G385" i="42"/>
  <c r="G384" i="42"/>
  <c r="G383" i="42"/>
  <c r="G382" i="42"/>
  <c r="G381" i="42"/>
  <c r="G380" i="42"/>
  <c r="G379" i="42"/>
  <c r="G378" i="42"/>
  <c r="G377" i="42"/>
  <c r="G376" i="42"/>
  <c r="G375" i="42"/>
  <c r="G374" i="42"/>
  <c r="G373" i="42"/>
  <c r="G372" i="42"/>
  <c r="G371" i="42"/>
  <c r="G370" i="42"/>
  <c r="G369" i="42"/>
  <c r="G368" i="42"/>
  <c r="G367" i="42"/>
  <c r="G366" i="42"/>
  <c r="G365" i="42"/>
  <c r="G364" i="42"/>
  <c r="G363" i="42"/>
  <c r="G362" i="42"/>
  <c r="G361" i="42"/>
  <c r="G360" i="42"/>
  <c r="G359" i="42"/>
  <c r="G358" i="42"/>
  <c r="G357" i="42"/>
  <c r="G356" i="42"/>
  <c r="G355" i="42"/>
  <c r="G354" i="42"/>
  <c r="G353" i="42"/>
  <c r="G352" i="42"/>
  <c r="G351" i="42"/>
  <c r="G350" i="42"/>
  <c r="G349" i="42"/>
  <c r="G348" i="42"/>
  <c r="G347" i="42"/>
  <c r="G346" i="42"/>
  <c r="G345" i="42"/>
  <c r="G344" i="42"/>
  <c r="G343" i="42"/>
  <c r="G342" i="42"/>
  <c r="G341" i="42"/>
  <c r="G340" i="42"/>
  <c r="G339" i="42"/>
  <c r="G338" i="42"/>
  <c r="G337" i="42"/>
  <c r="G336" i="42"/>
  <c r="G335" i="42"/>
  <c r="G334" i="42"/>
  <c r="G333" i="42"/>
  <c r="G332" i="42"/>
  <c r="G331" i="42"/>
  <c r="G330" i="42"/>
  <c r="G329" i="42"/>
  <c r="G328" i="42"/>
  <c r="G327" i="42"/>
  <c r="G326" i="42"/>
  <c r="G325" i="42"/>
  <c r="G324" i="42"/>
  <c r="G323" i="42"/>
  <c r="G322" i="42"/>
  <c r="G321" i="42"/>
  <c r="G320" i="42"/>
  <c r="G319" i="42"/>
  <c r="G318" i="42"/>
  <c r="G317" i="42"/>
  <c r="G316" i="42"/>
  <c r="G315" i="42"/>
  <c r="G314" i="42"/>
  <c r="G313" i="42"/>
  <c r="G312" i="42"/>
  <c r="G311" i="42"/>
  <c r="G310" i="42"/>
  <c r="G309" i="42"/>
  <c r="G308" i="42"/>
  <c r="G307" i="42"/>
  <c r="G306" i="42"/>
  <c r="G305" i="42"/>
  <c r="G304" i="42"/>
  <c r="G303" i="42"/>
  <c r="G302" i="42"/>
  <c r="G301" i="42"/>
  <c r="G300" i="42"/>
  <c r="G299" i="42"/>
  <c r="G298" i="42"/>
  <c r="G297" i="42"/>
  <c r="G296" i="42"/>
  <c r="G295" i="42"/>
  <c r="G294" i="42"/>
  <c r="G293" i="42"/>
  <c r="G292" i="42"/>
  <c r="G291" i="42"/>
  <c r="G290" i="42"/>
  <c r="G289" i="42"/>
  <c r="G288" i="42"/>
  <c r="G287" i="42"/>
  <c r="G286" i="42"/>
  <c r="G285" i="42"/>
  <c r="G284" i="42"/>
  <c r="G283" i="42"/>
  <c r="G282" i="42"/>
  <c r="G281" i="42"/>
  <c r="G280" i="42"/>
  <c r="G279" i="42"/>
  <c r="G278" i="42"/>
  <c r="G277" i="42"/>
  <c r="G276" i="42"/>
  <c r="G275" i="42"/>
  <c r="G274" i="42"/>
  <c r="G273" i="42"/>
  <c r="G272" i="42"/>
  <c r="G271" i="42"/>
  <c r="G270" i="42"/>
  <c r="G269" i="42"/>
  <c r="G268" i="42"/>
  <c r="G267" i="42"/>
  <c r="G266" i="42"/>
  <c r="G265" i="42"/>
  <c r="G53" i="42"/>
  <c r="G52" i="42"/>
  <c r="G51" i="42"/>
  <c r="G50" i="42"/>
  <c r="G46" i="42"/>
  <c r="G45" i="42"/>
  <c r="G44" i="42"/>
  <c r="G43" i="42"/>
  <c r="G42" i="42"/>
  <c r="V62" i="56" l="1"/>
  <c r="X62" i="56"/>
  <c r="Y62" i="56" s="1"/>
  <c r="P65" i="56"/>
  <c r="U64" i="56"/>
  <c r="R64" i="56" a="1"/>
  <c r="R64" i="56" s="1"/>
  <c r="Q52" i="57"/>
  <c r="Y52" i="57" s="1"/>
  <c r="K53" i="57"/>
  <c r="I53" i="57"/>
  <c r="U49" i="57"/>
  <c r="H63" i="56"/>
  <c r="E63" i="56" a="1"/>
  <c r="E63" i="56" s="1"/>
  <c r="C64" i="56"/>
  <c r="P69" i="57"/>
  <c r="X69" i="57" s="1"/>
  <c r="G70" i="57"/>
  <c r="S49" i="57"/>
  <c r="Z49" i="57"/>
  <c r="AA49" i="57" s="1"/>
  <c r="W61" i="56"/>
  <c r="C67" i="57"/>
  <c r="H66" i="57"/>
  <c r="N66" i="57" a="1"/>
  <c r="N66" i="57" s="1"/>
  <c r="E66" i="57" a="1"/>
  <c r="E66" i="57" s="1"/>
  <c r="T66" i="56"/>
  <c r="C133" i="5"/>
  <c r="C135" i="5"/>
  <c r="W62" i="56" l="1"/>
  <c r="H67" i="57"/>
  <c r="N67" i="57" a="1"/>
  <c r="N67" i="57" s="1"/>
  <c r="C68" i="57"/>
  <c r="E67" i="57" a="1"/>
  <c r="E67" i="57" s="1"/>
  <c r="T67" i="56"/>
  <c r="U65" i="56"/>
  <c r="P66" i="56"/>
  <c r="R65" i="56" a="1"/>
  <c r="R65" i="56" s="1"/>
  <c r="E64" i="56" a="1"/>
  <c r="E64" i="56" s="1"/>
  <c r="C65" i="56"/>
  <c r="H64" i="56"/>
  <c r="P70" i="57"/>
  <c r="X70" i="57" s="1"/>
  <c r="G71" i="57"/>
  <c r="T50" i="57"/>
  <c r="AB50" i="57" s="1"/>
  <c r="AC50" i="57" s="1"/>
  <c r="R50" i="57"/>
  <c r="L53" i="57"/>
  <c r="J53" i="57"/>
  <c r="X63" i="56"/>
  <c r="Y63" i="56" s="1"/>
  <c r="V63" i="56"/>
  <c r="C132" i="5"/>
  <c r="C136" i="5"/>
  <c r="P71" i="57" l="1"/>
  <c r="X71" i="57" s="1"/>
  <c r="G72" i="57"/>
  <c r="P67" i="56"/>
  <c r="U66" i="56"/>
  <c r="R66" i="56" a="1"/>
  <c r="R66" i="56" s="1"/>
  <c r="T68" i="56"/>
  <c r="I54" i="57"/>
  <c r="Q53" i="57"/>
  <c r="Y53" i="57" s="1"/>
  <c r="K54" i="57"/>
  <c r="X64" i="56"/>
  <c r="Y64" i="56" s="1"/>
  <c r="V64" i="56"/>
  <c r="H65" i="56"/>
  <c r="E65" i="56" a="1"/>
  <c r="E65" i="56" s="1"/>
  <c r="C66" i="56"/>
  <c r="U50" i="57"/>
  <c r="E68" i="57" a="1"/>
  <c r="E68" i="57" s="1"/>
  <c r="C69" i="57"/>
  <c r="N68" i="57" a="1"/>
  <c r="N68" i="57" s="1"/>
  <c r="H68" i="57"/>
  <c r="W63" i="56"/>
  <c r="S50" i="57"/>
  <c r="Z50" i="57"/>
  <c r="AA50" i="57" s="1"/>
  <c r="C137" i="5"/>
  <c r="C131" i="5"/>
  <c r="V65" i="56" l="1"/>
  <c r="X65" i="56"/>
  <c r="Y65" i="56" s="1"/>
  <c r="W64" i="56"/>
  <c r="R51" i="57"/>
  <c r="T51" i="57"/>
  <c r="AB51" i="57" s="1"/>
  <c r="AC51" i="57" s="1"/>
  <c r="U67" i="56"/>
  <c r="P68" i="56"/>
  <c r="R67" i="56" a="1"/>
  <c r="R67" i="56" s="1"/>
  <c r="H69" i="57"/>
  <c r="N69" i="57" a="1"/>
  <c r="N69" i="57" s="1"/>
  <c r="E69" i="57" a="1"/>
  <c r="E69" i="57" s="1"/>
  <c r="C70" i="57"/>
  <c r="E66" i="56" a="1"/>
  <c r="E66" i="56" s="1"/>
  <c r="C67" i="56"/>
  <c r="H66" i="56"/>
  <c r="L54" i="57"/>
  <c r="P72" i="57"/>
  <c r="X72" i="57" s="1"/>
  <c r="G73" i="57"/>
  <c r="J54" i="57"/>
  <c r="T69" i="56"/>
  <c r="C138" i="5"/>
  <c r="C130" i="5"/>
  <c r="U51" i="57" l="1"/>
  <c r="T52" i="57" s="1"/>
  <c r="AB52" i="57" s="1"/>
  <c r="AC52" i="57" s="1"/>
  <c r="X66" i="56"/>
  <c r="Y66" i="56" s="1"/>
  <c r="V66" i="56"/>
  <c r="H70" i="57"/>
  <c r="N70" i="57" a="1"/>
  <c r="N70" i="57" s="1"/>
  <c r="E70" i="57" a="1"/>
  <c r="E70" i="57" s="1"/>
  <c r="C71" i="57"/>
  <c r="S51" i="57"/>
  <c r="Z51" i="57"/>
  <c r="AA51" i="57" s="1"/>
  <c r="P73" i="57"/>
  <c r="X73" i="57" s="1"/>
  <c r="G74" i="57"/>
  <c r="Q54" i="57"/>
  <c r="Y54" i="57" s="1"/>
  <c r="I55" i="57"/>
  <c r="K55" i="57"/>
  <c r="L55" i="57" s="1"/>
  <c r="U68" i="56"/>
  <c r="R68" i="56" a="1"/>
  <c r="R68" i="56" s="1"/>
  <c r="P69" i="56"/>
  <c r="T70" i="56"/>
  <c r="H67" i="56"/>
  <c r="E67" i="56" a="1"/>
  <c r="E67" i="56" s="1"/>
  <c r="C68" i="56"/>
  <c r="W65" i="56"/>
  <c r="C139" i="5"/>
  <c r="D129" i="5"/>
  <c r="R52" i="57" l="1"/>
  <c r="S52" i="57" s="1"/>
  <c r="W66" i="56"/>
  <c r="V67" i="56"/>
  <c r="X67" i="56"/>
  <c r="Y67" i="56" s="1"/>
  <c r="Q55" i="57"/>
  <c r="Y55" i="57" s="1"/>
  <c r="I56" i="57"/>
  <c r="K56" i="57"/>
  <c r="L56" i="57" s="1"/>
  <c r="P74" i="57"/>
  <c r="X74" i="57" s="1"/>
  <c r="G75" i="57"/>
  <c r="U69" i="56"/>
  <c r="P70" i="56"/>
  <c r="R69" i="56" a="1"/>
  <c r="R69" i="56" s="1"/>
  <c r="U52" i="57"/>
  <c r="C72" i="57"/>
  <c r="H71" i="57"/>
  <c r="N71" i="57" a="1"/>
  <c r="N71" i="57" s="1"/>
  <c r="E71" i="57" a="1"/>
  <c r="E71" i="57" s="1"/>
  <c r="C69" i="56"/>
  <c r="H68" i="56"/>
  <c r="E68" i="56" a="1"/>
  <c r="E68" i="56" s="1"/>
  <c r="J55" i="57"/>
  <c r="T71" i="56"/>
  <c r="G262" i="42"/>
  <c r="G251" i="42"/>
  <c r="G237" i="42"/>
  <c r="G226" i="42"/>
  <c r="G212" i="42"/>
  <c r="G198" i="42"/>
  <c r="G187" i="42"/>
  <c r="G173" i="42"/>
  <c r="G162" i="42"/>
  <c r="G148" i="42"/>
  <c r="G134" i="42"/>
  <c r="G123" i="42"/>
  <c r="G109" i="42"/>
  <c r="G98" i="42"/>
  <c r="G84" i="42"/>
  <c r="G70" i="42"/>
  <c r="G59" i="42"/>
  <c r="G250" i="42"/>
  <c r="G197" i="42"/>
  <c r="G172" i="42"/>
  <c r="G147" i="42"/>
  <c r="G122" i="42"/>
  <c r="G94" i="42"/>
  <c r="G58" i="42"/>
  <c r="G205" i="42"/>
  <c r="G141" i="42"/>
  <c r="G66" i="42"/>
  <c r="G218" i="42"/>
  <c r="G154" i="42"/>
  <c r="G90" i="42"/>
  <c r="G189" i="42"/>
  <c r="G100" i="42"/>
  <c r="G213" i="42"/>
  <c r="G149" i="42"/>
  <c r="G60" i="42"/>
  <c r="G261" i="42"/>
  <c r="G236" i="42"/>
  <c r="G222" i="42"/>
  <c r="G211" i="42"/>
  <c r="G186" i="42"/>
  <c r="G158" i="42"/>
  <c r="G133" i="42"/>
  <c r="G108" i="42"/>
  <c r="G83" i="42"/>
  <c r="G69" i="42"/>
  <c r="G244" i="42"/>
  <c r="G180" i="42"/>
  <c r="G130" i="42"/>
  <c r="G77" i="42"/>
  <c r="G243" i="42"/>
  <c r="G179" i="42"/>
  <c r="G126" i="42"/>
  <c r="G62" i="42"/>
  <c r="G214" i="42"/>
  <c r="G139" i="42"/>
  <c r="G75" i="42"/>
  <c r="G227" i="42"/>
  <c r="G163" i="42"/>
  <c r="G99" i="42"/>
  <c r="G260" i="42"/>
  <c r="G246" i="42"/>
  <c r="G235" i="42"/>
  <c r="G221" i="42"/>
  <c r="G210" i="42"/>
  <c r="G196" i="42"/>
  <c r="G182" i="42"/>
  <c r="G171" i="42"/>
  <c r="G157" i="42"/>
  <c r="G146" i="42"/>
  <c r="G132" i="42"/>
  <c r="G118" i="42"/>
  <c r="G107" i="42"/>
  <c r="G93" i="42"/>
  <c r="G82" i="42"/>
  <c r="G68" i="42"/>
  <c r="G54" i="42"/>
  <c r="G219" i="42"/>
  <c r="G155" i="42"/>
  <c r="G91" i="42"/>
  <c r="G229" i="42"/>
  <c r="G165" i="42"/>
  <c r="G101" i="42"/>
  <c r="G228" i="42"/>
  <c r="G150" i="42"/>
  <c r="G61" i="42"/>
  <c r="G202" i="42"/>
  <c r="G124" i="42"/>
  <c r="G74" i="42"/>
  <c r="G259" i="42"/>
  <c r="G245" i="42"/>
  <c r="G234" i="42"/>
  <c r="G220" i="42"/>
  <c r="G206" i="42"/>
  <c r="G195" i="42"/>
  <c r="G181" i="42"/>
  <c r="G170" i="42"/>
  <c r="G156" i="42"/>
  <c r="G142" i="42"/>
  <c r="G131" i="42"/>
  <c r="G117" i="42"/>
  <c r="G106" i="42"/>
  <c r="G92" i="42"/>
  <c r="G78" i="42"/>
  <c r="G67" i="42"/>
  <c r="G230" i="42"/>
  <c r="G166" i="42"/>
  <c r="G102" i="42"/>
  <c r="G254" i="42"/>
  <c r="G190" i="42"/>
  <c r="G115" i="42"/>
  <c r="G242" i="42"/>
  <c r="G164" i="42"/>
  <c r="G114" i="42"/>
  <c r="G252" i="42"/>
  <c r="G188" i="42"/>
  <c r="G138" i="42"/>
  <c r="G85" i="42"/>
  <c r="G258" i="42"/>
  <c r="G194" i="42"/>
  <c r="G116" i="42"/>
  <c r="G204" i="42"/>
  <c r="G140" i="42"/>
  <c r="G76" i="42"/>
  <c r="G253" i="42"/>
  <c r="G178" i="42"/>
  <c r="G125" i="42"/>
  <c r="G86" i="42"/>
  <c r="G203" i="42"/>
  <c r="G238" i="42"/>
  <c r="G174" i="42"/>
  <c r="G110" i="42"/>
  <c r="G241" i="42"/>
  <c r="G209" i="42"/>
  <c r="G192" i="42"/>
  <c r="G64" i="42"/>
  <c r="G207" i="42"/>
  <c r="G143" i="42"/>
  <c r="G79" i="42"/>
  <c r="G97" i="42"/>
  <c r="G120" i="42"/>
  <c r="G200" i="42"/>
  <c r="G145" i="42"/>
  <c r="G152" i="42"/>
  <c r="G191" i="42"/>
  <c r="G63" i="42"/>
  <c r="G80" i="42"/>
  <c r="G112" i="42"/>
  <c r="G231" i="42"/>
  <c r="G217" i="42"/>
  <c r="G73" i="42"/>
  <c r="G240" i="42"/>
  <c r="G104" i="42"/>
  <c r="G95" i="42"/>
  <c r="G160" i="42"/>
  <c r="G208" i="42"/>
  <c r="G215" i="42"/>
  <c r="G137" i="42"/>
  <c r="G168" i="42"/>
  <c r="G225" i="42"/>
  <c r="G177" i="42"/>
  <c r="G176" i="42"/>
  <c r="G263" i="42"/>
  <c r="G199" i="42"/>
  <c r="G135" i="42"/>
  <c r="G71" i="42"/>
  <c r="G65" i="42"/>
  <c r="G96" i="42"/>
  <c r="G201" i="42"/>
  <c r="G193" i="42"/>
  <c r="G255" i="42"/>
  <c r="G127" i="42"/>
  <c r="G256" i="42"/>
  <c r="G169" i="42"/>
  <c r="G89" i="42"/>
  <c r="G103" i="42"/>
  <c r="G249" i="42"/>
  <c r="G159" i="42"/>
  <c r="G233" i="42"/>
  <c r="G88" i="42"/>
  <c r="G151" i="42"/>
  <c r="G136" i="42"/>
  <c r="G161" i="42"/>
  <c r="G113" i="42"/>
  <c r="G144" i="42"/>
  <c r="G247" i="42"/>
  <c r="G183" i="42"/>
  <c r="G119" i="42"/>
  <c r="G55" i="42"/>
  <c r="G232" i="42"/>
  <c r="G72" i="42"/>
  <c r="G129" i="42"/>
  <c r="G121" i="42"/>
  <c r="G81" i="42"/>
  <c r="G128" i="42"/>
  <c r="G239" i="42"/>
  <c r="G175" i="42"/>
  <c r="G111" i="42"/>
  <c r="G257" i="42"/>
  <c r="G216" i="42"/>
  <c r="G56" i="42"/>
  <c r="G105" i="42"/>
  <c r="G264" i="42"/>
  <c r="G167" i="42"/>
  <c r="G184" i="42"/>
  <c r="G57" i="42"/>
  <c r="G223" i="42"/>
  <c r="G185" i="42"/>
  <c r="G248" i="42"/>
  <c r="G224" i="42"/>
  <c r="G87" i="42"/>
  <c r="G153" i="42"/>
  <c r="AK30" i="5"/>
  <c r="G216" i="5"/>
  <c r="Z52" i="57" l="1"/>
  <c r="AA52" i="57" s="1"/>
  <c r="X68" i="56"/>
  <c r="Y68" i="56" s="1"/>
  <c r="V68" i="56"/>
  <c r="H69" i="56"/>
  <c r="E69" i="56" a="1"/>
  <c r="E69" i="56" s="1"/>
  <c r="C70" i="56"/>
  <c r="P71" i="56"/>
  <c r="R70" i="56" a="1"/>
  <c r="R70" i="56" s="1"/>
  <c r="U70" i="56"/>
  <c r="K57" i="57"/>
  <c r="L57" i="57" s="1"/>
  <c r="Q56" i="57"/>
  <c r="Y56" i="57" s="1"/>
  <c r="I57" i="57"/>
  <c r="N72" i="57" a="1"/>
  <c r="N72" i="57" s="1"/>
  <c r="E72" i="57" a="1"/>
  <c r="E72" i="57" s="1"/>
  <c r="C73" i="57"/>
  <c r="H72" i="57"/>
  <c r="P75" i="57"/>
  <c r="X75" i="57" s="1"/>
  <c r="G76" i="57"/>
  <c r="W67" i="56"/>
  <c r="T72" i="56"/>
  <c r="R53" i="57"/>
  <c r="T53" i="57"/>
  <c r="AB53" i="57" s="1"/>
  <c r="AC53" i="57" s="1"/>
  <c r="J56" i="57"/>
  <c r="S24" i="5"/>
  <c r="S26" i="5"/>
  <c r="S25" i="5"/>
  <c r="H73" i="5"/>
  <c r="H72" i="5"/>
  <c r="W68" i="56" l="1"/>
  <c r="X69" i="56"/>
  <c r="Y69" i="56" s="1"/>
  <c r="V69" i="56"/>
  <c r="P76" i="57"/>
  <c r="X76" i="57" s="1"/>
  <c r="G77" i="57"/>
  <c r="Q57" i="57"/>
  <c r="Y57" i="57" s="1"/>
  <c r="K58" i="57"/>
  <c r="L58" i="57" s="1"/>
  <c r="I58" i="57"/>
  <c r="J57" i="57"/>
  <c r="S53" i="57"/>
  <c r="Z53" i="57"/>
  <c r="AA53" i="57" s="1"/>
  <c r="U71" i="56"/>
  <c r="P72" i="56"/>
  <c r="R71" i="56" a="1"/>
  <c r="R71" i="56" s="1"/>
  <c r="U53" i="57"/>
  <c r="N73" i="57" a="1"/>
  <c r="N73" i="57" s="1"/>
  <c r="E73" i="57" a="1"/>
  <c r="E73" i="57" s="1"/>
  <c r="C74" i="57"/>
  <c r="H73" i="57"/>
  <c r="H70" i="56"/>
  <c r="E70" i="56" a="1"/>
  <c r="E70" i="56" s="1"/>
  <c r="C71" i="56"/>
  <c r="T73" i="56"/>
  <c r="N17" i="42"/>
  <c r="W69" i="56" l="1"/>
  <c r="X70" i="56"/>
  <c r="Y70" i="56" s="1"/>
  <c r="V70" i="56"/>
  <c r="T74" i="56"/>
  <c r="R54" i="57"/>
  <c r="T54" i="57"/>
  <c r="AB54" i="57" s="1"/>
  <c r="AC54" i="57" s="1"/>
  <c r="P77" i="57"/>
  <c r="X77" i="57" s="1"/>
  <c r="G78" i="57"/>
  <c r="H71" i="56"/>
  <c r="E71" i="56" a="1"/>
  <c r="E71" i="56" s="1"/>
  <c r="C72" i="56"/>
  <c r="C75" i="57"/>
  <c r="H74" i="57"/>
  <c r="N74" i="57" a="1"/>
  <c r="N74" i="57" s="1"/>
  <c r="E74" i="57" a="1"/>
  <c r="E74" i="57" s="1"/>
  <c r="J58" i="57"/>
  <c r="I59" i="57"/>
  <c r="K59" i="57"/>
  <c r="L59" i="57" s="1"/>
  <c r="Q58" i="57"/>
  <c r="Y58" i="57" s="1"/>
  <c r="P73" i="56"/>
  <c r="U72" i="56"/>
  <c r="R72" i="56" a="1"/>
  <c r="R72" i="56" s="1"/>
  <c r="N68" i="5"/>
  <c r="U54" i="57" l="1"/>
  <c r="R55" i="57" s="1"/>
  <c r="W70" i="56"/>
  <c r="K60" i="57"/>
  <c r="L60" i="57" s="1"/>
  <c r="Q59" i="57"/>
  <c r="Y59" i="57" s="1"/>
  <c r="I60" i="57"/>
  <c r="X71" i="56"/>
  <c r="Y71" i="56" s="1"/>
  <c r="V71" i="56"/>
  <c r="U73" i="56"/>
  <c r="P74" i="56"/>
  <c r="R73" i="56" a="1"/>
  <c r="R73" i="56" s="1"/>
  <c r="J59" i="57"/>
  <c r="T75" i="56"/>
  <c r="H75" i="57"/>
  <c r="N75" i="57" a="1"/>
  <c r="N75" i="57" s="1"/>
  <c r="E75" i="57" a="1"/>
  <c r="E75" i="57" s="1"/>
  <c r="C76" i="57"/>
  <c r="C73" i="56"/>
  <c r="E72" i="56" a="1"/>
  <c r="E72" i="56" s="1"/>
  <c r="H72" i="56"/>
  <c r="P78" i="57"/>
  <c r="X78" i="57" s="1"/>
  <c r="G79" i="57"/>
  <c r="S54" i="57"/>
  <c r="Z54" i="57"/>
  <c r="AA54" i="57" s="1"/>
  <c r="J122" i="5"/>
  <c r="T55" i="57" l="1"/>
  <c r="AB55" i="57" s="1"/>
  <c r="AC55" i="57" s="1"/>
  <c r="J113" i="5"/>
  <c r="J115" i="5"/>
  <c r="J112" i="5"/>
  <c r="U55" i="57"/>
  <c r="T56" i="57" s="1"/>
  <c r="AB56" i="57" s="1"/>
  <c r="AC56" i="57" s="1"/>
  <c r="W71" i="56"/>
  <c r="X72" i="56"/>
  <c r="Y72" i="56" s="1"/>
  <c r="V72" i="56"/>
  <c r="I61" i="57"/>
  <c r="Q60" i="57"/>
  <c r="Y60" i="57" s="1"/>
  <c r="K61" i="57"/>
  <c r="L61" i="57" s="1"/>
  <c r="T76" i="56"/>
  <c r="H73" i="56"/>
  <c r="E73" i="56" a="1"/>
  <c r="E73" i="56" s="1"/>
  <c r="C74" i="56"/>
  <c r="S55" i="57"/>
  <c r="Z55" i="57"/>
  <c r="AA55" i="57" s="1"/>
  <c r="C77" i="57"/>
  <c r="H76" i="57"/>
  <c r="E76" i="57" a="1"/>
  <c r="E76" i="57" s="1"/>
  <c r="N76" i="57" a="1"/>
  <c r="N76" i="57" s="1"/>
  <c r="J60" i="57"/>
  <c r="P79" i="57"/>
  <c r="X79" i="57" s="1"/>
  <c r="G80" i="57"/>
  <c r="U74" i="56"/>
  <c r="R74" i="56" a="1"/>
  <c r="R74" i="56" s="1"/>
  <c r="P75" i="56"/>
  <c r="G16" i="42"/>
  <c r="I18" i="42"/>
  <c r="J17" i="42"/>
  <c r="O17" i="42"/>
  <c r="I19" i="42"/>
  <c r="H18" i="42"/>
  <c r="G18" i="42"/>
  <c r="H17" i="42"/>
  <c r="I16" i="42"/>
  <c r="G17" i="42"/>
  <c r="O19" i="42"/>
  <c r="N18" i="42"/>
  <c r="H16" i="42"/>
  <c r="N19" i="42"/>
  <c r="H19" i="42"/>
  <c r="O18" i="42"/>
  <c r="G19" i="42"/>
  <c r="N16" i="42"/>
  <c r="I20" i="42"/>
  <c r="H20" i="42"/>
  <c r="I17" i="42"/>
  <c r="J19" i="42"/>
  <c r="G20" i="42"/>
  <c r="J25" i="42"/>
  <c r="J24" i="42"/>
  <c r="I24" i="42"/>
  <c r="G22" i="42"/>
  <c r="G25" i="42"/>
  <c r="J23" i="42"/>
  <c r="J20" i="42"/>
  <c r="H24" i="42"/>
  <c r="I21" i="42"/>
  <c r="J21" i="42"/>
  <c r="G24" i="42"/>
  <c r="H21" i="42"/>
  <c r="J18" i="42"/>
  <c r="O16" i="42"/>
  <c r="I23" i="42"/>
  <c r="G21" i="42"/>
  <c r="J16" i="42"/>
  <c r="H23" i="42"/>
  <c r="H22" i="42"/>
  <c r="O20" i="42"/>
  <c r="I25" i="42"/>
  <c r="G23" i="42"/>
  <c r="N20" i="42"/>
  <c r="H25" i="42"/>
  <c r="I22" i="42"/>
  <c r="J22" i="42"/>
  <c r="J106" i="5"/>
  <c r="J108" i="5"/>
  <c r="H44" i="5"/>
  <c r="AM244" i="5"/>
  <c r="R56" i="57" l="1"/>
  <c r="S56" i="57" s="1"/>
  <c r="I62" i="57"/>
  <c r="K62" i="57"/>
  <c r="Q61" i="57"/>
  <c r="Y61" i="57" s="1"/>
  <c r="X73" i="56"/>
  <c r="Y73" i="56" s="1"/>
  <c r="V73" i="56"/>
  <c r="U75" i="56"/>
  <c r="P76" i="56"/>
  <c r="R75" i="56" a="1"/>
  <c r="R75" i="56" s="1"/>
  <c r="C75" i="56"/>
  <c r="H74" i="56"/>
  <c r="E74" i="56" a="1"/>
  <c r="E74" i="56" s="1"/>
  <c r="P80" i="57"/>
  <c r="X80" i="57" s="1"/>
  <c r="G81" i="57"/>
  <c r="N77" i="57" a="1"/>
  <c r="N77" i="57" s="1"/>
  <c r="E77" i="57" a="1"/>
  <c r="E77" i="57" s="1"/>
  <c r="C78" i="57"/>
  <c r="W72" i="56"/>
  <c r="T77" i="56"/>
  <c r="J61" i="57"/>
  <c r="Z56" i="57"/>
  <c r="AA56" i="57" s="1"/>
  <c r="U56" i="57"/>
  <c r="K17" i="42"/>
  <c r="K19" i="42"/>
  <c r="K18" i="42"/>
  <c r="H26" i="42"/>
  <c r="K20" i="42"/>
  <c r="K22" i="42"/>
  <c r="K21" i="42"/>
  <c r="K24" i="42"/>
  <c r="G26" i="42"/>
  <c r="K23" i="42"/>
  <c r="K16" i="42"/>
  <c r="J26" i="42"/>
  <c r="K25" i="42"/>
  <c r="M3" i="47"/>
  <c r="M4" i="47"/>
  <c r="M5" i="47"/>
  <c r="M6" i="47"/>
  <c r="M7" i="47"/>
  <c r="M9" i="47"/>
  <c r="M10" i="47"/>
  <c r="M11" i="47"/>
  <c r="M12" i="47"/>
  <c r="M13" i="47"/>
  <c r="M15" i="47"/>
  <c r="M16" i="47"/>
  <c r="M17" i="47"/>
  <c r="M18" i="47"/>
  <c r="M19" i="47"/>
  <c r="M21" i="47"/>
  <c r="M22" i="47"/>
  <c r="M23" i="47"/>
  <c r="M24" i="47"/>
  <c r="M25" i="47"/>
  <c r="M27" i="47"/>
  <c r="M28" i="47"/>
  <c r="M29" i="47"/>
  <c r="M30" i="47"/>
  <c r="M31" i="47"/>
  <c r="M33" i="47"/>
  <c r="M34" i="47"/>
  <c r="M35" i="47"/>
  <c r="M36" i="47"/>
  <c r="M37" i="47"/>
  <c r="M39" i="47"/>
  <c r="M40" i="47"/>
  <c r="M41" i="47"/>
  <c r="M42" i="47"/>
  <c r="M43" i="47"/>
  <c r="M45" i="47"/>
  <c r="M46" i="47"/>
  <c r="M47" i="47"/>
  <c r="M48" i="47"/>
  <c r="M49" i="47"/>
  <c r="M51" i="47"/>
  <c r="M52" i="47"/>
  <c r="M53" i="47"/>
  <c r="M55" i="47"/>
  <c r="M56" i="47"/>
  <c r="M57" i="47"/>
  <c r="J3" i="47"/>
  <c r="J4" i="47"/>
  <c r="J5" i="47"/>
  <c r="J6" i="47"/>
  <c r="J7" i="47"/>
  <c r="J9" i="47"/>
  <c r="J10" i="47"/>
  <c r="J11" i="47"/>
  <c r="J12" i="47"/>
  <c r="J13" i="47"/>
  <c r="J15" i="47"/>
  <c r="J16" i="47"/>
  <c r="J17" i="47"/>
  <c r="J18" i="47"/>
  <c r="J19" i="47"/>
  <c r="J21" i="47"/>
  <c r="J22" i="47"/>
  <c r="J23" i="47"/>
  <c r="J24" i="47"/>
  <c r="J25" i="47"/>
  <c r="J27" i="47"/>
  <c r="J28" i="47"/>
  <c r="J29" i="47"/>
  <c r="J30" i="47"/>
  <c r="J31" i="47"/>
  <c r="J33" i="47"/>
  <c r="J34" i="47"/>
  <c r="J35" i="47"/>
  <c r="J36" i="47"/>
  <c r="J37" i="47"/>
  <c r="J39" i="47"/>
  <c r="J40" i="47"/>
  <c r="J41" i="47"/>
  <c r="J42" i="47"/>
  <c r="J43" i="47"/>
  <c r="J45" i="47"/>
  <c r="J46" i="47"/>
  <c r="J47" i="47"/>
  <c r="J48" i="47"/>
  <c r="J49" i="47"/>
  <c r="J51" i="47"/>
  <c r="J52" i="47"/>
  <c r="J53" i="47"/>
  <c r="J55" i="47"/>
  <c r="J56" i="47"/>
  <c r="J57" i="47"/>
  <c r="G42" i="5"/>
  <c r="C46" i="55" s="1"/>
  <c r="W73" i="56" l="1"/>
  <c r="I123" i="5"/>
  <c r="I125" i="5" s="1"/>
  <c r="E6" i="55" s="1"/>
  <c r="X74" i="56"/>
  <c r="Y74" i="56" s="1"/>
  <c r="V74" i="56"/>
  <c r="H78" i="57"/>
  <c r="N78" i="57" a="1"/>
  <c r="N78" i="57" s="1"/>
  <c r="E78" i="57" a="1"/>
  <c r="E78" i="57" s="1"/>
  <c r="C79" i="57"/>
  <c r="T57" i="57"/>
  <c r="AB57" i="57" s="1"/>
  <c r="AC57" i="57" s="1"/>
  <c r="R57" i="57"/>
  <c r="H75" i="56"/>
  <c r="E75" i="56" a="1"/>
  <c r="E75" i="56" s="1"/>
  <c r="C76" i="56"/>
  <c r="P77" i="56"/>
  <c r="R76" i="56" a="1"/>
  <c r="R76" i="56" s="1"/>
  <c r="U76" i="56"/>
  <c r="J62" i="57"/>
  <c r="T78" i="56"/>
  <c r="P81" i="57"/>
  <c r="X81" i="57" s="1"/>
  <c r="G82" i="57"/>
  <c r="L62" i="57"/>
  <c r="L17" i="42"/>
  <c r="K26" i="42"/>
  <c r="L19" i="42"/>
  <c r="L23" i="42"/>
  <c r="L22" i="42"/>
  <c r="L20" i="42"/>
  <c r="L25" i="42"/>
  <c r="L24" i="42"/>
  <c r="L16" i="42"/>
  <c r="L21" i="42"/>
  <c r="L18" i="42"/>
  <c r="H186" i="5"/>
  <c r="H182" i="5"/>
  <c r="W74" i="56" l="1"/>
  <c r="D46" i="55"/>
  <c r="C56" i="55"/>
  <c r="D56" i="55" s="1"/>
  <c r="V75" i="56"/>
  <c r="X75" i="56"/>
  <c r="Y75" i="56" s="1"/>
  <c r="P82" i="57"/>
  <c r="X82" i="57" s="1"/>
  <c r="G83" i="57"/>
  <c r="T79" i="56"/>
  <c r="P78" i="56"/>
  <c r="R77" i="56" a="1"/>
  <c r="R77" i="56" s="1"/>
  <c r="E76" i="56" a="1"/>
  <c r="E76" i="56" s="1"/>
  <c r="H76" i="56"/>
  <c r="C77" i="56"/>
  <c r="S57" i="57"/>
  <c r="Z57" i="57"/>
  <c r="AA57" i="57" s="1"/>
  <c r="C80" i="57"/>
  <c r="N79" i="57" a="1"/>
  <c r="N79" i="57" s="1"/>
  <c r="H79" i="57"/>
  <c r="E79" i="57" a="1"/>
  <c r="E79" i="57" s="1"/>
  <c r="K63" i="57"/>
  <c r="L63" i="57" s="1"/>
  <c r="Q62" i="57"/>
  <c r="Y62" i="57" s="1"/>
  <c r="I63" i="57"/>
  <c r="U57" i="57"/>
  <c r="C179" i="5"/>
  <c r="X76" i="56" l="1"/>
  <c r="Y76" i="56" s="1"/>
  <c r="V76" i="56"/>
  <c r="P83" i="57"/>
  <c r="X83" i="57" s="1"/>
  <c r="G84" i="57"/>
  <c r="T58" i="57"/>
  <c r="AB58" i="57" s="1"/>
  <c r="AC58" i="57" s="1"/>
  <c r="R58" i="57"/>
  <c r="N80" i="57" a="1"/>
  <c r="N80" i="57" s="1"/>
  <c r="E80" i="57" a="1"/>
  <c r="E80" i="57" s="1"/>
  <c r="C81" i="57"/>
  <c r="H80" i="57"/>
  <c r="P79" i="56"/>
  <c r="U78" i="56"/>
  <c r="R78" i="56" a="1"/>
  <c r="R78" i="56" s="1"/>
  <c r="K64" i="57"/>
  <c r="L64" i="57" s="1"/>
  <c r="I64" i="57"/>
  <c r="Q63" i="57"/>
  <c r="Y63" i="57" s="1"/>
  <c r="E77" i="56" a="1"/>
  <c r="E77" i="56" s="1"/>
  <c r="C78" i="56"/>
  <c r="J63" i="57"/>
  <c r="W75" i="56"/>
  <c r="T80" i="56"/>
  <c r="AM246" i="5"/>
  <c r="P4" i="47"/>
  <c r="P5" i="47"/>
  <c r="P6" i="47"/>
  <c r="P7" i="47"/>
  <c r="P9" i="47"/>
  <c r="P10" i="47"/>
  <c r="P11" i="47"/>
  <c r="P12" i="47"/>
  <c r="P13" i="47"/>
  <c r="P15" i="47"/>
  <c r="P16" i="47"/>
  <c r="P17" i="47"/>
  <c r="P18" i="47"/>
  <c r="P19" i="47"/>
  <c r="P21" i="47"/>
  <c r="P22" i="47"/>
  <c r="P23" i="47"/>
  <c r="P24" i="47"/>
  <c r="P25" i="47"/>
  <c r="P27" i="47"/>
  <c r="P28" i="47"/>
  <c r="P29" i="47"/>
  <c r="P30" i="47"/>
  <c r="P31" i="47"/>
  <c r="P33" i="47"/>
  <c r="P34" i="47"/>
  <c r="P35" i="47"/>
  <c r="P36" i="47"/>
  <c r="P37" i="47"/>
  <c r="P39" i="47"/>
  <c r="P40" i="47"/>
  <c r="P41" i="47"/>
  <c r="P42" i="47"/>
  <c r="P43" i="47"/>
  <c r="P45" i="47"/>
  <c r="P46" i="47"/>
  <c r="P47" i="47"/>
  <c r="P48" i="47"/>
  <c r="P49" i="47"/>
  <c r="P51" i="47"/>
  <c r="P52" i="47"/>
  <c r="P53" i="47"/>
  <c r="P55" i="47"/>
  <c r="P56" i="47"/>
  <c r="P57" i="47"/>
  <c r="P3" i="47"/>
  <c r="U58" i="57" l="1"/>
  <c r="T59" i="57" s="1"/>
  <c r="AB59" i="57" s="1"/>
  <c r="AC59" i="57" s="1"/>
  <c r="W76" i="56"/>
  <c r="I65" i="57"/>
  <c r="Q64" i="57"/>
  <c r="Y64" i="57" s="1"/>
  <c r="K65" i="57"/>
  <c r="X77" i="56"/>
  <c r="V77" i="56"/>
  <c r="U77" i="56"/>
  <c r="U79" i="56"/>
  <c r="P80" i="56"/>
  <c r="R79" i="56" a="1"/>
  <c r="R79" i="56" s="1"/>
  <c r="T81" i="56"/>
  <c r="N81" i="57" a="1"/>
  <c r="N81" i="57" s="1"/>
  <c r="E81" i="57" a="1"/>
  <c r="E81" i="57" s="1"/>
  <c r="C82" i="57"/>
  <c r="H81" i="57"/>
  <c r="P84" i="57"/>
  <c r="X84" i="57" s="1"/>
  <c r="G85" i="57"/>
  <c r="J64" i="57"/>
  <c r="S58" i="57"/>
  <c r="Z58" i="57"/>
  <c r="AA58" i="57" s="1"/>
  <c r="E78" i="56" a="1"/>
  <c r="E78" i="56" s="1"/>
  <c r="H78" i="56"/>
  <c r="C79" i="56"/>
  <c r="X31" i="5"/>
  <c r="Q4" i="42"/>
  <c r="Q5" i="42"/>
  <c r="Q6" i="42"/>
  <c r="Q7" i="42"/>
  <c r="Q3" i="42"/>
  <c r="O4" i="42"/>
  <c r="O5" i="42"/>
  <c r="O6" i="42"/>
  <c r="O7" i="42"/>
  <c r="O3" i="42"/>
  <c r="P4" i="42"/>
  <c r="P5" i="42"/>
  <c r="P6" i="42"/>
  <c r="P7" i="42"/>
  <c r="P3" i="42"/>
  <c r="N5" i="42"/>
  <c r="N4" i="42"/>
  <c r="N6" i="42"/>
  <c r="N7" i="42"/>
  <c r="N3" i="42"/>
  <c r="E247" i="5"/>
  <c r="C243" i="5"/>
  <c r="AL17" i="5"/>
  <c r="AM17" i="5" s="1"/>
  <c r="AN17" i="5" s="1"/>
  <c r="AO17" i="5" s="1"/>
  <c r="L4" i="51"/>
  <c r="R59" i="57" l="1"/>
  <c r="Z59" i="57" s="1"/>
  <c r="AA59" i="57" s="1"/>
  <c r="Y77" i="56"/>
  <c r="V78" i="56" s="1"/>
  <c r="W77" i="56"/>
  <c r="H79" i="56"/>
  <c r="E79" i="56" a="1"/>
  <c r="E79" i="56" s="1"/>
  <c r="C80" i="56"/>
  <c r="T82" i="56"/>
  <c r="P85" i="57"/>
  <c r="X85" i="57" s="1"/>
  <c r="G86" i="57"/>
  <c r="P81" i="56"/>
  <c r="R80" i="56" a="1"/>
  <c r="R80" i="56" s="1"/>
  <c r="U80" i="56"/>
  <c r="J65" i="57"/>
  <c r="U59" i="57"/>
  <c r="C83" i="57"/>
  <c r="H82" i="57"/>
  <c r="N82" i="57" a="1"/>
  <c r="N82" i="57" s="1"/>
  <c r="E82" i="57" a="1"/>
  <c r="E82" i="57" s="1"/>
  <c r="L65" i="57"/>
  <c r="H164" i="5"/>
  <c r="H163" i="5"/>
  <c r="S59" i="57" l="1"/>
  <c r="X78" i="56"/>
  <c r="Y78" i="56" s="1"/>
  <c r="V79" i="56" s="1"/>
  <c r="T83" i="56"/>
  <c r="H83" i="57"/>
  <c r="E83" i="57" a="1"/>
  <c r="E83" i="57" s="1"/>
  <c r="C84" i="57"/>
  <c r="N83" i="57" a="1"/>
  <c r="N83" i="57" s="1"/>
  <c r="T60" i="57"/>
  <c r="AB60" i="57" s="1"/>
  <c r="AC60" i="57" s="1"/>
  <c r="R60" i="57"/>
  <c r="P86" i="57"/>
  <c r="X86" i="57" s="1"/>
  <c r="G87" i="57"/>
  <c r="E80" i="56" a="1"/>
  <c r="E80" i="56" s="1"/>
  <c r="H80" i="56"/>
  <c r="C81" i="56"/>
  <c r="K66" i="57"/>
  <c r="I66" i="57"/>
  <c r="Q65" i="57"/>
  <c r="Y65" i="57" s="1"/>
  <c r="U81" i="56"/>
  <c r="P82" i="56"/>
  <c r="R81" i="56" a="1"/>
  <c r="R81" i="56" s="1"/>
  <c r="F14" i="41"/>
  <c r="E14" i="41"/>
  <c r="F13" i="41"/>
  <c r="E13" i="41"/>
  <c r="F12" i="41"/>
  <c r="E12" i="41"/>
  <c r="F11" i="41"/>
  <c r="E11" i="41"/>
  <c r="G10" i="41"/>
  <c r="G9" i="41"/>
  <c r="G8" i="41"/>
  <c r="G7" i="41"/>
  <c r="G6" i="41"/>
  <c r="G5" i="41"/>
  <c r="G4" i="41"/>
  <c r="G12" i="41" s="1"/>
  <c r="G11" i="40"/>
  <c r="G10" i="40"/>
  <c r="G9" i="40"/>
  <c r="W78" i="56" l="1"/>
  <c r="X79" i="56"/>
  <c r="Y79" i="56" s="1"/>
  <c r="V80" i="56" s="1"/>
  <c r="P87" i="57"/>
  <c r="P88" i="57" s="1"/>
  <c r="G88" i="57"/>
  <c r="J66" i="57"/>
  <c r="L66" i="57"/>
  <c r="H81" i="56"/>
  <c r="E81" i="56" a="1"/>
  <c r="E81" i="56" s="1"/>
  <c r="C82" i="56"/>
  <c r="T84" i="56"/>
  <c r="S60" i="57"/>
  <c r="Z60" i="57"/>
  <c r="AA60" i="57" s="1"/>
  <c r="N84" i="57" a="1"/>
  <c r="N84" i="57" s="1"/>
  <c r="C85" i="57"/>
  <c r="H84" i="57"/>
  <c r="E84" i="57" a="1"/>
  <c r="E84" i="57" s="1"/>
  <c r="P83" i="56"/>
  <c r="U82" i="56"/>
  <c r="R82" i="56" a="1"/>
  <c r="R82" i="56" s="1"/>
  <c r="U60" i="57"/>
  <c r="G13" i="41"/>
  <c r="G11" i="41"/>
  <c r="G14" i="41"/>
  <c r="C222" i="5"/>
  <c r="I9" i="50"/>
  <c r="I8" i="50"/>
  <c r="J5" i="50"/>
  <c r="X80" i="56" l="1"/>
  <c r="Y80" i="56" s="1"/>
  <c r="V81" i="56" s="1"/>
  <c r="W79" i="56"/>
  <c r="T61" i="57"/>
  <c r="AB61" i="57" s="1"/>
  <c r="AC61" i="57" s="1"/>
  <c r="R61" i="57"/>
  <c r="U83" i="56"/>
  <c r="P84" i="56"/>
  <c r="R83" i="56" a="1"/>
  <c r="R83" i="56" s="1"/>
  <c r="K67" i="57"/>
  <c r="Q66" i="57"/>
  <c r="Y66" i="57" s="1"/>
  <c r="I67" i="57"/>
  <c r="E82" i="56" a="1"/>
  <c r="E82" i="56" s="1"/>
  <c r="H82" i="56"/>
  <c r="C83" i="56"/>
  <c r="H85" i="57"/>
  <c r="N85" i="57" a="1"/>
  <c r="N85" i="57" s="1"/>
  <c r="E85" i="57" a="1"/>
  <c r="E85" i="57" s="1"/>
  <c r="C86" i="57"/>
  <c r="T85" i="56"/>
  <c r="X87" i="57"/>
  <c r="X88" i="57" s="1"/>
  <c r="K5" i="50"/>
  <c r="X81" i="56" l="1"/>
  <c r="Y81" i="56" s="1"/>
  <c r="X82" i="56" s="1"/>
  <c r="Y82" i="56" s="1"/>
  <c r="W80" i="56"/>
  <c r="H83" i="56"/>
  <c r="E83" i="56" a="1"/>
  <c r="E83" i="56" s="1"/>
  <c r="C84" i="56"/>
  <c r="P85" i="56"/>
  <c r="R84" i="56" a="1"/>
  <c r="R84" i="56" s="1"/>
  <c r="U84" i="56"/>
  <c r="T86" i="56"/>
  <c r="S61" i="57"/>
  <c r="Z61" i="57"/>
  <c r="AA61" i="57" s="1"/>
  <c r="G89" i="57"/>
  <c r="G90" i="57" s="1"/>
  <c r="H86" i="57"/>
  <c r="N86" i="57" a="1"/>
  <c r="N86" i="57" s="1"/>
  <c r="E86" i="57" a="1"/>
  <c r="E86" i="57" s="1"/>
  <c r="C87" i="57"/>
  <c r="L67" i="57"/>
  <c r="U61" i="57"/>
  <c r="J67" i="57"/>
  <c r="L5" i="50"/>
  <c r="V82" i="56" l="1"/>
  <c r="W82" i="56" s="1"/>
  <c r="W81" i="56"/>
  <c r="X83" i="56"/>
  <c r="Y83" i="56" s="1"/>
  <c r="V83" i="56"/>
  <c r="E84" i="56" a="1"/>
  <c r="E84" i="56" s="1"/>
  <c r="H84" i="56"/>
  <c r="C85" i="56"/>
  <c r="T62" i="57"/>
  <c r="AB62" i="57" s="1"/>
  <c r="AC62" i="57" s="1"/>
  <c r="R62" i="57"/>
  <c r="U85" i="56"/>
  <c r="P86" i="56"/>
  <c r="R85" i="56" a="1"/>
  <c r="R85" i="56" s="1"/>
  <c r="N87" i="57" a="1"/>
  <c r="N87" i="57" s="1"/>
  <c r="H87" i="57"/>
  <c r="E87" i="57" a="1"/>
  <c r="E87" i="57" s="1"/>
  <c r="T87" i="56"/>
  <c r="I68" i="57"/>
  <c r="Q67" i="57"/>
  <c r="Y67" i="57" s="1"/>
  <c r="K68" i="57"/>
  <c r="M5" i="50"/>
  <c r="U62" i="57" l="1"/>
  <c r="T63" i="57" s="1"/>
  <c r="AB63" i="57" s="1"/>
  <c r="AC63" i="57" s="1"/>
  <c r="W83" i="56"/>
  <c r="H85" i="56"/>
  <c r="E85" i="56" a="1"/>
  <c r="E85" i="56" s="1"/>
  <c r="C86" i="56"/>
  <c r="L68" i="57"/>
  <c r="J68" i="57"/>
  <c r="P87" i="56"/>
  <c r="U86" i="56"/>
  <c r="R86" i="56" a="1"/>
  <c r="R86" i="56" s="1"/>
  <c r="X84" i="56"/>
  <c r="Y84" i="56" s="1"/>
  <c r="V84" i="56"/>
  <c r="T88" i="56"/>
  <c r="S62" i="57"/>
  <c r="Z62" i="57"/>
  <c r="AA62" i="57" s="1"/>
  <c r="N5" i="50"/>
  <c r="O5" i="50" s="1"/>
  <c r="R63" i="57" l="1"/>
  <c r="S63" i="57" s="1"/>
  <c r="W84" i="56"/>
  <c r="X85" i="56"/>
  <c r="Y85" i="56" s="1"/>
  <c r="V85" i="56"/>
  <c r="U87" i="56"/>
  <c r="U88" i="56" s="1"/>
  <c r="R87" i="56" a="1"/>
  <c r="R87" i="56" s="1"/>
  <c r="I69" i="57"/>
  <c r="Q68" i="57"/>
  <c r="Y68" i="57" s="1"/>
  <c r="K69" i="57"/>
  <c r="E86" i="56" a="1"/>
  <c r="E86" i="56" s="1"/>
  <c r="H86" i="56"/>
  <c r="C87" i="56"/>
  <c r="U63" i="57"/>
  <c r="P5" i="50"/>
  <c r="Z63" i="57" l="1"/>
  <c r="AA63" i="57" s="1"/>
  <c r="W85" i="56"/>
  <c r="T64" i="57"/>
  <c r="AB64" i="57" s="1"/>
  <c r="AC64" i="57" s="1"/>
  <c r="R64" i="57"/>
  <c r="L69" i="57"/>
  <c r="X86" i="56"/>
  <c r="Y86" i="56" s="1"/>
  <c r="V86" i="56"/>
  <c r="H87" i="56"/>
  <c r="E87" i="56" a="1"/>
  <c r="E87" i="56" s="1"/>
  <c r="J69" i="57"/>
  <c r="Q5" i="50"/>
  <c r="X87" i="56" l="1"/>
  <c r="X88" i="56" s="1"/>
  <c r="V87" i="56"/>
  <c r="Q69" i="57"/>
  <c r="Y69" i="57" s="1"/>
  <c r="K70" i="57"/>
  <c r="L70" i="57" s="1"/>
  <c r="I70" i="57"/>
  <c r="S64" i="57"/>
  <c r="Z64" i="57"/>
  <c r="AA64" i="57" s="1"/>
  <c r="W86" i="56"/>
  <c r="U64" i="57"/>
  <c r="R5" i="50"/>
  <c r="Y87" i="56" l="1"/>
  <c r="Q70" i="57"/>
  <c r="Y70" i="57" s="1"/>
  <c r="K71" i="57"/>
  <c r="I71" i="57"/>
  <c r="R65" i="57"/>
  <c r="T65" i="57"/>
  <c r="AB65" i="57" s="1"/>
  <c r="AC65" i="57" s="1"/>
  <c r="W87" i="56"/>
  <c r="W88" i="56" s="1"/>
  <c r="V88" i="56"/>
  <c r="J70" i="57"/>
  <c r="K15" i="56"/>
  <c r="M15" i="56" s="1"/>
  <c r="T90" i="56"/>
  <c r="U92" i="56"/>
  <c r="V92" i="56" s="1"/>
  <c r="L15" i="56" s="1"/>
  <c r="S5" i="50"/>
  <c r="S65" i="57" l="1"/>
  <c r="Z65" i="57"/>
  <c r="AA65" i="57" s="1"/>
  <c r="J71" i="57"/>
  <c r="U65" i="57"/>
  <c r="L71" i="57"/>
  <c r="T5" i="50"/>
  <c r="T66" i="57" l="1"/>
  <c r="AB66" i="57" s="1"/>
  <c r="AC66" i="57" s="1"/>
  <c r="R66" i="57"/>
  <c r="K72" i="57"/>
  <c r="L72" i="57" s="1"/>
  <c r="I72" i="57"/>
  <c r="Q71" i="57"/>
  <c r="Y71" i="57" s="1"/>
  <c r="U5" i="50"/>
  <c r="I73" i="57" l="1"/>
  <c r="K73" i="57"/>
  <c r="Q72" i="57"/>
  <c r="Y72" i="57" s="1"/>
  <c r="J72" i="57"/>
  <c r="S66" i="57"/>
  <c r="Z66" i="57"/>
  <c r="AA66" i="57" s="1"/>
  <c r="U66" i="57"/>
  <c r="V5" i="50"/>
  <c r="J73" i="57" l="1"/>
  <c r="T67" i="57"/>
  <c r="AB67" i="57" s="1"/>
  <c r="AC67" i="57" s="1"/>
  <c r="R67" i="57"/>
  <c r="L73" i="57"/>
  <c r="W5" i="50"/>
  <c r="U67" i="57" l="1"/>
  <c r="R68" i="57" s="1"/>
  <c r="K74" i="57"/>
  <c r="L74" i="57" s="1"/>
  <c r="I74" i="57"/>
  <c r="Q73" i="57"/>
  <c r="Y73" i="57" s="1"/>
  <c r="S67" i="57"/>
  <c r="Z67" i="57"/>
  <c r="AA67" i="57" s="1"/>
  <c r="X5" i="50"/>
  <c r="T68" i="57" l="1"/>
  <c r="AB68" i="57" s="1"/>
  <c r="AC68" i="57" s="1"/>
  <c r="Z68" i="57"/>
  <c r="J74" i="57"/>
  <c r="K75" i="57"/>
  <c r="L75" i="57" s="1"/>
  <c r="Q74" i="57"/>
  <c r="Y74" i="57" s="1"/>
  <c r="I75" i="57"/>
  <c r="Y5" i="50"/>
  <c r="AA68" i="57" l="1"/>
  <c r="S68" i="57"/>
  <c r="U68" i="57"/>
  <c r="I76" i="57"/>
  <c r="Q75" i="57"/>
  <c r="Y75" i="57" s="1"/>
  <c r="K76" i="57"/>
  <c r="J75" i="57"/>
  <c r="R69" i="57"/>
  <c r="T69" i="57"/>
  <c r="AB69" i="57" s="1"/>
  <c r="AC69" i="57" s="1"/>
  <c r="Z5" i="50"/>
  <c r="S69" i="57" l="1"/>
  <c r="Z69" i="57"/>
  <c r="AA69" i="57" s="1"/>
  <c r="J76" i="57"/>
  <c r="L76" i="57"/>
  <c r="U69" i="57"/>
  <c r="AA5" i="50"/>
  <c r="T70" i="57" l="1"/>
  <c r="AB70" i="57" s="1"/>
  <c r="AC70" i="57" s="1"/>
  <c r="R70" i="57"/>
  <c r="I77" i="57"/>
  <c r="Q76" i="57"/>
  <c r="Y76" i="57" s="1"/>
  <c r="K77" i="57"/>
  <c r="AB5" i="50"/>
  <c r="J77" i="57" l="1"/>
  <c r="S70" i="57"/>
  <c r="Z70" i="57"/>
  <c r="AA70" i="57" s="1"/>
  <c r="H77" i="57"/>
  <c r="U70" i="57"/>
  <c r="AC5" i="50"/>
  <c r="H88" i="57" l="1"/>
  <c r="L77" i="57"/>
  <c r="T71" i="57"/>
  <c r="AB71" i="57" s="1"/>
  <c r="AC71" i="57" s="1"/>
  <c r="R71" i="57"/>
  <c r="AD5" i="50"/>
  <c r="U71" i="57" l="1"/>
  <c r="S71" i="57"/>
  <c r="Z71" i="57"/>
  <c r="AA71" i="57" s="1"/>
  <c r="I78" i="57"/>
  <c r="K78" i="57"/>
  <c r="AE5" i="50"/>
  <c r="L78" i="57" l="1"/>
  <c r="J78" i="57"/>
  <c r="T72" i="57"/>
  <c r="AB72" i="57" s="1"/>
  <c r="AC72" i="57" s="1"/>
  <c r="R72" i="57"/>
  <c r="AF5" i="50"/>
  <c r="U72" i="57" l="1"/>
  <c r="S72" i="57"/>
  <c r="Z72" i="57"/>
  <c r="AA72" i="57" s="1"/>
  <c r="K79" i="57"/>
  <c r="I79" i="57"/>
  <c r="AG5" i="50"/>
  <c r="J79" i="57" l="1"/>
  <c r="L79" i="57"/>
  <c r="R73" i="57"/>
  <c r="T73" i="57"/>
  <c r="AB73" i="57" s="1"/>
  <c r="AC73" i="57" s="1"/>
  <c r="AH5" i="50"/>
  <c r="U73" i="57" l="1"/>
  <c r="S73" i="57"/>
  <c r="Z73" i="57"/>
  <c r="AA73" i="57" s="1"/>
  <c r="K80" i="57"/>
  <c r="I80" i="57"/>
  <c r="AI5" i="50"/>
  <c r="J80" i="57" l="1"/>
  <c r="L80" i="57"/>
  <c r="T74" i="57"/>
  <c r="AB74" i="57" s="1"/>
  <c r="AC74" i="57" s="1"/>
  <c r="R74" i="57"/>
  <c r="AJ5" i="50"/>
  <c r="S74" i="57" l="1"/>
  <c r="Z74" i="57"/>
  <c r="AA74" i="57" s="1"/>
  <c r="I81" i="57"/>
  <c r="K81" i="57"/>
  <c r="U74" i="57"/>
  <c r="AK5" i="50"/>
  <c r="L81" i="57" l="1"/>
  <c r="T75" i="57"/>
  <c r="AB75" i="57" s="1"/>
  <c r="AC75" i="57" s="1"/>
  <c r="R75" i="57"/>
  <c r="J81" i="57"/>
  <c r="AL5" i="50"/>
  <c r="U75" i="57" l="1"/>
  <c r="S75" i="57"/>
  <c r="Z75" i="57"/>
  <c r="AA75" i="57" s="1"/>
  <c r="K82" i="57"/>
  <c r="I82" i="57"/>
  <c r="AM5" i="50"/>
  <c r="J82" i="57" l="1"/>
  <c r="L82" i="57"/>
  <c r="R76" i="57"/>
  <c r="T76" i="57"/>
  <c r="AB76" i="57" s="1"/>
  <c r="AC76" i="57" s="1"/>
  <c r="AN5" i="50"/>
  <c r="U76" i="57" l="1"/>
  <c r="S76" i="57"/>
  <c r="Z76" i="57"/>
  <c r="AA76" i="57" s="1"/>
  <c r="K83" i="57"/>
  <c r="L83" i="57" s="1"/>
  <c r="I83" i="57"/>
  <c r="AO5" i="50"/>
  <c r="I84" i="57" l="1"/>
  <c r="K84" i="57"/>
  <c r="J83" i="57"/>
  <c r="R77" i="57"/>
  <c r="T77" i="57"/>
  <c r="AP5" i="50"/>
  <c r="L84" i="57" l="1"/>
  <c r="S77" i="57"/>
  <c r="Z77" i="57"/>
  <c r="AB77" i="57"/>
  <c r="Q77" i="57"/>
  <c r="J84" i="57"/>
  <c r="AQ5" i="50"/>
  <c r="Y77" i="57" l="1"/>
  <c r="AC77" i="57" s="1"/>
  <c r="U77" i="57"/>
  <c r="AA77" i="57"/>
  <c r="I85" i="57"/>
  <c r="K85" i="57"/>
  <c r="AR5" i="50"/>
  <c r="J85" i="57" l="1"/>
  <c r="T78" i="57"/>
  <c r="R78" i="57"/>
  <c r="L85" i="57"/>
  <c r="AS5" i="50"/>
  <c r="AB78" i="57" l="1"/>
  <c r="Q78" i="57"/>
  <c r="Y78" i="57" s="1"/>
  <c r="I86" i="57"/>
  <c r="K86" i="57"/>
  <c r="L86" i="57" s="1"/>
  <c r="S78" i="57"/>
  <c r="Z78" i="57"/>
  <c r="AT5" i="50"/>
  <c r="AA78" i="57" l="1"/>
  <c r="U78" i="57"/>
  <c r="R79" i="57" s="1"/>
  <c r="K87" i="57"/>
  <c r="I87" i="57"/>
  <c r="J86" i="57"/>
  <c r="AC78" i="57"/>
  <c r="AU5" i="50"/>
  <c r="T79" i="57" l="1"/>
  <c r="AB79" i="57" s="1"/>
  <c r="Q79" i="57"/>
  <c r="Y79" i="57" s="1"/>
  <c r="K88" i="57"/>
  <c r="L87" i="57"/>
  <c r="J87" i="57"/>
  <c r="J88" i="57" s="1"/>
  <c r="I88" i="57"/>
  <c r="Z79" i="57"/>
  <c r="AV5" i="50"/>
  <c r="S79" i="57" l="1"/>
  <c r="U79" i="57"/>
  <c r="T80" i="57" s="1"/>
  <c r="AC79" i="57"/>
  <c r="AA79" i="57"/>
  <c r="H92" i="57"/>
  <c r="I92" i="57" s="1"/>
  <c r="L16" i="57" s="1"/>
  <c r="G91" i="57"/>
  <c r="AW5" i="50"/>
  <c r="R80" i="57" l="1"/>
  <c r="S80" i="57" s="1"/>
  <c r="AB80" i="57"/>
  <c r="Q80" i="57"/>
  <c r="Y80" i="57" s="1"/>
  <c r="AX5" i="50"/>
  <c r="Z80" i="57" l="1"/>
  <c r="U80" i="57"/>
  <c r="R81" i="57" s="1"/>
  <c r="AC80" i="57"/>
  <c r="AA80" i="57"/>
  <c r="AY5" i="50"/>
  <c r="T81" i="57" l="1"/>
  <c r="AB81" i="57" s="1"/>
  <c r="Q81" i="57"/>
  <c r="Y81" i="57" s="1"/>
  <c r="Z81" i="57"/>
  <c r="AZ5" i="50"/>
  <c r="S81" i="57" l="1"/>
  <c r="U81" i="57"/>
  <c r="T82" i="57" s="1"/>
  <c r="AC81" i="57"/>
  <c r="AA81" i="57"/>
  <c r="BA5" i="50"/>
  <c r="R82" i="57" l="1"/>
  <c r="S82" i="57" s="1"/>
  <c r="AB82" i="57"/>
  <c r="Q82" i="57"/>
  <c r="Y82" i="57" s="1"/>
  <c r="BB5" i="50"/>
  <c r="Z82" i="57" l="1"/>
  <c r="AA82" i="57" s="1"/>
  <c r="AC82" i="57"/>
  <c r="U82" i="57"/>
  <c r="BC5" i="50"/>
  <c r="T83" i="57" l="1"/>
  <c r="R83" i="57"/>
  <c r="BD5" i="50"/>
  <c r="S83" i="57" l="1"/>
  <c r="Z83" i="57"/>
  <c r="AB83" i="57"/>
  <c r="Q83" i="57"/>
  <c r="Y83" i="57" s="1"/>
  <c r="BE5" i="50"/>
  <c r="AA83" i="57" l="1"/>
  <c r="AC83" i="57"/>
  <c r="U83" i="57"/>
  <c r="BF5" i="50"/>
  <c r="R84" i="57" l="1"/>
  <c r="T84" i="57"/>
  <c r="BG5" i="50"/>
  <c r="AB84" i="57" l="1"/>
  <c r="Q84" i="57"/>
  <c r="Y84" i="57" s="1"/>
  <c r="S84" i="57"/>
  <c r="Z84" i="57"/>
  <c r="BH5" i="50"/>
  <c r="AA84" i="57" l="1"/>
  <c r="U84" i="57"/>
  <c r="R85" i="57" s="1"/>
  <c r="AC84" i="57"/>
  <c r="BI5" i="50"/>
  <c r="T85" i="57" l="1"/>
  <c r="AB85" i="57" s="1"/>
  <c r="Q85" i="57"/>
  <c r="Y85" i="57" s="1"/>
  <c r="Z85" i="57"/>
  <c r="BJ5" i="50"/>
  <c r="S85" i="57" l="1"/>
  <c r="AA85" i="57"/>
  <c r="AC85" i="57"/>
  <c r="U85" i="57"/>
  <c r="BK5" i="50"/>
  <c r="T86" i="57" l="1"/>
  <c r="R86" i="57"/>
  <c r="BL5" i="50"/>
  <c r="S86" i="57" l="1"/>
  <c r="Z86" i="57"/>
  <c r="Q86" i="57"/>
  <c r="Y86" i="57" s="1"/>
  <c r="AB86" i="57"/>
  <c r="BM5" i="50"/>
  <c r="U86" i="57" l="1"/>
  <c r="T87" i="57" s="1"/>
  <c r="AC86" i="57"/>
  <c r="AA86" i="57"/>
  <c r="BN5" i="50"/>
  <c r="R87" i="57" l="1"/>
  <c r="S87" i="57" s="1"/>
  <c r="S88" i="57" s="1"/>
  <c r="T88" i="57"/>
  <c r="AB87" i="57"/>
  <c r="AB88" i="57" s="1"/>
  <c r="Q87" i="57"/>
  <c r="U87" i="57" s="1"/>
  <c r="R88" i="57"/>
  <c r="BO5" i="50"/>
  <c r="Z87" i="57" l="1"/>
  <c r="AA87" i="57" s="1"/>
  <c r="AA88" i="57" s="1"/>
  <c r="Z88" i="57"/>
  <c r="I89" i="57" s="1"/>
  <c r="I90" i="57" s="1"/>
  <c r="Q88" i="57"/>
  <c r="P90" i="57" s="1"/>
  <c r="Y87" i="57"/>
  <c r="K15" i="57"/>
  <c r="M15" i="57" s="1"/>
  <c r="Y92" i="57"/>
  <c r="Z92" i="57" s="1"/>
  <c r="L15" i="57" s="1"/>
  <c r="K89" i="57"/>
  <c r="K90" i="57" s="1"/>
  <c r="K14" i="57"/>
  <c r="Q92" i="57"/>
  <c r="R92" i="57" s="1"/>
  <c r="L14" i="57" s="1"/>
  <c r="BP5" i="50"/>
  <c r="Y88" i="57" l="1"/>
  <c r="H89" i="57" s="1"/>
  <c r="H90" i="57" s="1"/>
  <c r="AC87" i="57"/>
  <c r="K16" i="57"/>
  <c r="M16" i="57" s="1"/>
  <c r="M14" i="57"/>
  <c r="BQ5" i="50"/>
  <c r="BQ16" i="50" s="1"/>
  <c r="X90" i="57" l="1"/>
  <c r="BR5" i="50"/>
  <c r="BR16" i="50" s="1"/>
  <c r="BS5" i="50" l="1"/>
  <c r="BS16" i="50" s="1"/>
  <c r="BT5" i="50" l="1"/>
  <c r="BT16" i="50" s="1"/>
  <c r="BU5" i="50" l="1"/>
  <c r="BU16" i="50" s="1"/>
  <c r="BV5" i="50" l="1"/>
  <c r="BV16" i="50" s="1"/>
  <c r="BW5" i="50" l="1"/>
  <c r="BW16" i="50" s="1"/>
  <c r="BX5" i="50" l="1"/>
  <c r="BX16" i="50" s="1"/>
  <c r="BY5" i="50" l="1"/>
  <c r="BY16" i="50" s="1"/>
  <c r="BZ5" i="50" l="1"/>
  <c r="BZ16" i="50" s="1"/>
  <c r="CA5" i="50" l="1"/>
  <c r="CA16" i="50" s="1"/>
  <c r="CB5" i="50" l="1"/>
  <c r="CB16" i="50" s="1"/>
  <c r="CC5" i="50" l="1"/>
  <c r="CC16" i="50" s="1"/>
  <c r="CD5" i="50" l="1"/>
  <c r="CD16" i="50" s="1"/>
  <c r="CE5" i="50" l="1"/>
  <c r="CE16" i="50" s="1"/>
  <c r="CF5" i="50" l="1"/>
  <c r="CF16" i="50" s="1"/>
  <c r="CG5" i="50" l="1"/>
  <c r="CG16" i="50" s="1"/>
  <c r="CH5" i="50" l="1"/>
  <c r="CH16" i="50" s="1"/>
  <c r="CI5" i="50" l="1"/>
  <c r="CI16" i="50" s="1"/>
  <c r="CJ5" i="50" l="1"/>
  <c r="CJ16" i="50" s="1"/>
  <c r="CK5" i="50" l="1"/>
  <c r="CK16" i="50" s="1"/>
  <c r="CL5" i="50" l="1"/>
  <c r="CL16" i="50" s="1"/>
  <c r="CM5" i="50" l="1"/>
  <c r="CM16" i="50" s="1"/>
  <c r="CN5" i="50" l="1"/>
  <c r="CN16" i="50" s="1"/>
  <c r="CO5" i="50" l="1"/>
  <c r="CO16" i="50" s="1"/>
  <c r="CP5" i="50" l="1"/>
  <c r="CP16" i="50" s="1"/>
  <c r="CQ5" i="50" l="1"/>
  <c r="CQ16" i="50" s="1"/>
  <c r="CR5" i="50" l="1"/>
  <c r="CR16" i="50" s="1"/>
  <c r="CS5" i="50" l="1"/>
  <c r="CS16" i="50" s="1"/>
  <c r="CT5" i="50" l="1"/>
  <c r="CT16" i="50" s="1"/>
  <c r="CU5" i="50" l="1"/>
  <c r="CU16" i="50" s="1"/>
  <c r="CV5" i="50" l="1"/>
  <c r="CV16" i="50" s="1"/>
  <c r="CW5" i="50" l="1"/>
  <c r="CW16" i="50" s="1"/>
  <c r="CX5" i="50" l="1"/>
  <c r="CX16" i="50" s="1"/>
  <c r="CY5" i="50" l="1"/>
  <c r="CY16" i="50" s="1"/>
  <c r="CZ5" i="50" l="1"/>
  <c r="CZ16" i="50" s="1"/>
  <c r="DA5" i="50" l="1"/>
  <c r="DA16" i="50" s="1"/>
  <c r="DB5" i="50" l="1"/>
  <c r="DB16" i="50" s="1"/>
  <c r="DC5" i="50" l="1"/>
  <c r="DC16" i="50" s="1"/>
  <c r="DD5" i="50" l="1"/>
  <c r="DD16" i="50" s="1"/>
  <c r="DE5" i="50" l="1"/>
  <c r="DE16" i="50" s="1"/>
  <c r="DF5" i="50" l="1"/>
  <c r="DF16" i="50" s="1"/>
  <c r="DG5" i="50" l="1"/>
  <c r="DG16" i="50" s="1"/>
  <c r="DH5" i="50" l="1"/>
  <c r="DH16" i="50" s="1"/>
  <c r="DI5" i="50" l="1"/>
  <c r="DI16" i="50" s="1"/>
  <c r="DJ5" i="50" l="1"/>
  <c r="DJ16" i="50" s="1"/>
  <c r="DK5" i="50" l="1"/>
  <c r="DK16" i="50" s="1"/>
  <c r="DL5" i="50" l="1"/>
  <c r="DL16" i="50" s="1"/>
  <c r="DM5" i="50" l="1"/>
  <c r="DM16" i="50" s="1"/>
  <c r="DN5" i="50" l="1"/>
  <c r="DN16" i="50" s="1"/>
  <c r="DO5" i="50" l="1"/>
  <c r="DO16" i="50" s="1"/>
  <c r="DP5" i="50" l="1"/>
  <c r="DP16" i="50" s="1"/>
  <c r="DQ5" i="50" l="1"/>
  <c r="DQ16" i="50" s="1"/>
  <c r="DR5" i="50" l="1"/>
  <c r="DR16" i="50" s="1"/>
  <c r="DS5" i="50" l="1"/>
  <c r="DS16" i="50" s="1"/>
  <c r="DT5" i="50" l="1"/>
  <c r="DT16" i="50" s="1"/>
  <c r="DU5" i="50" l="1"/>
  <c r="DU16" i="50" s="1"/>
  <c r="DV5" i="50" l="1"/>
  <c r="DV16" i="50" s="1"/>
  <c r="DW5" i="50" l="1"/>
  <c r="DW16" i="50" s="1"/>
  <c r="DX5" i="50" l="1"/>
  <c r="DX16" i="50" s="1"/>
  <c r="DY5" i="50" l="1"/>
  <c r="DY16" i="50" l="1"/>
  <c r="DY17" i="50"/>
  <c r="DZ5" i="50"/>
  <c r="DZ17" i="50" l="1"/>
  <c r="DZ16" i="50"/>
  <c r="EA5" i="50"/>
  <c r="EA17" i="50" l="1"/>
  <c r="EA16" i="50"/>
  <c r="EB5" i="50"/>
  <c r="EB16" i="50" l="1"/>
  <c r="EB17" i="50"/>
  <c r="EC5" i="50"/>
  <c r="EC17" i="50" l="1"/>
  <c r="EC16" i="50"/>
  <c r="ED5" i="50"/>
  <c r="ED16" i="50" l="1"/>
  <c r="ED17" i="50"/>
  <c r="EE5" i="50"/>
  <c r="EE16" i="50" l="1"/>
  <c r="EE17" i="50"/>
  <c r="EF5" i="50"/>
  <c r="EF16" i="50" l="1"/>
  <c r="EF17" i="50"/>
  <c r="EG5" i="50"/>
  <c r="EG16" i="50" l="1"/>
  <c r="EG17" i="50"/>
  <c r="EH5" i="50"/>
  <c r="EH17" i="50" l="1"/>
  <c r="EH16" i="50"/>
  <c r="EI5" i="50"/>
  <c r="EI17" i="50" l="1"/>
  <c r="EI16" i="50"/>
  <c r="EJ5" i="50"/>
  <c r="EJ17" i="50" l="1"/>
  <c r="EJ16" i="50"/>
  <c r="G8" i="40" l="1"/>
  <c r="G7" i="40"/>
  <c r="G4" i="40"/>
  <c r="G15" i="40" l="1"/>
  <c r="G14" i="40"/>
  <c r="G12" i="40"/>
  <c r="G13" i="40"/>
  <c r="H38" i="5"/>
  <c r="B72" i="47" l="1"/>
  <c r="I55" i="47" l="1"/>
  <c r="L52" i="47"/>
  <c r="I52" i="47"/>
  <c r="I53" i="47"/>
  <c r="L51" i="47"/>
  <c r="I51" i="47"/>
  <c r="L57" i="47"/>
  <c r="L55" i="47"/>
  <c r="I56" i="47"/>
  <c r="L56" i="47"/>
  <c r="I57" i="47"/>
  <c r="L53" i="47"/>
  <c r="AD24" i="5"/>
  <c r="AD20" i="5"/>
  <c r="AD19" i="5"/>
  <c r="S18" i="5"/>
  <c r="H41" i="5" l="1"/>
  <c r="H40" i="5"/>
  <c r="H37" i="5"/>
  <c r="H42" i="5" l="1"/>
  <c r="H45" i="5" s="1"/>
  <c r="I44" i="5"/>
  <c r="I48" i="5"/>
  <c r="I43" i="5"/>
  <c r="I42" i="5" l="1"/>
  <c r="I45" i="5"/>
  <c r="H46" i="5" l="1"/>
  <c r="I46" i="5" l="1"/>
  <c r="H47" i="5"/>
  <c r="H49" i="5" l="1"/>
  <c r="H50" i="5" s="1"/>
  <c r="I47" i="5"/>
  <c r="I49" i="5" l="1"/>
  <c r="I50" i="5"/>
  <c r="H51" i="5"/>
  <c r="C260" i="5"/>
  <c r="AJ169" i="5"/>
  <c r="H183" i="5" s="1"/>
  <c r="H52" i="5" l="1"/>
  <c r="I51" i="5"/>
  <c r="D228" i="5" l="1"/>
  <c r="I228" i="5"/>
  <c r="J228" i="5" s="1"/>
  <c r="D230" i="5"/>
  <c r="I52" i="5"/>
  <c r="U16" i="40" s="1"/>
  <c r="I4" i="40"/>
  <c r="G52" i="41"/>
  <c r="G51" i="41"/>
  <c r="G50" i="41"/>
  <c r="G49" i="41"/>
  <c r="G48" i="41"/>
  <c r="G47" i="41"/>
  <c r="G38" i="41"/>
  <c r="G37" i="41"/>
  <c r="G36" i="41"/>
  <c r="G35" i="41"/>
  <c r="G34" i="41"/>
  <c r="G33" i="41"/>
  <c r="G24" i="41"/>
  <c r="G23" i="41"/>
  <c r="G22" i="41"/>
  <c r="G21" i="41"/>
  <c r="G20" i="41"/>
  <c r="G19" i="41"/>
  <c r="E39" i="41"/>
  <c r="F39" i="41"/>
  <c r="I12" i="40" l="1"/>
  <c r="I15" i="40"/>
  <c r="I14" i="40"/>
  <c r="I13" i="40"/>
  <c r="AA32" i="5"/>
  <c r="F52" i="47" l="1"/>
  <c r="D49" i="47"/>
  <c r="D48" i="47"/>
  <c r="D47" i="47"/>
  <c r="D46" i="47"/>
  <c r="D43" i="47"/>
  <c r="D42" i="47"/>
  <c r="D41" i="47"/>
  <c r="D40" i="47"/>
  <c r="D37" i="47"/>
  <c r="D36" i="47"/>
  <c r="D35" i="47"/>
  <c r="D34" i="47"/>
  <c r="D31" i="47"/>
  <c r="D30" i="47"/>
  <c r="D29" i="47"/>
  <c r="D28" i="47"/>
  <c r="D25" i="47"/>
  <c r="D24" i="47"/>
  <c r="D23" i="47"/>
  <c r="D22" i="47"/>
  <c r="D19" i="47"/>
  <c r="D18" i="47"/>
  <c r="D17" i="47"/>
  <c r="D16" i="47"/>
  <c r="D13" i="47"/>
  <c r="D12" i="47"/>
  <c r="D11" i="47"/>
  <c r="D10" i="47"/>
  <c r="D7" i="47"/>
  <c r="D6" i="47"/>
  <c r="D5" i="47"/>
  <c r="D4" i="47"/>
  <c r="F53" i="47" l="1"/>
  <c r="F55" i="47"/>
  <c r="F56" i="47"/>
  <c r="F57" i="47"/>
  <c r="F51" i="47"/>
  <c r="G8" i="42" l="1"/>
  <c r="G7" i="42"/>
  <c r="G6" i="42"/>
  <c r="G5" i="42"/>
  <c r="G4" i="42"/>
  <c r="G3" i="42"/>
  <c r="P7" i="5" l="1"/>
  <c r="P8" i="5"/>
  <c r="P6" i="5"/>
  <c r="P9" i="5"/>
  <c r="P5" i="5"/>
  <c r="P10" i="5"/>
  <c r="G12" i="42"/>
  <c r="J12" i="42"/>
  <c r="I12" i="42"/>
  <c r="H12" i="42"/>
  <c r="J11" i="42"/>
  <c r="I11" i="42"/>
  <c r="H11" i="42"/>
  <c r="G11" i="42"/>
  <c r="J10" i="42"/>
  <c r="I10" i="42"/>
  <c r="H10" i="42"/>
  <c r="G10" i="42"/>
  <c r="J9" i="42"/>
  <c r="I9" i="42"/>
  <c r="H9" i="42"/>
  <c r="G9" i="42"/>
  <c r="J8" i="42"/>
  <c r="I8" i="42"/>
  <c r="H8" i="42"/>
  <c r="J7" i="42"/>
  <c r="I7" i="42"/>
  <c r="H7" i="42"/>
  <c r="J6" i="42"/>
  <c r="I6" i="42"/>
  <c r="H6" i="42"/>
  <c r="J5" i="42"/>
  <c r="I5" i="42"/>
  <c r="H5" i="42"/>
  <c r="J4" i="42"/>
  <c r="I4" i="42"/>
  <c r="H4" i="42"/>
  <c r="C41" i="55" s="1"/>
  <c r="J3" i="42"/>
  <c r="I3" i="42"/>
  <c r="H3" i="42"/>
  <c r="C40" i="55" s="1"/>
  <c r="R12" i="5" l="1"/>
  <c r="S14" i="5"/>
  <c r="S10" i="5"/>
  <c r="S12" i="5"/>
  <c r="R13" i="5"/>
  <c r="Q14" i="5"/>
  <c r="S9" i="5"/>
  <c r="S11" i="5"/>
  <c r="C51" i="55"/>
  <c r="D51" i="55" s="1"/>
  <c r="D41" i="55"/>
  <c r="P13" i="5"/>
  <c r="C43" i="55"/>
  <c r="P14" i="5"/>
  <c r="R10" i="5"/>
  <c r="Q11" i="5"/>
  <c r="C50" i="55"/>
  <c r="D50" i="55" s="1"/>
  <c r="D40" i="55"/>
  <c r="P12" i="5"/>
  <c r="Q13" i="5"/>
  <c r="S13" i="5"/>
  <c r="R14" i="5"/>
  <c r="R9" i="5"/>
  <c r="Q10" i="5"/>
  <c r="R11" i="5"/>
  <c r="Q12" i="5"/>
  <c r="Q9" i="5"/>
  <c r="C44" i="55"/>
  <c r="R6" i="5"/>
  <c r="S6" i="5"/>
  <c r="Q6" i="5"/>
  <c r="R5" i="5"/>
  <c r="R7" i="5"/>
  <c r="S8" i="5"/>
  <c r="E130" i="5"/>
  <c r="Q5" i="5"/>
  <c r="E134" i="5"/>
  <c r="E135" i="5"/>
  <c r="E133" i="5"/>
  <c r="E132" i="5"/>
  <c r="E136" i="5"/>
  <c r="E137" i="5"/>
  <c r="E131" i="5"/>
  <c r="E138" i="5"/>
  <c r="E139" i="5"/>
  <c r="I26" i="42"/>
  <c r="L26" i="42" s="1"/>
  <c r="K4" i="42"/>
  <c r="K5" i="42"/>
  <c r="K6" i="42"/>
  <c r="K7" i="42"/>
  <c r="K11" i="42"/>
  <c r="G13" i="42"/>
  <c r="K8" i="42"/>
  <c r="K10" i="42"/>
  <c r="K12" i="42"/>
  <c r="K9" i="42"/>
  <c r="J13" i="42"/>
  <c r="E129" i="5" s="1"/>
  <c r="K3" i="42"/>
  <c r="H13" i="42"/>
  <c r="I13" i="42" s="1"/>
  <c r="AK206" i="5" l="1"/>
  <c r="AL206" i="5" s="1"/>
  <c r="R8" i="5"/>
  <c r="Q8" i="5"/>
  <c r="C53" i="55"/>
  <c r="D53" i="55" s="1"/>
  <c r="D43" i="55"/>
  <c r="P11" i="5"/>
  <c r="P15" i="5" s="1"/>
  <c r="AK209" i="5"/>
  <c r="AL209" i="5" s="1"/>
  <c r="Q7" i="5"/>
  <c r="C42" i="55"/>
  <c r="C54" i="55"/>
  <c r="D54" i="55" s="1"/>
  <c r="D44" i="55"/>
  <c r="E15" i="41"/>
  <c r="F211" i="5"/>
  <c r="P13" i="58" s="1"/>
  <c r="S7" i="5"/>
  <c r="T6" i="5"/>
  <c r="AK205" i="5"/>
  <c r="AL205" i="5" s="1"/>
  <c r="T10" i="5"/>
  <c r="T13" i="5"/>
  <c r="T11" i="5"/>
  <c r="T14" i="5"/>
  <c r="T12" i="5"/>
  <c r="S5" i="5"/>
  <c r="AD26" i="5"/>
  <c r="AD25" i="5"/>
  <c r="L11" i="42"/>
  <c r="L8" i="42"/>
  <c r="L9" i="42"/>
  <c r="L10" i="42"/>
  <c r="L12" i="42"/>
  <c r="L7" i="42"/>
  <c r="L6" i="42"/>
  <c r="L5" i="42"/>
  <c r="L4" i="42"/>
  <c r="L3" i="42"/>
  <c r="K13" i="42"/>
  <c r="L13" i="42" s="1"/>
  <c r="E84" i="58" l="1"/>
  <c r="E75" i="58"/>
  <c r="E78" i="58"/>
  <c r="E74" i="58"/>
  <c r="E81" i="58"/>
  <c r="I254" i="5"/>
  <c r="I255" i="5" s="1"/>
  <c r="H174" i="5"/>
  <c r="T19" i="5"/>
  <c r="AE20" i="5"/>
  <c r="AE19" i="5"/>
  <c r="Q15" i="5"/>
  <c r="S56" i="5" s="1"/>
  <c r="T9" i="5"/>
  <c r="T8" i="5"/>
  <c r="AK208" i="5"/>
  <c r="AL208" i="5" s="1"/>
  <c r="T20" i="5"/>
  <c r="H123" i="5"/>
  <c r="H125" i="5" s="1"/>
  <c r="E5" i="55" s="1"/>
  <c r="G4" i="51"/>
  <c r="I260" i="5"/>
  <c r="F210" i="5"/>
  <c r="AQ18" i="5"/>
  <c r="D27" i="52" s="1"/>
  <c r="C5" i="55"/>
  <c r="C52" i="55"/>
  <c r="D42" i="55"/>
  <c r="D45" i="55" s="1"/>
  <c r="C45" i="55"/>
  <c r="I261" i="5"/>
  <c r="O26" i="55"/>
  <c r="M26" i="55"/>
  <c r="I108" i="5"/>
  <c r="I106" i="5"/>
  <c r="I115" i="5"/>
  <c r="I113" i="5"/>
  <c r="I112" i="5"/>
  <c r="T5" i="5"/>
  <c r="T7" i="5"/>
  <c r="AK207" i="5"/>
  <c r="AL207" i="5" s="1"/>
  <c r="W31" i="5"/>
  <c r="F16" i="40"/>
  <c r="P16" i="40"/>
  <c r="S16" i="40" s="1"/>
  <c r="R15" i="5"/>
  <c r="F15" i="41"/>
  <c r="G15" i="41" s="1"/>
  <c r="H31" i="5" l="1"/>
  <c r="I31" i="5" s="1"/>
  <c r="B84" i="58"/>
  <c r="B81" i="58"/>
  <c r="B78" i="58"/>
  <c r="B75" i="58"/>
  <c r="B74" i="58"/>
  <c r="J123" i="5"/>
  <c r="I124" i="5" s="1"/>
  <c r="I262" i="5"/>
  <c r="C60" i="55"/>
  <c r="C47" i="55"/>
  <c r="C68" i="55" s="1"/>
  <c r="E68" i="55" s="1"/>
  <c r="E45" i="55"/>
  <c r="D47" i="55"/>
  <c r="D52" i="55"/>
  <c r="D55" i="55" s="1"/>
  <c r="C55" i="55"/>
  <c r="C57" i="55" s="1"/>
  <c r="C7" i="55"/>
  <c r="E66" i="55"/>
  <c r="E65" i="55"/>
  <c r="U15" i="5"/>
  <c r="D23" i="55"/>
  <c r="E23" i="55" s="1"/>
  <c r="N5" i="5"/>
  <c r="U5" i="5"/>
  <c r="W5" i="5"/>
  <c r="AA5" i="5"/>
  <c r="N8" i="5"/>
  <c r="AD8" i="5"/>
  <c r="U8" i="5"/>
  <c r="W8" i="5"/>
  <c r="AA8" i="5"/>
  <c r="N9" i="5"/>
  <c r="AD9" i="5"/>
  <c r="U9" i="5"/>
  <c r="W9" i="5"/>
  <c r="AA9" i="5"/>
  <c r="N10" i="5"/>
  <c r="AD10" i="5"/>
  <c r="U10" i="5"/>
  <c r="W10" i="5"/>
  <c r="AA10" i="5"/>
  <c r="N11" i="5"/>
  <c r="AD11" i="5"/>
  <c r="U11" i="5"/>
  <c r="W11" i="5"/>
  <c r="AA11" i="5"/>
  <c r="N12" i="5"/>
  <c r="AD12" i="5"/>
  <c r="U12" i="5"/>
  <c r="W12" i="5"/>
  <c r="AA12" i="5"/>
  <c r="N13" i="5"/>
  <c r="AD13" i="5"/>
  <c r="U13" i="5"/>
  <c r="W13" i="5"/>
  <c r="AA13" i="5"/>
  <c r="N14" i="5"/>
  <c r="AD14" i="5"/>
  <c r="U14" i="5"/>
  <c r="W14" i="5"/>
  <c r="AA14" i="5"/>
  <c r="F57" i="41"/>
  <c r="E57" i="41"/>
  <c r="F43" i="41"/>
  <c r="E43" i="41"/>
  <c r="F29" i="41"/>
  <c r="E29" i="41"/>
  <c r="H16" i="40"/>
  <c r="F56" i="41"/>
  <c r="E56" i="41"/>
  <c r="F55" i="41"/>
  <c r="E55" i="41"/>
  <c r="F54" i="41"/>
  <c r="E54" i="41"/>
  <c r="F53" i="41"/>
  <c r="E53" i="41"/>
  <c r="G53" i="41"/>
  <c r="F42" i="41"/>
  <c r="E42" i="41"/>
  <c r="F41" i="41"/>
  <c r="E41" i="41"/>
  <c r="F40" i="41"/>
  <c r="E40" i="41"/>
  <c r="G40" i="41"/>
  <c r="F28" i="41"/>
  <c r="E28" i="41"/>
  <c r="F27" i="41"/>
  <c r="E27" i="41"/>
  <c r="F26" i="41"/>
  <c r="E26" i="41"/>
  <c r="F25" i="41"/>
  <c r="E25" i="41"/>
  <c r="G27" i="41"/>
  <c r="H15" i="40"/>
  <c r="H14" i="40"/>
  <c r="E14" i="40"/>
  <c r="H13" i="40"/>
  <c r="E13" i="40"/>
  <c r="H12" i="40"/>
  <c r="E12" i="40"/>
  <c r="S31" i="5" l="1"/>
  <c r="D227" i="5"/>
  <c r="I227" i="5" s="1"/>
  <c r="G83" i="5"/>
  <c r="AL74" i="5"/>
  <c r="AN73" i="5"/>
  <c r="E223" i="5"/>
  <c r="AK73" i="5"/>
  <c r="AK74" i="5"/>
  <c r="AM74" i="5"/>
  <c r="AN74" i="5"/>
  <c r="AL73" i="5"/>
  <c r="G82" i="5"/>
  <c r="E227" i="5"/>
  <c r="J227" i="5" s="1"/>
  <c r="D223" i="5"/>
  <c r="AJ73" i="5"/>
  <c r="AJ74" i="5"/>
  <c r="AM73" i="5"/>
  <c r="H124" i="5"/>
  <c r="J125" i="5"/>
  <c r="E7" i="55" s="1"/>
  <c r="L29" i="55"/>
  <c r="L19" i="55"/>
  <c r="L18" i="55"/>
  <c r="L44" i="55"/>
  <c r="L40" i="55"/>
  <c r="L15" i="55"/>
  <c r="L36" i="55"/>
  <c r="L24" i="55"/>
  <c r="L7" i="55"/>
  <c r="L49" i="55"/>
  <c r="L43" i="55"/>
  <c r="L9" i="55"/>
  <c r="L14" i="55"/>
  <c r="L25" i="55"/>
  <c r="L51" i="55"/>
  <c r="L16" i="55"/>
  <c r="L45" i="55"/>
  <c r="L17" i="55"/>
  <c r="L42" i="55"/>
  <c r="L37" i="55"/>
  <c r="E77" i="55"/>
  <c r="L8" i="55"/>
  <c r="L12" i="55"/>
  <c r="L11" i="55"/>
  <c r="L31" i="55"/>
  <c r="L13" i="55"/>
  <c r="L41" i="55"/>
  <c r="L39" i="55"/>
  <c r="L6" i="55"/>
  <c r="L30" i="55"/>
  <c r="L23" i="55"/>
  <c r="L27" i="55"/>
  <c r="L35" i="55"/>
  <c r="L38" i="55"/>
  <c r="E74" i="55"/>
  <c r="L46" i="55"/>
  <c r="L26" i="55"/>
  <c r="E55" i="55"/>
  <c r="D57" i="55"/>
  <c r="E57" i="55" s="1"/>
  <c r="E47" i="55"/>
  <c r="C62" i="55"/>
  <c r="D60" i="55"/>
  <c r="D62" i="55" s="1"/>
  <c r="AD5" i="5"/>
  <c r="AE5" i="5" s="1"/>
  <c r="G55" i="41"/>
  <c r="G56" i="41"/>
  <c r="G26" i="41"/>
  <c r="AF8" i="5"/>
  <c r="AE9" i="5"/>
  <c r="AF10" i="5"/>
  <c r="G57" i="41"/>
  <c r="G29" i="41"/>
  <c r="G43" i="41"/>
  <c r="G25" i="41"/>
  <c r="G28" i="41"/>
  <c r="G41" i="41"/>
  <c r="G54" i="41"/>
  <c r="G39" i="41"/>
  <c r="G42" i="41"/>
  <c r="G84" i="5" l="1"/>
  <c r="G173" i="5"/>
  <c r="E62" i="55"/>
  <c r="D73" i="55"/>
  <c r="AE8" i="5"/>
  <c r="AF5" i="5"/>
  <c r="AF9" i="5"/>
  <c r="AE10" i="5"/>
  <c r="E73" i="55" l="1"/>
  <c r="D75" i="55"/>
  <c r="T25" i="5"/>
  <c r="D78" i="55" l="1"/>
  <c r="E78" i="55" s="1"/>
  <c r="E75" i="55"/>
  <c r="D76" i="55"/>
  <c r="K22" i="55"/>
  <c r="T35" i="5"/>
  <c r="T26" i="5"/>
  <c r="T24" i="5"/>
  <c r="O22" i="55" l="1"/>
  <c r="L22" i="55"/>
  <c r="M22" i="55"/>
  <c r="U35" i="5"/>
  <c r="U7" i="5"/>
  <c r="U6" i="5"/>
  <c r="N6" i="5"/>
  <c r="N7" i="5"/>
  <c r="N25" i="5"/>
  <c r="N26" i="5"/>
  <c r="N27" i="5"/>
  <c r="N28" i="5"/>
  <c r="N29" i="5"/>
  <c r="N30" i="5"/>
  <c r="N31" i="5"/>
  <c r="N24" i="5"/>
  <c r="S17" i="5"/>
  <c r="S15" i="5" l="1"/>
  <c r="T15" i="5" l="1"/>
  <c r="J239" i="5" l="1"/>
  <c r="E7" i="50" s="1"/>
  <c r="F7" i="50" s="1"/>
  <c r="I73" i="5" l="1"/>
  <c r="I164" i="5"/>
  <c r="AD16" i="5"/>
  <c r="AA7" i="5"/>
  <c r="AA6" i="5"/>
  <c r="I13" i="50" l="1"/>
  <c r="I17" i="50" s="1"/>
  <c r="AD18" i="5"/>
  <c r="AA15" i="5"/>
  <c r="AA21" i="5" s="1"/>
  <c r="AA23" i="5" s="1"/>
  <c r="AA33" i="5" s="1"/>
  <c r="I239" i="5"/>
  <c r="E6" i="50" s="1"/>
  <c r="F6" i="50" s="1"/>
  <c r="I72" i="5" l="1"/>
  <c r="I163" i="5"/>
  <c r="J9" i="50"/>
  <c r="AD31" i="5"/>
  <c r="J13" i="50" l="1"/>
  <c r="J17" i="50" s="1"/>
  <c r="I21" i="50"/>
  <c r="I12" i="50"/>
  <c r="I16" i="50" l="1"/>
  <c r="J8" i="50" s="1"/>
  <c r="K9" i="50"/>
  <c r="K13" i="50" s="1"/>
  <c r="K17" i="50" s="1"/>
  <c r="T31" i="5"/>
  <c r="J21" i="50" l="1"/>
  <c r="L9" i="50"/>
  <c r="L13" i="50" s="1"/>
  <c r="L17" i="50" s="1"/>
  <c r="J12" i="50"/>
  <c r="J16" i="50" s="1"/>
  <c r="I20" i="50"/>
  <c r="Y32" i="5"/>
  <c r="X32" i="5"/>
  <c r="Y28" i="5" l="1"/>
  <c r="X28" i="5"/>
  <c r="I28" i="5" s="1"/>
  <c r="H28" i="5" s="1"/>
  <c r="K8" i="50"/>
  <c r="K12" i="50" s="1"/>
  <c r="K16" i="50" s="1"/>
  <c r="L21" i="50"/>
  <c r="K21" i="50"/>
  <c r="X30" i="5"/>
  <c r="X29" i="5"/>
  <c r="Y26" i="5"/>
  <c r="Y25" i="5"/>
  <c r="Y24" i="5"/>
  <c r="W7" i="5"/>
  <c r="W6" i="5"/>
  <c r="Y27" i="5" l="1"/>
  <c r="X27" i="5"/>
  <c r="I27" i="5" s="1"/>
  <c r="H27" i="5" s="1"/>
  <c r="J20" i="50"/>
  <c r="L8" i="50"/>
  <c r="L12" i="50" s="1"/>
  <c r="L16" i="50" s="1"/>
  <c r="M9" i="50"/>
  <c r="T28" i="5"/>
  <c r="S28" i="5" s="1"/>
  <c r="W15" i="5"/>
  <c r="X15" i="5" s="1"/>
  <c r="X24" i="5"/>
  <c r="Y29" i="5"/>
  <c r="X25" i="5"/>
  <c r="Y30" i="5"/>
  <c r="X26" i="5"/>
  <c r="G30" i="5" l="1"/>
  <c r="H30" i="5" s="1"/>
  <c r="I30" i="5" s="1"/>
  <c r="G29" i="5"/>
  <c r="H29" i="5" s="1"/>
  <c r="I29" i="5" s="1"/>
  <c r="T27" i="5"/>
  <c r="S27" i="5" s="1"/>
  <c r="AD28" i="5"/>
  <c r="M13" i="50"/>
  <c r="M17" i="50" s="1"/>
  <c r="K20" i="50"/>
  <c r="R29" i="5" l="1"/>
  <c r="H32" i="5"/>
  <c r="R30" i="5"/>
  <c r="M8" i="50"/>
  <c r="M12" i="50" s="1"/>
  <c r="M16" i="50" s="1"/>
  <c r="L20" i="50"/>
  <c r="N9" i="50"/>
  <c r="AD17" i="5"/>
  <c r="AF20" i="5"/>
  <c r="AF19" i="5"/>
  <c r="AF18" i="5"/>
  <c r="AB15" i="5"/>
  <c r="AB28" i="5"/>
  <c r="AB31" i="5"/>
  <c r="AB26" i="5"/>
  <c r="AB25" i="5"/>
  <c r="AB29" i="5"/>
  <c r="AB24" i="5"/>
  <c r="AB27" i="5"/>
  <c r="W30" i="5"/>
  <c r="W29" i="5"/>
  <c r="W27" i="5"/>
  <c r="W26" i="5"/>
  <c r="W25" i="5"/>
  <c r="W24" i="5"/>
  <c r="W28" i="5"/>
  <c r="G32" i="5" l="1"/>
  <c r="I32" i="5"/>
  <c r="H33" i="5"/>
  <c r="AD27" i="5"/>
  <c r="M21" i="50"/>
  <c r="N8" i="50"/>
  <c r="N13" i="50"/>
  <c r="N17" i="50" s="1"/>
  <c r="I33" i="5" l="1"/>
  <c r="H34" i="5"/>
  <c r="I34" i="5" s="1"/>
  <c r="J34" i="5" s="1"/>
  <c r="N12" i="50"/>
  <c r="N16" i="50" s="1"/>
  <c r="O9" i="50"/>
  <c r="M20" i="50"/>
  <c r="AB21" i="5"/>
  <c r="O13" i="50" l="1"/>
  <c r="O17" i="50" s="1"/>
  <c r="O8" i="50"/>
  <c r="N21" i="50"/>
  <c r="AB32" i="5"/>
  <c r="AB30" i="5"/>
  <c r="AB23" i="5"/>
  <c r="P9" i="50" l="1"/>
  <c r="O12" i="50"/>
  <c r="O16" i="50" s="1"/>
  <c r="N20" i="50"/>
  <c r="AB33" i="5"/>
  <c r="P13" i="50" l="1"/>
  <c r="P17" i="50" s="1"/>
  <c r="P8" i="50"/>
  <c r="O21" i="50"/>
  <c r="AD7" i="5"/>
  <c r="O20" i="50" l="1"/>
  <c r="P12" i="50"/>
  <c r="P16" i="50" s="1"/>
  <c r="Q9" i="50"/>
  <c r="AD6" i="5"/>
  <c r="Q13" i="50" l="1"/>
  <c r="Q17" i="50" s="1"/>
  <c r="P21" i="50"/>
  <c r="Q8" i="50"/>
  <c r="AE6" i="5"/>
  <c r="Q12" i="50" l="1"/>
  <c r="Q16" i="50" s="1"/>
  <c r="P20" i="50"/>
  <c r="R9" i="50"/>
  <c r="AD21" i="5"/>
  <c r="AF21" i="5" s="1"/>
  <c r="AD15" i="5"/>
  <c r="AF12" i="5"/>
  <c r="AE7" i="5"/>
  <c r="H4" i="51"/>
  <c r="AF6" i="5"/>
  <c r="R8" i="50" l="1"/>
  <c r="R13" i="50"/>
  <c r="R17" i="50" s="1"/>
  <c r="Q21" i="50"/>
  <c r="AE12" i="5"/>
  <c r="AE13" i="5"/>
  <c r="AF13" i="5"/>
  <c r="AF7" i="5"/>
  <c r="AE11" i="5"/>
  <c r="AF11" i="5"/>
  <c r="R12" i="50" l="1"/>
  <c r="R16" i="50" s="1"/>
  <c r="S9" i="50"/>
  <c r="Q20" i="50"/>
  <c r="AD22" i="5"/>
  <c r="AE22" i="5" s="1"/>
  <c r="AD23" i="5"/>
  <c r="AE14" i="5"/>
  <c r="AF14" i="5"/>
  <c r="W32" i="5"/>
  <c r="S8" i="50" l="1"/>
  <c r="S13" i="50"/>
  <c r="S17" i="50" s="1"/>
  <c r="R21" i="50"/>
  <c r="AF15" i="5"/>
  <c r="AD30" i="5" l="1"/>
  <c r="S12" i="50"/>
  <c r="S16" i="50" s="1"/>
  <c r="T9" i="50"/>
  <c r="R20" i="50"/>
  <c r="AD29" i="5"/>
  <c r="AE15" i="5"/>
  <c r="AF16" i="5"/>
  <c r="AE16" i="5"/>
  <c r="T13" i="50" l="1"/>
  <c r="T17" i="50" s="1"/>
  <c r="S21" i="50"/>
  <c r="T8" i="50"/>
  <c r="T12" i="50" l="1"/>
  <c r="T16" i="50" s="1"/>
  <c r="S20" i="50"/>
  <c r="U9" i="50"/>
  <c r="U13" i="50" l="1"/>
  <c r="U17" i="50" s="1"/>
  <c r="T21" i="50"/>
  <c r="U8" i="50"/>
  <c r="AF17" i="5"/>
  <c r="AE17" i="5"/>
  <c r="AF23" i="5"/>
  <c r="AD32" i="5"/>
  <c r="U12" i="50" l="1"/>
  <c r="U16" i="50" s="1"/>
  <c r="T20" i="50"/>
  <c r="V9" i="50"/>
  <c r="AF24" i="5"/>
  <c r="AE21" i="5"/>
  <c r="AE18" i="5"/>
  <c r="AE23" i="5"/>
  <c r="AF22" i="5"/>
  <c r="AE28" i="5"/>
  <c r="V13" i="50" l="1"/>
  <c r="V17" i="50" s="1"/>
  <c r="U21" i="50"/>
  <c r="V8" i="50"/>
  <c r="AD33" i="5"/>
  <c r="AF33" i="5" s="1"/>
  <c r="AE24" i="5"/>
  <c r="AF31" i="5"/>
  <c r="AF26" i="5"/>
  <c r="AF32" i="5"/>
  <c r="AF28" i="5"/>
  <c r="AF29" i="5"/>
  <c r="V12" i="50" l="1"/>
  <c r="V16" i="50" s="1"/>
  <c r="U20" i="50"/>
  <c r="W9" i="50"/>
  <c r="AE33" i="5"/>
  <c r="AE31" i="5"/>
  <c r="AE26" i="5"/>
  <c r="AE32" i="5"/>
  <c r="AF25" i="5"/>
  <c r="AE25" i="5"/>
  <c r="AF27" i="5"/>
  <c r="AE27" i="5"/>
  <c r="AE29" i="5"/>
  <c r="AF30" i="5"/>
  <c r="AE30" i="5"/>
  <c r="W13" i="50" l="1"/>
  <c r="W17" i="50" s="1"/>
  <c r="W8" i="50"/>
  <c r="V21" i="50"/>
  <c r="W12" i="50" l="1"/>
  <c r="W16" i="50" s="1"/>
  <c r="V20" i="50"/>
  <c r="X9" i="50"/>
  <c r="X13" i="50" l="1"/>
  <c r="X17" i="50" s="1"/>
  <c r="W21" i="50"/>
  <c r="X8" i="50"/>
  <c r="X12" i="50" l="1"/>
  <c r="X16" i="50" s="1"/>
  <c r="W20" i="50"/>
  <c r="Y9" i="50"/>
  <c r="X21" i="50" l="1"/>
  <c r="Y13" i="50"/>
  <c r="Y17" i="50" s="1"/>
  <c r="Y8" i="50"/>
  <c r="Z9" i="50" l="1"/>
  <c r="Y12" i="50"/>
  <c r="Y16" i="50" s="1"/>
  <c r="X20" i="50"/>
  <c r="Z8" i="50" l="1"/>
  <c r="Z13" i="50"/>
  <c r="Z17" i="50" s="1"/>
  <c r="Y21" i="50"/>
  <c r="Z12" i="50" l="1"/>
  <c r="Z16" i="50" s="1"/>
  <c r="AA9" i="50"/>
  <c r="Y20" i="50"/>
  <c r="AA13" i="50" l="1"/>
  <c r="AA17" i="50" s="1"/>
  <c r="Z21" i="50"/>
  <c r="AA8" i="50"/>
  <c r="AA12" i="50" l="1"/>
  <c r="AA16" i="50" s="1"/>
  <c r="Z20" i="50"/>
  <c r="AB9" i="50"/>
  <c r="AB13" i="50" l="1"/>
  <c r="AB17" i="50" s="1"/>
  <c r="AA21" i="50"/>
  <c r="AB8" i="50"/>
  <c r="AB12" i="50" l="1"/>
  <c r="AB16" i="50" s="1"/>
  <c r="AA20" i="50"/>
  <c r="AC9" i="50"/>
  <c r="AC13" i="50" l="1"/>
  <c r="AC17" i="50" s="1"/>
  <c r="AB21" i="50"/>
  <c r="AC8" i="50"/>
  <c r="AC12" i="50" l="1"/>
  <c r="AC16" i="50" s="1"/>
  <c r="AB20" i="50"/>
  <c r="AD9" i="50"/>
  <c r="AD13" i="50" l="1"/>
  <c r="AD17" i="50" s="1"/>
  <c r="AD8" i="50"/>
  <c r="AC21" i="50"/>
  <c r="AD12" i="50" l="1"/>
  <c r="AD16" i="50" s="1"/>
  <c r="AC20" i="50"/>
  <c r="AE9" i="50"/>
  <c r="AE13" i="50" l="1"/>
  <c r="AE17" i="50" s="1"/>
  <c r="AD21" i="50"/>
  <c r="AE8" i="50"/>
  <c r="AD20" i="50" l="1"/>
  <c r="AE12" i="50"/>
  <c r="AE16" i="50" s="1"/>
  <c r="AF9" i="50"/>
  <c r="AF13" i="50" l="1"/>
  <c r="AF17" i="50" s="1"/>
  <c r="AE21" i="50"/>
  <c r="AF8" i="50"/>
  <c r="AE20" i="50" l="1"/>
  <c r="AG9" i="50"/>
  <c r="AF12" i="50"/>
  <c r="AF16" i="50" s="1"/>
  <c r="AG8" i="50" l="1"/>
  <c r="AG13" i="50"/>
  <c r="AG17" i="50" s="1"/>
  <c r="AF21" i="50"/>
  <c r="AH9" i="50" l="1"/>
  <c r="AG12" i="50"/>
  <c r="AG16" i="50" s="1"/>
  <c r="AF20" i="50"/>
  <c r="AH8" i="50" l="1"/>
  <c r="AH13" i="50"/>
  <c r="AH17" i="50" s="1"/>
  <c r="AG21" i="50"/>
  <c r="AI9" i="50" l="1"/>
  <c r="AH12" i="50"/>
  <c r="AH16" i="50" s="1"/>
  <c r="AG20" i="50"/>
  <c r="AI8" i="50" l="1"/>
  <c r="AI13" i="50"/>
  <c r="AI17" i="50" s="1"/>
  <c r="AH21" i="50"/>
  <c r="AJ9" i="50" l="1"/>
  <c r="AI12" i="50"/>
  <c r="AI16" i="50" s="1"/>
  <c r="AH20" i="50"/>
  <c r="AJ8" i="50" l="1"/>
  <c r="AJ13" i="50"/>
  <c r="AJ17" i="50" s="1"/>
  <c r="AI21" i="50"/>
  <c r="AJ12" i="50" l="1"/>
  <c r="AJ16" i="50" s="1"/>
  <c r="AK9" i="50"/>
  <c r="AI20" i="50"/>
  <c r="AK8" i="50" l="1"/>
  <c r="AJ21" i="50"/>
  <c r="AK13" i="50"/>
  <c r="AK17" i="50" s="1"/>
  <c r="AK12" i="50" l="1"/>
  <c r="AK16" i="50" s="1"/>
  <c r="AL9" i="50"/>
  <c r="AJ20" i="50"/>
  <c r="AL13" i="50" l="1"/>
  <c r="AL17" i="50" s="1"/>
  <c r="AK21" i="50"/>
  <c r="AL8" i="50"/>
  <c r="AM9" i="50" l="1"/>
  <c r="AL12" i="50"/>
  <c r="AL16" i="50" s="1"/>
  <c r="AK20" i="50"/>
  <c r="AM8" i="50" l="1"/>
  <c r="AM13" i="50"/>
  <c r="AM17" i="50" s="1"/>
  <c r="AL21" i="50"/>
  <c r="AM12" i="50" l="1"/>
  <c r="AM16" i="50" s="1"/>
  <c r="AN9" i="50"/>
  <c r="AL20" i="50"/>
  <c r="AN13" i="50" l="1"/>
  <c r="AN17" i="50" s="1"/>
  <c r="AN8" i="50"/>
  <c r="AM21" i="50"/>
  <c r="AM20" i="50" l="1"/>
  <c r="AN12" i="50"/>
  <c r="AN16" i="50" s="1"/>
  <c r="AO9" i="50"/>
  <c r="AN21" i="50" l="1"/>
  <c r="AO13" i="50"/>
  <c r="AO17" i="50" s="1"/>
  <c r="AO8" i="50"/>
  <c r="AO12" i="50" l="1"/>
  <c r="AO16" i="50" s="1"/>
  <c r="AP9" i="50"/>
  <c r="AN20" i="50"/>
  <c r="AP8" i="50" l="1"/>
  <c r="AP13" i="50"/>
  <c r="AP17" i="50" s="1"/>
  <c r="AO21" i="50"/>
  <c r="AP12" i="50" l="1"/>
  <c r="AP16" i="50" s="1"/>
  <c r="AQ9" i="50"/>
  <c r="AO20" i="50"/>
  <c r="AP21" i="50" l="1"/>
  <c r="AQ13" i="50"/>
  <c r="AQ17" i="50" s="1"/>
  <c r="AQ8" i="50"/>
  <c r="AP20" i="50" l="1"/>
  <c r="AR9" i="50"/>
  <c r="AQ12" i="50"/>
  <c r="AQ16" i="50" s="1"/>
  <c r="AR13" i="50" l="1"/>
  <c r="AR17" i="50" s="1"/>
  <c r="AQ21" i="50"/>
  <c r="AR8" i="50"/>
  <c r="AS9" i="50" l="1"/>
  <c r="AR12" i="50"/>
  <c r="AR16" i="50" s="1"/>
  <c r="AQ20" i="50"/>
  <c r="AS8" i="50" l="1"/>
  <c r="AS13" i="50"/>
  <c r="AS17" i="50" s="1"/>
  <c r="AR21" i="50"/>
  <c r="AS12" i="50" l="1"/>
  <c r="AS16" i="50" s="1"/>
  <c r="AT9" i="50"/>
  <c r="AR20" i="50"/>
  <c r="AS21" i="50" l="1"/>
  <c r="AT13" i="50"/>
  <c r="AT17" i="50" s="1"/>
  <c r="AT8" i="50"/>
  <c r="AU9" i="50" l="1"/>
  <c r="AT12" i="50"/>
  <c r="AT16" i="50" s="1"/>
  <c r="AS20" i="50"/>
  <c r="AU8" i="50" l="1"/>
  <c r="AU13" i="50"/>
  <c r="AU17" i="50" s="1"/>
  <c r="AT21" i="50"/>
  <c r="AV9" i="50" l="1"/>
  <c r="AU12" i="50"/>
  <c r="AU16" i="50" s="1"/>
  <c r="AT20" i="50"/>
  <c r="AV8" i="50" l="1"/>
  <c r="AV13" i="50"/>
  <c r="AV17" i="50" s="1"/>
  <c r="AU21" i="50"/>
  <c r="AV12" i="50" l="1"/>
  <c r="AV16" i="50" s="1"/>
  <c r="AW9" i="50"/>
  <c r="AU20" i="50"/>
  <c r="AV21" i="50" l="1"/>
  <c r="AW13" i="50"/>
  <c r="AW17" i="50" s="1"/>
  <c r="AW8" i="50"/>
  <c r="AX9" i="50" l="1"/>
  <c r="AW12" i="50"/>
  <c r="AW16" i="50" s="1"/>
  <c r="AV20" i="50"/>
  <c r="AX8" i="50" l="1"/>
  <c r="AX13" i="50"/>
  <c r="AX17" i="50" s="1"/>
  <c r="AW21" i="50"/>
  <c r="AX12" i="50" l="1"/>
  <c r="AX16" i="50" s="1"/>
  <c r="AY9" i="50"/>
  <c r="AW20" i="50"/>
  <c r="AY8" i="50" l="1"/>
  <c r="AY13" i="50"/>
  <c r="AY17" i="50" s="1"/>
  <c r="AX21" i="50"/>
  <c r="AY12" i="50" l="1"/>
  <c r="AY16" i="50" s="1"/>
  <c r="AZ9" i="50"/>
  <c r="AX20" i="50"/>
  <c r="AZ8" i="50" l="1"/>
  <c r="AY21" i="50"/>
  <c r="AZ13" i="50"/>
  <c r="AZ17" i="50" s="1"/>
  <c r="AZ12" i="50" l="1"/>
  <c r="AZ16" i="50" s="1"/>
  <c r="BA9" i="50"/>
  <c r="AY20" i="50"/>
  <c r="BA8" i="50" l="1"/>
  <c r="BA13" i="50"/>
  <c r="BA17" i="50" s="1"/>
  <c r="AZ21" i="50"/>
  <c r="BA12" i="50" l="1"/>
  <c r="BA16" i="50" s="1"/>
  <c r="BB9" i="50"/>
  <c r="AZ20" i="50"/>
  <c r="BB13" i="50" l="1"/>
  <c r="BB17" i="50" s="1"/>
  <c r="BB8" i="50"/>
  <c r="BA21" i="50"/>
  <c r="BA20" i="50" l="1"/>
  <c r="BC9" i="50"/>
  <c r="BB12" i="50"/>
  <c r="BB16" i="50" s="1"/>
  <c r="BC8" i="50" l="1"/>
  <c r="BC13" i="50"/>
  <c r="BC17" i="50" s="1"/>
  <c r="BB21" i="50"/>
  <c r="BC12" i="50" l="1"/>
  <c r="BC16" i="50" s="1"/>
  <c r="BD9" i="50"/>
  <c r="BB20" i="50"/>
  <c r="BD8" i="50" l="1"/>
  <c r="BD13" i="50"/>
  <c r="BD17" i="50" s="1"/>
  <c r="BC21" i="50"/>
  <c r="BD12" i="50" l="1"/>
  <c r="BD16" i="50" s="1"/>
  <c r="BE9" i="50"/>
  <c r="BC20" i="50"/>
  <c r="BE13" i="50" l="1"/>
  <c r="BE17" i="50" s="1"/>
  <c r="BD21" i="50"/>
  <c r="BE8" i="50"/>
  <c r="BD20" i="50" l="1"/>
  <c r="BE12" i="50"/>
  <c r="BE16" i="50" s="1"/>
  <c r="BF9" i="50"/>
  <c r="BF13" i="50" l="1"/>
  <c r="BF17" i="50" s="1"/>
  <c r="BE21" i="50"/>
  <c r="BF8" i="50"/>
  <c r="BF12" i="50" l="1"/>
  <c r="BF16" i="50" s="1"/>
  <c r="BE20" i="50"/>
  <c r="BG9" i="50"/>
  <c r="BG8" i="50" l="1"/>
  <c r="BG13" i="50"/>
  <c r="BG17" i="50" s="1"/>
  <c r="BF21" i="50"/>
  <c r="BG12" i="50" l="1"/>
  <c r="BG16" i="50" s="1"/>
  <c r="BH9" i="50"/>
  <c r="BF20" i="50"/>
  <c r="BH8" i="50" l="1"/>
  <c r="BG21" i="50"/>
  <c r="BH13" i="50"/>
  <c r="BH17" i="50" s="1"/>
  <c r="BH12" i="50" l="1"/>
  <c r="BH16" i="50" s="1"/>
  <c r="BI9" i="50"/>
  <c r="BG20" i="50"/>
  <c r="BI13" i="50" l="1"/>
  <c r="BI17" i="50" s="1"/>
  <c r="BH21" i="50"/>
  <c r="BI8" i="50"/>
  <c r="BH20" i="50" l="1"/>
  <c r="BI12" i="50"/>
  <c r="BI16" i="50" s="1"/>
  <c r="BJ9" i="50"/>
  <c r="BI21" i="50" l="1"/>
  <c r="BJ13" i="50"/>
  <c r="BJ17" i="50" s="1"/>
  <c r="BJ8" i="50"/>
  <c r="BK9" i="50" l="1"/>
  <c r="BI20" i="50"/>
  <c r="BJ12" i="50"/>
  <c r="BJ16" i="50" s="1"/>
  <c r="BK13" i="50" l="1"/>
  <c r="BK17" i="50" s="1"/>
  <c r="BK8" i="50"/>
  <c r="BJ21" i="50"/>
  <c r="BJ20" i="50" l="1"/>
  <c r="BK12" i="50"/>
  <c r="BK16" i="50" s="1"/>
  <c r="BL9" i="50"/>
  <c r="BK21" i="50" l="1"/>
  <c r="BL13" i="50"/>
  <c r="BL17" i="50" s="1"/>
  <c r="BL8" i="50"/>
  <c r="BL12" i="50" l="1"/>
  <c r="BL16" i="50" s="1"/>
  <c r="BM9" i="50"/>
  <c r="BK20" i="50"/>
  <c r="BM13" i="50" l="1"/>
  <c r="BM17" i="50" s="1"/>
  <c r="BL21" i="50"/>
  <c r="BM8" i="50"/>
  <c r="BM12" i="50" l="1"/>
  <c r="BM16" i="50" s="1"/>
  <c r="BL20" i="50"/>
  <c r="BN9" i="50"/>
  <c r="BN13" i="50" l="1"/>
  <c r="BN17" i="50" s="1"/>
  <c r="BN8" i="50"/>
  <c r="BM21" i="50"/>
  <c r="BO9" i="50" l="1"/>
  <c r="BN12" i="50"/>
  <c r="BN16" i="50" s="1"/>
  <c r="BM20" i="50"/>
  <c r="BO8" i="50" l="1"/>
  <c r="BO13" i="50"/>
  <c r="BO17" i="50" s="1"/>
  <c r="BN21" i="50"/>
  <c r="BO12" i="50" l="1"/>
  <c r="BO16" i="50" s="1"/>
  <c r="BP9" i="50"/>
  <c r="BN20" i="50"/>
  <c r="BO21" i="50" l="1"/>
  <c r="BP13" i="50"/>
  <c r="BP17" i="50" s="1"/>
  <c r="BQ9" i="50" s="1"/>
  <c r="BP8" i="50"/>
  <c r="BP16" i="50" s="1"/>
  <c r="BQ13" i="50" l="1"/>
  <c r="BQ8" i="50"/>
  <c r="BP12" i="50"/>
  <c r="BO20" i="50"/>
  <c r="BP21" i="50"/>
  <c r="BQ17" i="50" l="1"/>
  <c r="BR9" i="50" s="1"/>
  <c r="BR13" i="50" s="1"/>
  <c r="BQ12" i="50"/>
  <c r="BQ20" i="50" s="1"/>
  <c r="BR8" i="50"/>
  <c r="BP20" i="50"/>
  <c r="BR17" i="50" l="1"/>
  <c r="BS9" i="50" s="1"/>
  <c r="BS13" i="50" s="1"/>
  <c r="BQ21" i="50"/>
  <c r="BS8" i="50"/>
  <c r="BR12" i="50"/>
  <c r="BR20" i="50" s="1"/>
  <c r="BS17" i="50" l="1"/>
  <c r="BT9" i="50" s="1"/>
  <c r="BT13" i="50" s="1"/>
  <c r="BR21" i="50"/>
  <c r="BS12" i="50"/>
  <c r="BS20" i="50" s="1"/>
  <c r="BT8" i="50"/>
  <c r="BT17" i="50" l="1"/>
  <c r="BU9" i="50" s="1"/>
  <c r="BU13" i="50" s="1"/>
  <c r="BS21" i="50"/>
  <c r="BU8" i="50"/>
  <c r="BT12" i="50"/>
  <c r="BT20" i="50" s="1"/>
  <c r="BU17" i="50" l="1"/>
  <c r="BV9" i="50" s="1"/>
  <c r="BV13" i="50" s="1"/>
  <c r="BT21" i="50"/>
  <c r="BV8" i="50"/>
  <c r="BU12" i="50"/>
  <c r="BU20" i="50" s="1"/>
  <c r="BV17" i="50" l="1"/>
  <c r="BW9" i="50" s="1"/>
  <c r="BW13" i="50" s="1"/>
  <c r="BU21" i="50"/>
  <c r="BW8" i="50"/>
  <c r="BV12" i="50"/>
  <c r="BV20" i="50" s="1"/>
  <c r="BW17" i="50" l="1"/>
  <c r="BX9" i="50" s="1"/>
  <c r="BX13" i="50" s="1"/>
  <c r="BV21" i="50"/>
  <c r="BW12" i="50"/>
  <c r="BW20" i="50" s="1"/>
  <c r="BX8" i="50"/>
  <c r="BX17" i="50" l="1"/>
  <c r="BY9" i="50" s="1"/>
  <c r="BY13" i="50" s="1"/>
  <c r="BW21" i="50"/>
  <c r="BY8" i="50"/>
  <c r="BX12" i="50"/>
  <c r="BX20" i="50" s="1"/>
  <c r="BY17" i="50" l="1"/>
  <c r="BZ9" i="50" s="1"/>
  <c r="BZ13" i="50" s="1"/>
  <c r="BX21" i="50"/>
  <c r="BY12" i="50"/>
  <c r="BY20" i="50" s="1"/>
  <c r="BZ8" i="50"/>
  <c r="BZ17" i="50" l="1"/>
  <c r="CA9" i="50" s="1"/>
  <c r="CA13" i="50" s="1"/>
  <c r="BY21" i="50"/>
  <c r="CA8" i="50"/>
  <c r="BZ12" i="50"/>
  <c r="BZ20" i="50" s="1"/>
  <c r="CA17" i="50" l="1"/>
  <c r="CB9" i="50" s="1"/>
  <c r="CB13" i="50" s="1"/>
  <c r="BZ21" i="50"/>
  <c r="CA12" i="50"/>
  <c r="CA20" i="50" s="1"/>
  <c r="CB8" i="50"/>
  <c r="CB17" i="50" l="1"/>
  <c r="CC9" i="50" s="1"/>
  <c r="CC13" i="50" s="1"/>
  <c r="CA21" i="50"/>
  <c r="CC8" i="50"/>
  <c r="CB12" i="50"/>
  <c r="CB20" i="50" s="1"/>
  <c r="CC17" i="50" l="1"/>
  <c r="CD9" i="50" s="1"/>
  <c r="CD13" i="50" s="1"/>
  <c r="CB21" i="50"/>
  <c r="CD8" i="50"/>
  <c r="CC12" i="50"/>
  <c r="CC20" i="50" s="1"/>
  <c r="CD17" i="50" l="1"/>
  <c r="CE9" i="50" s="1"/>
  <c r="CE13" i="50" s="1"/>
  <c r="CC21" i="50"/>
  <c r="CE8" i="50"/>
  <c r="CD12" i="50"/>
  <c r="CD20" i="50" s="1"/>
  <c r="CE17" i="50" l="1"/>
  <c r="CE21" i="50" s="1"/>
  <c r="CD21" i="50"/>
  <c r="CF8" i="50"/>
  <c r="CE12" i="50"/>
  <c r="CE20" i="50" s="1"/>
  <c r="CF9" i="50" l="1"/>
  <c r="CG8" i="50"/>
  <c r="CF12" i="50"/>
  <c r="CF20" i="50" s="1"/>
  <c r="CF13" i="50" l="1"/>
  <c r="CG12" i="50"/>
  <c r="CG20" i="50" s="1"/>
  <c r="CH8" i="50"/>
  <c r="CF17" i="50" l="1"/>
  <c r="CG9" i="50" s="1"/>
  <c r="CI8" i="50"/>
  <c r="CH12" i="50"/>
  <c r="CH20" i="50" s="1"/>
  <c r="CG13" i="50" l="1"/>
  <c r="CF21" i="50"/>
  <c r="CJ8" i="50"/>
  <c r="CI12" i="50"/>
  <c r="CI20" i="50" s="1"/>
  <c r="CG17" i="50" l="1"/>
  <c r="CH9" i="50" s="1"/>
  <c r="CK8" i="50"/>
  <c r="CJ12" i="50"/>
  <c r="CJ20" i="50" s="1"/>
  <c r="CH13" i="50" l="1"/>
  <c r="CG21" i="50"/>
  <c r="CL8" i="50"/>
  <c r="CK12" i="50"/>
  <c r="CK20" i="50" s="1"/>
  <c r="CH17" i="50" l="1"/>
  <c r="CI9" i="50" s="1"/>
  <c r="CM8" i="50"/>
  <c r="CL12" i="50"/>
  <c r="CL20" i="50" s="1"/>
  <c r="CI13" i="50" l="1"/>
  <c r="CH21" i="50"/>
  <c r="CN8" i="50"/>
  <c r="CM12" i="50"/>
  <c r="CM20" i="50" s="1"/>
  <c r="CI17" i="50" l="1"/>
  <c r="CJ9" i="50" s="1"/>
  <c r="CO8" i="50"/>
  <c r="CN12" i="50"/>
  <c r="CN20" i="50" s="1"/>
  <c r="CJ13" i="50" l="1"/>
  <c r="CI21" i="50"/>
  <c r="CP8" i="50"/>
  <c r="CO12" i="50"/>
  <c r="CO20" i="50" s="1"/>
  <c r="CJ17" i="50" l="1"/>
  <c r="CK9" i="50" s="1"/>
  <c r="CQ8" i="50"/>
  <c r="CP12" i="50"/>
  <c r="CP20" i="50" s="1"/>
  <c r="CK13" i="50" l="1"/>
  <c r="CJ21" i="50"/>
  <c r="CQ12" i="50"/>
  <c r="CQ20" i="50" s="1"/>
  <c r="CR8" i="50"/>
  <c r="CK17" i="50" l="1"/>
  <c r="CL9" i="50" s="1"/>
  <c r="CS8" i="50"/>
  <c r="CR12" i="50"/>
  <c r="CR20" i="50" s="1"/>
  <c r="CL13" i="50" l="1"/>
  <c r="CK21" i="50"/>
  <c r="CT8" i="50"/>
  <c r="CS12" i="50"/>
  <c r="CS20" i="50" s="1"/>
  <c r="CL17" i="50" l="1"/>
  <c r="CM9" i="50" s="1"/>
  <c r="CU8" i="50"/>
  <c r="CT12" i="50"/>
  <c r="CT20" i="50" s="1"/>
  <c r="CM13" i="50" l="1"/>
  <c r="CL21" i="50"/>
  <c r="CV8" i="50"/>
  <c r="CU12" i="50"/>
  <c r="CU20" i="50" s="1"/>
  <c r="CM17" i="50" l="1"/>
  <c r="CN9" i="50" s="1"/>
  <c r="CW8" i="50"/>
  <c r="CV12" i="50"/>
  <c r="CV20" i="50" s="1"/>
  <c r="CN13" i="50" l="1"/>
  <c r="CM21" i="50"/>
  <c r="CX8" i="50"/>
  <c r="CW12" i="50"/>
  <c r="CW20" i="50" s="1"/>
  <c r="CN17" i="50" l="1"/>
  <c r="CO9" i="50" s="1"/>
  <c r="CY8" i="50"/>
  <c r="CX12" i="50"/>
  <c r="CX20" i="50" s="1"/>
  <c r="CO13" i="50" l="1"/>
  <c r="CN21" i="50"/>
  <c r="CY12" i="50"/>
  <c r="CY20" i="50" s="1"/>
  <c r="CZ8" i="50"/>
  <c r="CO17" i="50" l="1"/>
  <c r="CP9" i="50" s="1"/>
  <c r="DA8" i="50"/>
  <c r="CZ12" i="50"/>
  <c r="CZ20" i="50" s="1"/>
  <c r="CP13" i="50" l="1"/>
  <c r="CO21" i="50"/>
  <c r="DB8" i="50"/>
  <c r="DA12" i="50"/>
  <c r="DA20" i="50" s="1"/>
  <c r="CP17" i="50" l="1"/>
  <c r="CQ9" i="50" s="1"/>
  <c r="DC8" i="50"/>
  <c r="DB12" i="50"/>
  <c r="DB20" i="50" s="1"/>
  <c r="CQ13" i="50" l="1"/>
  <c r="CP21" i="50"/>
  <c r="DD8" i="50"/>
  <c r="DC12" i="50"/>
  <c r="DC20" i="50" s="1"/>
  <c r="CQ17" i="50" l="1"/>
  <c r="CR9" i="50" s="1"/>
  <c r="DE8" i="50"/>
  <c r="DD12" i="50"/>
  <c r="DD20" i="50" s="1"/>
  <c r="CR13" i="50" l="1"/>
  <c r="CQ21" i="50"/>
  <c r="DF8" i="50"/>
  <c r="DE12" i="50"/>
  <c r="DE20" i="50" s="1"/>
  <c r="CR17" i="50" l="1"/>
  <c r="CS9" i="50" s="1"/>
  <c r="DG8" i="50"/>
  <c r="DF12" i="50"/>
  <c r="DF20" i="50" s="1"/>
  <c r="CS13" i="50" l="1"/>
  <c r="CR21" i="50"/>
  <c r="DH8" i="50"/>
  <c r="DG12" i="50"/>
  <c r="DG20" i="50" s="1"/>
  <c r="CS17" i="50" l="1"/>
  <c r="CT9" i="50" s="1"/>
  <c r="DI8" i="50"/>
  <c r="DH12" i="50"/>
  <c r="DH20" i="50" s="1"/>
  <c r="CT13" i="50" l="1"/>
  <c r="CS21" i="50"/>
  <c r="DI12" i="50"/>
  <c r="DI20" i="50" s="1"/>
  <c r="DJ8" i="50"/>
  <c r="CT17" i="50" l="1"/>
  <c r="CU9" i="50" s="1"/>
  <c r="DK8" i="50"/>
  <c r="DJ12" i="50"/>
  <c r="DJ20" i="50" s="1"/>
  <c r="CU13" i="50" l="1"/>
  <c r="CT21" i="50"/>
  <c r="DL8" i="50"/>
  <c r="DK12" i="50"/>
  <c r="DK20" i="50" s="1"/>
  <c r="CU17" i="50" l="1"/>
  <c r="CV9" i="50" s="1"/>
  <c r="DM8" i="50"/>
  <c r="DL12" i="50"/>
  <c r="DL20" i="50" s="1"/>
  <c r="CV13" i="50" l="1"/>
  <c r="CU21" i="50"/>
  <c r="DN8" i="50"/>
  <c r="DM12" i="50"/>
  <c r="DM20" i="50" s="1"/>
  <c r="CV17" i="50" l="1"/>
  <c r="CW9" i="50" s="1"/>
  <c r="DO8" i="50"/>
  <c r="DN12" i="50"/>
  <c r="DN20" i="50" s="1"/>
  <c r="CW13" i="50" l="1"/>
  <c r="CV21" i="50"/>
  <c r="DP8" i="50"/>
  <c r="DO12" i="50"/>
  <c r="DO20" i="50" s="1"/>
  <c r="CW17" i="50" l="1"/>
  <c r="CX9" i="50" s="1"/>
  <c r="DQ8" i="50"/>
  <c r="DP12" i="50"/>
  <c r="DP20" i="50" s="1"/>
  <c r="CX13" i="50" l="1"/>
  <c r="CW21" i="50"/>
  <c r="DQ12" i="50"/>
  <c r="DQ20" i="50" s="1"/>
  <c r="DR8" i="50"/>
  <c r="CX17" i="50" l="1"/>
  <c r="CY9" i="50" s="1"/>
  <c r="DS8" i="50"/>
  <c r="DR12" i="50"/>
  <c r="DR20" i="50" s="1"/>
  <c r="CY13" i="50" l="1"/>
  <c r="CX21" i="50"/>
  <c r="DT8" i="50"/>
  <c r="DS12" i="50"/>
  <c r="DS20" i="50" s="1"/>
  <c r="CY17" i="50" l="1"/>
  <c r="CZ9" i="50" s="1"/>
  <c r="DT12" i="50"/>
  <c r="DT20" i="50" s="1"/>
  <c r="DU8" i="50"/>
  <c r="CZ13" i="50" l="1"/>
  <c r="CY21" i="50"/>
  <c r="DU12" i="50"/>
  <c r="DU20" i="50" s="1"/>
  <c r="DV8" i="50"/>
  <c r="CZ17" i="50" l="1"/>
  <c r="DA9" i="50" s="1"/>
  <c r="DV12" i="50"/>
  <c r="DV20" i="50" s="1"/>
  <c r="DW8" i="50"/>
  <c r="DA13" i="50" l="1"/>
  <c r="CZ21" i="50"/>
  <c r="DX8" i="50"/>
  <c r="DW12" i="50"/>
  <c r="DW20" i="50" s="1"/>
  <c r="DA17" i="50" l="1"/>
  <c r="DB9" i="50" s="1"/>
  <c r="DX12" i="50"/>
  <c r="DX20" i="50" s="1"/>
  <c r="DY8" i="50"/>
  <c r="DB13" i="50" l="1"/>
  <c r="DA21" i="50"/>
  <c r="DZ8" i="50"/>
  <c r="DY12" i="50"/>
  <c r="DY20" i="50" s="1"/>
  <c r="DB17" i="50" l="1"/>
  <c r="DC9" i="50" s="1"/>
  <c r="DZ12" i="50"/>
  <c r="DZ20" i="50" s="1"/>
  <c r="EA8" i="50"/>
  <c r="DC13" i="50" l="1"/>
  <c r="DB21" i="50"/>
  <c r="EA12" i="50"/>
  <c r="EA20" i="50" s="1"/>
  <c r="EB8" i="50"/>
  <c r="DC17" i="50" l="1"/>
  <c r="DD9" i="50" s="1"/>
  <c r="EB12" i="50"/>
  <c r="EB20" i="50" s="1"/>
  <c r="EC8" i="50"/>
  <c r="DD13" i="50" l="1"/>
  <c r="DC21" i="50"/>
  <c r="EC12" i="50"/>
  <c r="EC20" i="50" s="1"/>
  <c r="ED8" i="50"/>
  <c r="DD17" i="50" l="1"/>
  <c r="DE9" i="50" s="1"/>
  <c r="ED12" i="50"/>
  <c r="ED20" i="50" s="1"/>
  <c r="EE8" i="50"/>
  <c r="DE13" i="50" l="1"/>
  <c r="DD21" i="50"/>
  <c r="EF8" i="50"/>
  <c r="EE12" i="50"/>
  <c r="EE20" i="50" s="1"/>
  <c r="DE17" i="50" l="1"/>
  <c r="DF9" i="50" s="1"/>
  <c r="EF12" i="50"/>
  <c r="EF20" i="50" s="1"/>
  <c r="EG8" i="50"/>
  <c r="DF13" i="50" l="1"/>
  <c r="DE21" i="50"/>
  <c r="EG12" i="50"/>
  <c r="EG20" i="50" s="1"/>
  <c r="EH8" i="50"/>
  <c r="DF17" i="50" l="1"/>
  <c r="DG9" i="50" s="1"/>
  <c r="EH12" i="50"/>
  <c r="EH20" i="50" s="1"/>
  <c r="EI8" i="50"/>
  <c r="DG13" i="50" l="1"/>
  <c r="DF21" i="50"/>
  <c r="EJ8" i="50"/>
  <c r="EI12" i="50"/>
  <c r="EI20" i="50" s="1"/>
  <c r="DG17" i="50" l="1"/>
  <c r="DH9" i="50" s="1"/>
  <c r="EJ12" i="50"/>
  <c r="EJ20" i="50" s="1"/>
  <c r="D6" i="50" s="1"/>
  <c r="DH13" i="50" l="1"/>
  <c r="DG21" i="50"/>
  <c r="DH17" i="50" l="1"/>
  <c r="DI9" i="50" s="1"/>
  <c r="DI13" i="50" l="1"/>
  <c r="DH21" i="50"/>
  <c r="DI17" i="50" l="1"/>
  <c r="DJ9" i="50" s="1"/>
  <c r="DJ13" i="50" l="1"/>
  <c r="DI21" i="50"/>
  <c r="DJ17" i="50" l="1"/>
  <c r="DK9" i="50" s="1"/>
  <c r="DK13" i="50" l="1"/>
  <c r="DJ21" i="50"/>
  <c r="DK17" i="50" l="1"/>
  <c r="DL9" i="50" s="1"/>
  <c r="DL13" i="50" l="1"/>
  <c r="DK21" i="50"/>
  <c r="DL17" i="50" l="1"/>
  <c r="DM9" i="50" s="1"/>
  <c r="DM13" i="50" l="1"/>
  <c r="DL21" i="50"/>
  <c r="DM17" i="50" l="1"/>
  <c r="DN9" i="50" s="1"/>
  <c r="DN13" i="50" l="1"/>
  <c r="DM21" i="50"/>
  <c r="DN17" i="50" l="1"/>
  <c r="DO9" i="50" s="1"/>
  <c r="DN21" i="50" l="1"/>
  <c r="DO13" i="50"/>
  <c r="DO17" i="50" l="1"/>
  <c r="DP9" i="50" s="1"/>
  <c r="DP13" i="50" l="1"/>
  <c r="DO21" i="50"/>
  <c r="DP17" i="50" l="1"/>
  <c r="DQ9" i="50" s="1"/>
  <c r="DQ13" i="50" l="1"/>
  <c r="DP21" i="50"/>
  <c r="DQ17" i="50" l="1"/>
  <c r="DR9" i="50" s="1"/>
  <c r="DR13" i="50" l="1"/>
  <c r="DQ21" i="50"/>
  <c r="DR17" i="50" l="1"/>
  <c r="DS9" i="50" s="1"/>
  <c r="DS13" i="50" l="1"/>
  <c r="DR21" i="50"/>
  <c r="DS17" i="50" l="1"/>
  <c r="DT9" i="50" s="1"/>
  <c r="DT13" i="50" l="1"/>
  <c r="DS21" i="50"/>
  <c r="DT17" i="50" l="1"/>
  <c r="DU9" i="50" s="1"/>
  <c r="DU13" i="50" l="1"/>
  <c r="DT21" i="50"/>
  <c r="DU17" i="50" l="1"/>
  <c r="DV9" i="50" s="1"/>
  <c r="DV13" i="50" l="1"/>
  <c r="DU21" i="50"/>
  <c r="DV17" i="50" l="1"/>
  <c r="DW9" i="50" s="1"/>
  <c r="DW13" i="50" l="1"/>
  <c r="DV21" i="50"/>
  <c r="DW17" i="50" l="1"/>
  <c r="DX9" i="50" s="1"/>
  <c r="DX17" i="50" l="1"/>
  <c r="DY9" i="50" s="1"/>
  <c r="DX13" i="50"/>
  <c r="DW21" i="50"/>
  <c r="DX21" i="50" l="1"/>
  <c r="DZ9" i="50"/>
  <c r="DY13" i="50"/>
  <c r="DY21" i="50" s="1"/>
  <c r="EA9" i="50" l="1"/>
  <c r="DZ13" i="50"/>
  <c r="DZ21" i="50" s="1"/>
  <c r="EB9" i="50" l="1"/>
  <c r="EA13" i="50"/>
  <c r="EA21" i="50" s="1"/>
  <c r="EC9" i="50" l="1"/>
  <c r="EB13" i="50"/>
  <c r="EB21" i="50" s="1"/>
  <c r="ED9" i="50" l="1"/>
  <c r="EC13" i="50"/>
  <c r="EC21" i="50" s="1"/>
  <c r="ED13" i="50" l="1"/>
  <c r="ED21" i="50" s="1"/>
  <c r="EE9" i="50"/>
  <c r="EF9" i="50" l="1"/>
  <c r="EE13" i="50"/>
  <c r="EE21" i="50" s="1"/>
  <c r="EF13" i="50" l="1"/>
  <c r="EF21" i="50" s="1"/>
  <c r="EG9" i="50"/>
  <c r="EH9" i="50" l="1"/>
  <c r="EG13" i="50"/>
  <c r="EG21" i="50" s="1"/>
  <c r="EI9" i="50" l="1"/>
  <c r="EH13" i="50"/>
  <c r="EH21" i="50" s="1"/>
  <c r="EI13" i="50" l="1"/>
  <c r="EI21" i="50" s="1"/>
  <c r="EJ9" i="50"/>
  <c r="EJ13" i="50" s="1"/>
  <c r="EJ21" i="50" s="1"/>
  <c r="D7" i="50" l="1"/>
  <c r="S74" i="5"/>
  <c r="T74" i="5" l="1"/>
  <c r="S84" i="5"/>
  <c r="S70" i="5"/>
  <c r="S71" i="5"/>
  <c r="S69" i="5"/>
  <c r="S86" i="5" l="1"/>
  <c r="U48" i="5" l="1"/>
  <c r="R16" i="5" l="1"/>
  <c r="S16" i="5" s="1"/>
  <c r="S21" i="5" s="1"/>
  <c r="T21" i="5" l="1"/>
  <c r="S22" i="5"/>
  <c r="S23" i="5" s="1"/>
  <c r="S30" i="5" l="1"/>
  <c r="T30" i="5" s="1"/>
  <c r="T23" i="5"/>
  <c r="S29" i="5"/>
  <c r="T29" i="5" l="1"/>
  <c r="S32" i="5"/>
  <c r="I223" i="5" l="1"/>
  <c r="I4" i="51"/>
  <c r="F129" i="5"/>
  <c r="F131" i="5"/>
  <c r="F133" i="5"/>
  <c r="F135" i="5"/>
  <c r="F137" i="5"/>
  <c r="F139" i="5"/>
  <c r="F130" i="5"/>
  <c r="F132" i="5"/>
  <c r="F134" i="5"/>
  <c r="F136" i="5"/>
  <c r="F138" i="5"/>
  <c r="T32" i="5"/>
  <c r="S61" i="5"/>
  <c r="S62" i="5"/>
  <c r="S63" i="5" s="1"/>
  <c r="R32" i="5"/>
  <c r="S33" i="5"/>
  <c r="H54" i="5" l="1"/>
  <c r="H53" i="5"/>
  <c r="H139" i="5"/>
  <c r="H133" i="5"/>
  <c r="D144" i="5"/>
  <c r="I16" i="40"/>
  <c r="J4" i="51"/>
  <c r="K4" i="51" s="1"/>
  <c r="D145" i="5"/>
  <c r="D146" i="5"/>
  <c r="J223" i="5"/>
  <c r="D143" i="5"/>
  <c r="D147" i="5"/>
  <c r="H135" i="5"/>
  <c r="H134" i="5"/>
  <c r="H131" i="5"/>
  <c r="H137" i="5"/>
  <c r="S34" i="5"/>
  <c r="T33" i="5"/>
  <c r="S55" i="5"/>
  <c r="S52" i="5"/>
  <c r="H136" i="5"/>
  <c r="H132" i="5"/>
  <c r="H129" i="5"/>
  <c r="H138" i="5"/>
  <c r="H130" i="5"/>
  <c r="K28" i="55" l="1"/>
  <c r="I224" i="5"/>
  <c r="J224" i="5" s="1"/>
  <c r="AN59" i="5"/>
  <c r="O16" i="40"/>
  <c r="Q16" i="40" s="1"/>
  <c r="H173" i="5"/>
  <c r="H171" i="5"/>
  <c r="H172" i="5"/>
  <c r="E16" i="40"/>
  <c r="G16" i="40" s="1"/>
  <c r="M4" i="51"/>
  <c r="N4" i="51" s="1"/>
  <c r="H181" i="5"/>
  <c r="H184" i="5"/>
  <c r="H177" i="5"/>
  <c r="H185" i="5"/>
  <c r="H168" i="5"/>
  <c r="H180" i="5"/>
  <c r="T34" i="5"/>
  <c r="U34" i="5" s="1"/>
  <c r="S36" i="5"/>
  <c r="K56" i="55" l="1"/>
  <c r="I230" i="5"/>
  <c r="H114" i="5"/>
  <c r="G54" i="5"/>
  <c r="L43" i="47"/>
  <c r="I3" i="47"/>
  <c r="D23" i="52"/>
  <c r="O4" i="51"/>
  <c r="H178" i="5"/>
  <c r="H169" i="5"/>
  <c r="S53" i="5"/>
  <c r="S81" i="5"/>
  <c r="T36" i="5"/>
  <c r="U36" i="5" s="1"/>
  <c r="R36" i="5"/>
  <c r="J114" i="5" l="1"/>
  <c r="J230" i="5"/>
  <c r="I9" i="47"/>
  <c r="I114" i="5"/>
  <c r="F114" i="5" s="1"/>
  <c r="L28" i="55"/>
  <c r="O28" i="55"/>
  <c r="M28" i="55"/>
  <c r="K32" i="55"/>
  <c r="H116" i="5" s="1"/>
  <c r="I31" i="47"/>
  <c r="I11" i="47"/>
  <c r="I23" i="47"/>
  <c r="I27" i="47"/>
  <c r="I15" i="47"/>
  <c r="I35" i="47"/>
  <c r="I39" i="47"/>
  <c r="I49" i="47"/>
  <c r="I17" i="47"/>
  <c r="I29" i="47"/>
  <c r="I37" i="47"/>
  <c r="I43" i="47"/>
  <c r="I40" i="47"/>
  <c r="I7" i="47"/>
  <c r="I19" i="47"/>
  <c r="I28" i="47"/>
  <c r="I47" i="47"/>
  <c r="I34" i="47"/>
  <c r="I30" i="47"/>
  <c r="I42" i="47"/>
  <c r="I10" i="47"/>
  <c r="I18" i="47"/>
  <c r="I24" i="47"/>
  <c r="I21" i="47"/>
  <c r="I33" i="47"/>
  <c r="I45" i="47"/>
  <c r="I5" i="47"/>
  <c r="I46" i="47"/>
  <c r="I13" i="47"/>
  <c r="I16" i="47"/>
  <c r="I48" i="47"/>
  <c r="I36" i="47"/>
  <c r="I4" i="47"/>
  <c r="I6" i="47"/>
  <c r="I25" i="47"/>
  <c r="I22" i="47"/>
  <c r="I41" i="47"/>
  <c r="I12" i="47"/>
  <c r="L21" i="47"/>
  <c r="L4" i="47"/>
  <c r="L28" i="47"/>
  <c r="L47" i="47"/>
  <c r="L48" i="47"/>
  <c r="L34" i="47"/>
  <c r="L46" i="47"/>
  <c r="L29" i="47"/>
  <c r="L15" i="47"/>
  <c r="L36" i="47"/>
  <c r="L19" i="47"/>
  <c r="L5" i="47"/>
  <c r="L42" i="47"/>
  <c r="L31" i="47"/>
  <c r="L7" i="47"/>
  <c r="L16" i="47"/>
  <c r="L35" i="47"/>
  <c r="L49" i="47"/>
  <c r="L33" i="47"/>
  <c r="L22" i="47"/>
  <c r="L9" i="47"/>
  <c r="L37" i="47"/>
  <c r="L39" i="47"/>
  <c r="L41" i="47"/>
  <c r="L24" i="47"/>
  <c r="L40" i="47"/>
  <c r="L27" i="47"/>
  <c r="L23" i="47"/>
  <c r="L10" i="47"/>
  <c r="L12" i="47"/>
  <c r="L30" i="47"/>
  <c r="L17" i="47"/>
  <c r="L13" i="47"/>
  <c r="L25" i="47"/>
  <c r="L3" i="47"/>
  <c r="L11" i="47"/>
  <c r="L45" i="47"/>
  <c r="L18" i="47"/>
  <c r="L6" i="47"/>
  <c r="Q74" i="5"/>
  <c r="T81" i="5"/>
  <c r="J116" i="5" l="1"/>
  <c r="I116" i="5"/>
  <c r="O32" i="55"/>
  <c r="L32" i="55"/>
  <c r="M32" i="55"/>
  <c r="K50" i="55"/>
  <c r="O50" i="55" l="1"/>
  <c r="L50" i="55"/>
  <c r="M50" i="55"/>
  <c r="K52" i="55"/>
  <c r="H117" i="5" s="1"/>
  <c r="H118" i="5" s="1"/>
  <c r="F220" i="5" l="1"/>
  <c r="G170" i="5"/>
  <c r="G81" i="5"/>
  <c r="J117" i="5"/>
  <c r="G117" i="5"/>
  <c r="I117" i="5"/>
  <c r="I52" i="55"/>
  <c r="L52" i="55"/>
  <c r="O52" i="55"/>
  <c r="M52" i="55"/>
  <c r="K54" i="55"/>
  <c r="AM60" i="5" l="1"/>
  <c r="AN60" i="5"/>
  <c r="AJ60" i="5"/>
  <c r="AK60" i="5"/>
  <c r="AL60" i="5"/>
  <c r="J118" i="5"/>
  <c r="K61" i="55"/>
  <c r="H109" i="5"/>
  <c r="I118" i="5"/>
  <c r="I78" i="5"/>
  <c r="I76" i="5"/>
  <c r="I77" i="5" s="1"/>
  <c r="O54" i="55"/>
  <c r="L54" i="55"/>
  <c r="M54" i="55"/>
  <c r="H27" i="55"/>
  <c r="K58" i="55"/>
  <c r="I231" i="5" l="1"/>
  <c r="D229" i="5"/>
  <c r="D225" i="5"/>
  <c r="I225" i="5"/>
  <c r="J225" i="5" s="1"/>
  <c r="J226" i="5" s="1"/>
  <c r="J109" i="5"/>
  <c r="I109" i="5"/>
  <c r="H56" i="5"/>
  <c r="N54" i="5"/>
  <c r="F56" i="5"/>
  <c r="C56" i="5"/>
  <c r="C170" i="5"/>
  <c r="C81" i="5"/>
  <c r="L58" i="55"/>
  <c r="O58" i="55"/>
  <c r="I226" i="5" l="1"/>
  <c r="I59" i="5" s="1"/>
  <c r="J229" i="5"/>
  <c r="J231" i="5" s="1"/>
  <c r="J232" i="5" s="1"/>
  <c r="H170" i="5"/>
  <c r="H179" i="5"/>
  <c r="I56" i="5"/>
  <c r="J56" i="5" s="1"/>
  <c r="S54" i="5"/>
  <c r="G56" i="5"/>
  <c r="I60" i="5" l="1"/>
  <c r="I61" i="5" s="1"/>
  <c r="I153" i="5"/>
  <c r="I154" i="5"/>
  <c r="I232" i="5"/>
  <c r="H89" i="5"/>
  <c r="H91" i="5"/>
  <c r="H90" i="5"/>
  <c r="H88" i="5"/>
  <c r="J235" i="5" l="1"/>
  <c r="J240" i="5" s="1"/>
  <c r="I235" i="5"/>
  <c r="I240" i="5" s="1"/>
  <c r="I155" i="5"/>
  <c r="AM245" i="5"/>
  <c r="H96" i="5"/>
  <c r="H97" i="5"/>
  <c r="H94" i="5"/>
  <c r="I256" i="5"/>
  <c r="I257" i="5" s="1"/>
  <c r="I156" i="5" s="1"/>
  <c r="H95" i="5"/>
  <c r="H80" i="5"/>
  <c r="H83" i="5"/>
  <c r="H105" i="5"/>
  <c r="H84" i="5"/>
  <c r="D100" i="5"/>
  <c r="H147" i="5"/>
  <c r="H145" i="5"/>
  <c r="H144" i="5"/>
  <c r="H146" i="5"/>
  <c r="H143" i="5"/>
  <c r="H82" i="5"/>
  <c r="H81" i="5"/>
  <c r="J249" i="5" l="1"/>
  <c r="I245" i="5"/>
  <c r="J247" i="5"/>
  <c r="I244" i="5"/>
  <c r="J270" i="5"/>
  <c r="I268" i="5"/>
  <c r="J271" i="5"/>
  <c r="I269" i="5"/>
  <c r="J269" i="5" s="1"/>
  <c r="I182" i="5"/>
  <c r="I183" i="5"/>
  <c r="I185" i="5"/>
  <c r="D192" i="5"/>
  <c r="I184" i="5"/>
  <c r="I246" i="5"/>
  <c r="J246" i="5" s="1"/>
  <c r="AM64" i="5"/>
  <c r="I63" i="5"/>
  <c r="AN64" i="5"/>
  <c r="AJ64" i="5"/>
  <c r="AK64" i="5"/>
  <c r="AL64" i="5"/>
  <c r="D101" i="5"/>
  <c r="D102" i="5" s="1"/>
  <c r="I101" i="5"/>
  <c r="I102" i="5" s="1"/>
  <c r="D24" i="52"/>
  <c r="L84" i="5"/>
  <c r="I105" i="5"/>
  <c r="J105" i="5"/>
  <c r="H107" i="5"/>
  <c r="P8" i="58"/>
  <c r="L80" i="5"/>
  <c r="B70" i="47"/>
  <c r="F22" i="58" l="1"/>
  <c r="F68" i="58"/>
  <c r="F54" i="58"/>
  <c r="F35" i="58"/>
  <c r="F34" i="58"/>
  <c r="F32" i="58"/>
  <c r="F66" i="58"/>
  <c r="F40" i="58"/>
  <c r="F65" i="58"/>
  <c r="F42" i="58"/>
  <c r="F46" i="58"/>
  <c r="F67" i="58"/>
  <c r="F36" i="58"/>
  <c r="F27" i="58"/>
  <c r="F28" i="58"/>
  <c r="F12" i="58"/>
  <c r="F38" i="58"/>
  <c r="F63" i="58"/>
  <c r="F8" i="58"/>
  <c r="F33" i="58"/>
  <c r="F47" i="58"/>
  <c r="F26" i="58"/>
  <c r="F48" i="58"/>
  <c r="F55" i="58"/>
  <c r="F60" i="58"/>
  <c r="F57" i="58"/>
  <c r="F16" i="58"/>
  <c r="F31" i="58"/>
  <c r="F41" i="58"/>
  <c r="F15" i="58"/>
  <c r="F9" i="58"/>
  <c r="F17" i="58"/>
  <c r="F39" i="58"/>
  <c r="F64" i="58"/>
  <c r="F56" i="58"/>
  <c r="F7" i="58"/>
  <c r="F44" i="58"/>
  <c r="F23" i="58"/>
  <c r="F30" i="58"/>
  <c r="F11" i="58"/>
  <c r="F24" i="58"/>
  <c r="F49" i="58"/>
  <c r="F25" i="58"/>
  <c r="F18" i="58"/>
  <c r="F50" i="58"/>
  <c r="F43" i="58"/>
  <c r="F51" i="58"/>
  <c r="F14" i="58"/>
  <c r="F52" i="58"/>
  <c r="F20" i="58"/>
  <c r="F58" i="58"/>
  <c r="F59" i="58"/>
  <c r="F10" i="58"/>
  <c r="F62" i="58"/>
  <c r="F19" i="58"/>
  <c r="F6" i="58"/>
  <c r="D193" i="5"/>
  <c r="D194" i="5" s="1"/>
  <c r="I193" i="5"/>
  <c r="I194" i="5" s="1"/>
  <c r="P9" i="58"/>
  <c r="E243" i="5" s="1"/>
  <c r="J59" i="55"/>
  <c r="I107" i="5"/>
  <c r="J107" i="5"/>
  <c r="K59" i="55"/>
  <c r="F16" i="47"/>
  <c r="F27" i="47"/>
  <c r="F18" i="47"/>
  <c r="F9" i="47"/>
  <c r="F24" i="47"/>
  <c r="F25" i="47"/>
  <c r="F40" i="47"/>
  <c r="F34" i="47"/>
  <c r="F7" i="47"/>
  <c r="F17" i="47"/>
  <c r="B71" i="47"/>
  <c r="E267" i="5" s="1"/>
  <c r="F39" i="47"/>
  <c r="F45" i="47"/>
  <c r="F37" i="47"/>
  <c r="F12" i="47"/>
  <c r="F46" i="47"/>
  <c r="F11" i="47"/>
  <c r="F21" i="47"/>
  <c r="F10" i="47"/>
  <c r="F22" i="47"/>
  <c r="F15" i="47"/>
  <c r="F47" i="47"/>
  <c r="F36" i="47"/>
  <c r="F28" i="47"/>
  <c r="F13" i="47"/>
  <c r="F43" i="47"/>
  <c r="F48" i="47"/>
  <c r="F30" i="47"/>
  <c r="F23" i="47"/>
  <c r="F6" i="47"/>
  <c r="F4" i="47"/>
  <c r="F49" i="47"/>
  <c r="F5" i="47"/>
  <c r="F31" i="47"/>
  <c r="F35" i="47"/>
  <c r="F41" i="47"/>
  <c r="F29" i="47"/>
  <c r="F33" i="47"/>
  <c r="F19" i="47"/>
  <c r="F42" i="47"/>
  <c r="F3" i="47"/>
  <c r="J267" i="5" l="1"/>
  <c r="P15" i="58"/>
  <c r="J243" i="5" s="1"/>
  <c r="O59" i="55"/>
  <c r="J272" i="5" l="1"/>
  <c r="I267" i="5"/>
  <c r="I243" i="5"/>
  <c r="J248" i="5"/>
  <c r="AM243" i="5"/>
  <c r="AM248" i="5" s="1"/>
  <c r="AN243" i="5"/>
  <c r="H45" i="56" l="1"/>
  <c r="H77" i="56" l="1"/>
  <c r="H88" i="56" s="1"/>
  <c r="I248" i="5"/>
  <c r="J250" i="5"/>
  <c r="J273" i="5" s="1"/>
  <c r="I250" i="5" l="1"/>
  <c r="I272" i="5" l="1"/>
  <c r="I157" i="5" s="1"/>
  <c r="I273" i="5" l="1"/>
  <c r="I158" i="5"/>
  <c r="I62" i="5"/>
  <c r="I64" i="5" l="1"/>
  <c r="L64" i="5" s="1"/>
  <c r="I174" i="5"/>
  <c r="I189" i="5"/>
  <c r="J189" i="5" s="1"/>
  <c r="AJ171" i="5"/>
  <c r="AK171" i="5" s="1"/>
  <c r="I171" i="5"/>
  <c r="AJ172" i="5"/>
  <c r="AK172" i="5" s="1"/>
  <c r="I186" i="5"/>
  <c r="I177" i="5"/>
  <c r="H189" i="5"/>
  <c r="I168" i="5"/>
  <c r="I179" i="5"/>
  <c r="I180" i="5"/>
  <c r="I172" i="5"/>
  <c r="I169" i="5"/>
  <c r="I170" i="5"/>
  <c r="I181" i="5"/>
  <c r="AJ170" i="5"/>
  <c r="AK170" i="5" s="1"/>
  <c r="I173" i="5"/>
  <c r="I178" i="5"/>
  <c r="AJ174" i="5"/>
  <c r="I84" i="5" l="1"/>
  <c r="O15" i="52"/>
  <c r="F95" i="53"/>
  <c r="F96" i="53" s="1"/>
  <c r="E147" i="5"/>
  <c r="AK150" i="5"/>
  <c r="AL150" i="5" s="1"/>
  <c r="I81" i="5"/>
  <c r="I137" i="5"/>
  <c r="G134" i="5"/>
  <c r="I130" i="5"/>
  <c r="G135" i="5"/>
  <c r="I129" i="5"/>
  <c r="O8" i="52"/>
  <c r="I135" i="5"/>
  <c r="I79" i="5"/>
  <c r="P4" i="51" s="1"/>
  <c r="E9" i="56"/>
  <c r="G14" i="56" s="1"/>
  <c r="I150" i="5"/>
  <c r="J150" i="5" s="1"/>
  <c r="D2" i="50"/>
  <c r="C7" i="50" s="1"/>
  <c r="G129" i="5"/>
  <c r="AJ150" i="5"/>
  <c r="I131" i="5"/>
  <c r="G137" i="5"/>
  <c r="G136" i="5"/>
  <c r="G132" i="5"/>
  <c r="C3" i="53"/>
  <c r="F94" i="53" s="1"/>
  <c r="J70" i="5"/>
  <c r="E144" i="5"/>
  <c r="I134" i="5"/>
  <c r="G138" i="5"/>
  <c r="J66" i="5"/>
  <c r="Q34" i="55" s="1"/>
  <c r="E145" i="5"/>
  <c r="G139" i="5"/>
  <c r="O9" i="52"/>
  <c r="D13" i="52"/>
  <c r="D34" i="52" s="1" a="1"/>
  <c r="D34" i="52" s="1"/>
  <c r="I85" i="5"/>
  <c r="I133" i="5"/>
  <c r="E143" i="5"/>
  <c r="G131" i="5"/>
  <c r="G130" i="5"/>
  <c r="I83" i="5"/>
  <c r="E146" i="5"/>
  <c r="I82" i="5"/>
  <c r="G133" i="5"/>
  <c r="I132" i="5"/>
  <c r="D22" i="52"/>
  <c r="I139" i="5"/>
  <c r="H150" i="5"/>
  <c r="I136" i="5"/>
  <c r="S79" i="5"/>
  <c r="S75" i="5" s="1"/>
  <c r="D26" i="52"/>
  <c r="I138" i="5"/>
  <c r="I80" i="5"/>
  <c r="D21" i="52" s="1"/>
  <c r="C6" i="50" l="1"/>
  <c r="J163" i="5" s="1"/>
  <c r="N20" i="52"/>
  <c r="N21" i="52"/>
  <c r="D47" i="52" a="1"/>
  <c r="D47" i="52" s="1"/>
  <c r="I48" i="52" s="1"/>
  <c r="G48" i="52" s="1"/>
  <c r="H48" i="52" s="1"/>
  <c r="H9" i="56"/>
  <c r="G24" i="56"/>
  <c r="F35" i="56" s="1"/>
  <c r="F88" i="56" s="1"/>
  <c r="T79" i="5"/>
  <c r="T54" i="5"/>
  <c r="Q79" i="5"/>
  <c r="Q81" i="5" s="1"/>
  <c r="T61" i="5"/>
  <c r="T62" i="5"/>
  <c r="T63" i="5" s="1"/>
  <c r="S80" i="5"/>
  <c r="T80" i="5" s="1"/>
  <c r="U39" i="5"/>
  <c r="S40" i="5" s="1"/>
  <c r="T52" i="5"/>
  <c r="T53" i="5"/>
  <c r="J164" i="5"/>
  <c r="J73" i="5"/>
  <c r="G16" i="56"/>
  <c r="I14" i="56"/>
  <c r="T75" i="5"/>
  <c r="U46" i="5"/>
  <c r="Q75" i="5"/>
  <c r="T39" i="5"/>
  <c r="I39" i="52"/>
  <c r="G39" i="52" s="1"/>
  <c r="H39" i="52" s="1"/>
  <c r="I35" i="52"/>
  <c r="G35" i="52" s="1"/>
  <c r="H35" i="52" s="1"/>
  <c r="I40" i="52"/>
  <c r="G40" i="52" s="1"/>
  <c r="H40" i="52" s="1"/>
  <c r="I38" i="52"/>
  <c r="G38" i="52" s="1"/>
  <c r="H38" i="52" s="1"/>
  <c r="I34" i="52"/>
  <c r="G34" i="52" s="1"/>
  <c r="H34" i="52" s="1"/>
  <c r="I41" i="52"/>
  <c r="G41" i="52" s="1"/>
  <c r="H41" i="52" s="1"/>
  <c r="I37" i="52"/>
  <c r="G37" i="52" s="1"/>
  <c r="H37" i="52" s="1"/>
  <c r="I33" i="52"/>
  <c r="G33" i="52" s="1"/>
  <c r="H33" i="52" s="1"/>
  <c r="I36" i="52"/>
  <c r="G36" i="52" s="1"/>
  <c r="H36" i="52" s="1"/>
  <c r="J72" i="5" l="1"/>
  <c r="I53" i="52"/>
  <c r="G53" i="52" s="1"/>
  <c r="H53" i="52" s="1"/>
  <c r="I50" i="52"/>
  <c r="G50" i="52" s="1"/>
  <c r="H50" i="52" s="1"/>
  <c r="I51" i="52"/>
  <c r="G51" i="52" s="1"/>
  <c r="H51" i="52" s="1"/>
  <c r="I46" i="52"/>
  <c r="G46" i="52" s="1"/>
  <c r="H46" i="52" s="1"/>
  <c r="I47" i="52"/>
  <c r="G47" i="52" s="1"/>
  <c r="H47" i="52" s="1"/>
  <c r="I54" i="52"/>
  <c r="G54" i="52" s="1"/>
  <c r="H54" i="52" s="1"/>
  <c r="I49" i="52"/>
  <c r="G49" i="52" s="1"/>
  <c r="H49" i="52" s="1"/>
  <c r="I52" i="52"/>
  <c r="G52" i="52" s="1"/>
  <c r="H52" i="52" s="1"/>
  <c r="Q80" i="5"/>
  <c r="T48" i="5"/>
  <c r="T47" i="5" s="1"/>
  <c r="T71" i="5" s="1"/>
  <c r="D25" i="52"/>
  <c r="G35" i="56"/>
  <c r="G47" i="56" s="1"/>
  <c r="I16" i="56"/>
  <c r="J15" i="56" s="1"/>
  <c r="T56" i="5"/>
  <c r="T40" i="5"/>
  <c r="U40" i="5" s="1"/>
  <c r="T70" i="5" l="1"/>
  <c r="U47" i="5"/>
  <c r="T84" i="5"/>
  <c r="U84" i="5" s="1"/>
  <c r="T69" i="5"/>
  <c r="G38" i="56"/>
  <c r="G68" i="56"/>
  <c r="G69" i="56"/>
  <c r="G80" i="56"/>
  <c r="G59" i="56"/>
  <c r="G56" i="56"/>
  <c r="G66" i="56"/>
  <c r="G83" i="56"/>
  <c r="G61" i="56"/>
  <c r="G52" i="56"/>
  <c r="G54" i="56"/>
  <c r="G63" i="56"/>
  <c r="G72" i="56"/>
  <c r="G67" i="56"/>
  <c r="G40" i="56"/>
  <c r="G64" i="56"/>
  <c r="G53" i="56"/>
  <c r="G79" i="56"/>
  <c r="G75" i="56"/>
  <c r="G85" i="56"/>
  <c r="G57" i="56"/>
  <c r="G37" i="56"/>
  <c r="G86" i="56"/>
  <c r="G50" i="56"/>
  <c r="G76" i="56"/>
  <c r="G46" i="56"/>
  <c r="G39" i="56"/>
  <c r="G70" i="56"/>
  <c r="G87" i="56"/>
  <c r="G49" i="56"/>
  <c r="G51" i="56"/>
  <c r="G62" i="56"/>
  <c r="G73" i="56"/>
  <c r="G78" i="56"/>
  <c r="G44" i="56"/>
  <c r="G81" i="56"/>
  <c r="G77" i="56"/>
  <c r="G42" i="56"/>
  <c r="G45" i="56"/>
  <c r="G65" i="56"/>
  <c r="G48" i="56"/>
  <c r="G55" i="56"/>
  <c r="G71" i="56"/>
  <c r="G74" i="56"/>
  <c r="G84" i="56"/>
  <c r="G41" i="56"/>
  <c r="G36" i="56"/>
  <c r="L35" i="56"/>
  <c r="G88" i="56"/>
  <c r="J14" i="56"/>
  <c r="J16" i="56" s="1"/>
  <c r="G82" i="56"/>
  <c r="G60" i="56"/>
  <c r="G43" i="56"/>
  <c r="G58" i="56"/>
  <c r="T55" i="5" l="1"/>
  <c r="T86" i="5"/>
  <c r="U86" i="5" s="1"/>
  <c r="I36" i="56"/>
  <c r="K36" i="56"/>
  <c r="K88" i="56" s="1"/>
  <c r="K14" i="56" s="1"/>
  <c r="M14" i="56" l="1"/>
  <c r="K16" i="56"/>
  <c r="M16" i="56" s="1"/>
  <c r="L36" i="56"/>
  <c r="J36" i="56"/>
  <c r="J88" i="56" s="1"/>
  <c r="I88" i="56"/>
  <c r="D24" i="55" s="1"/>
  <c r="G90" i="56"/>
  <c r="H92" i="56"/>
  <c r="I92" i="56" s="1"/>
  <c r="L14" i="56" s="1"/>
  <c r="D26" i="55" l="1"/>
  <c r="E24" i="55"/>
  <c r="D25" i="55"/>
  <c r="E25" i="55" s="1"/>
  <c r="I37" i="56"/>
  <c r="K37" i="56"/>
  <c r="L37" i="56" s="1"/>
  <c r="K38" i="56" l="1"/>
  <c r="L38" i="56" s="1"/>
  <c r="I38" i="56"/>
  <c r="J37" i="56"/>
  <c r="D28" i="55"/>
  <c r="E26" i="55"/>
  <c r="E28" i="55" l="1"/>
  <c r="C28" i="55"/>
  <c r="D79" i="55"/>
  <c r="J38" i="56"/>
  <c r="I39" i="56"/>
  <c r="K39" i="56"/>
  <c r="L39" i="56" s="1"/>
  <c r="K40" i="56" l="1"/>
  <c r="L40" i="56" s="1"/>
  <c r="I40" i="56"/>
  <c r="J39" i="56"/>
  <c r="C79" i="55"/>
  <c r="E79" i="55"/>
  <c r="J40" i="56" l="1"/>
  <c r="K41" i="56"/>
  <c r="L41" i="56" s="1"/>
  <c r="I41" i="56"/>
  <c r="J41" i="56" l="1"/>
  <c r="I42" i="56"/>
  <c r="K42" i="56"/>
  <c r="L42" i="56" s="1"/>
  <c r="K43" i="56" l="1"/>
  <c r="L43" i="56" s="1"/>
  <c r="I43" i="56"/>
  <c r="J42" i="56"/>
  <c r="J43" i="56" l="1"/>
  <c r="K44" i="56"/>
  <c r="L44" i="56" s="1"/>
  <c r="I44" i="56"/>
  <c r="J44" i="56" l="1"/>
  <c r="K45" i="56"/>
  <c r="L45" i="56" s="1"/>
  <c r="I45" i="56"/>
  <c r="J45" i="56" l="1"/>
  <c r="K46" i="56"/>
  <c r="L46" i="56" s="1"/>
  <c r="I46" i="56"/>
  <c r="J46" i="56" l="1"/>
  <c r="K47" i="56"/>
  <c r="L47" i="56" s="1"/>
  <c r="I47" i="56"/>
  <c r="J47" i="56" l="1"/>
  <c r="I48" i="56"/>
  <c r="K48" i="56"/>
  <c r="L48" i="56" s="1"/>
  <c r="I49" i="56" l="1"/>
  <c r="K49" i="56"/>
  <c r="L49" i="56" s="1"/>
  <c r="J48" i="56"/>
  <c r="K50" i="56" l="1"/>
  <c r="L50" i="56" s="1"/>
  <c r="I50" i="56"/>
  <c r="J49" i="56"/>
  <c r="J50" i="56" l="1"/>
  <c r="I51" i="56"/>
  <c r="K51" i="56"/>
  <c r="L51" i="56" s="1"/>
  <c r="K52" i="56" l="1"/>
  <c r="L52" i="56" s="1"/>
  <c r="I52" i="56"/>
  <c r="J51" i="56"/>
  <c r="J52" i="56" l="1"/>
  <c r="K53" i="56"/>
  <c r="L53" i="56" s="1"/>
  <c r="I53" i="56"/>
  <c r="J53" i="56" l="1"/>
  <c r="K54" i="56"/>
  <c r="L54" i="56" s="1"/>
  <c r="I54" i="56"/>
  <c r="J54" i="56" l="1"/>
  <c r="I55" i="56"/>
  <c r="K55" i="56"/>
  <c r="L55" i="56" s="1"/>
  <c r="K56" i="56" l="1"/>
  <c r="L56" i="56" s="1"/>
  <c r="I56" i="56"/>
  <c r="J55" i="56"/>
  <c r="J56" i="56" l="1"/>
  <c r="K57" i="56"/>
  <c r="L57" i="56" s="1"/>
  <c r="I57" i="56"/>
  <c r="J57" i="56" l="1"/>
  <c r="K58" i="56"/>
  <c r="L58" i="56" s="1"/>
  <c r="I58" i="56"/>
  <c r="J58" i="56" l="1"/>
  <c r="I59" i="56"/>
  <c r="K59" i="56"/>
  <c r="L59" i="56" s="1"/>
  <c r="K60" i="56" l="1"/>
  <c r="L60" i="56" s="1"/>
  <c r="I60" i="56"/>
  <c r="J59" i="56"/>
  <c r="J60" i="56" l="1"/>
  <c r="K61" i="56"/>
  <c r="L61" i="56" s="1"/>
  <c r="I61" i="56"/>
  <c r="J61" i="56" l="1"/>
  <c r="K62" i="56"/>
  <c r="L62" i="56" s="1"/>
  <c r="I62" i="56"/>
  <c r="J62" i="56" l="1"/>
  <c r="I63" i="56"/>
  <c r="K63" i="56"/>
  <c r="L63" i="56" s="1"/>
  <c r="K64" i="56" l="1"/>
  <c r="L64" i="56" s="1"/>
  <c r="I64" i="56"/>
  <c r="J63" i="56"/>
  <c r="J64" i="56" l="1"/>
  <c r="K65" i="56"/>
  <c r="L65" i="56" s="1"/>
  <c r="I65" i="56"/>
  <c r="J65" i="56" l="1"/>
  <c r="K66" i="56"/>
  <c r="L66" i="56" s="1"/>
  <c r="I66" i="56"/>
  <c r="J66" i="56" l="1"/>
  <c r="K67" i="56"/>
  <c r="L67" i="56" s="1"/>
  <c r="I67" i="56"/>
  <c r="J67" i="56" l="1"/>
  <c r="I68" i="56"/>
  <c r="K68" i="56"/>
  <c r="L68" i="56" s="1"/>
  <c r="I69" i="56" l="1"/>
  <c r="K69" i="56"/>
  <c r="L69" i="56" s="1"/>
  <c r="J68" i="56"/>
  <c r="J69" i="56" l="1"/>
  <c r="I70" i="56"/>
  <c r="K70" i="56"/>
  <c r="L70" i="56" s="1"/>
  <c r="I71" i="56" l="1"/>
  <c r="K71" i="56"/>
  <c r="L71" i="56" s="1"/>
  <c r="J70" i="56"/>
  <c r="K72" i="56" l="1"/>
  <c r="L72" i="56" s="1"/>
  <c r="I72" i="56"/>
  <c r="J71" i="56"/>
  <c r="J72" i="56" l="1"/>
  <c r="K73" i="56"/>
  <c r="L73" i="56" s="1"/>
  <c r="I73" i="56"/>
  <c r="J73" i="56" l="1"/>
  <c r="K74" i="56"/>
  <c r="L74" i="56" s="1"/>
  <c r="I74" i="56"/>
  <c r="J74" i="56" l="1"/>
  <c r="I75" i="56"/>
  <c r="K75" i="56"/>
  <c r="L75" i="56" s="1"/>
  <c r="K76" i="56" l="1"/>
  <c r="L76" i="56" s="1"/>
  <c r="I76" i="56"/>
  <c r="J75" i="56"/>
  <c r="J76" i="56" l="1"/>
  <c r="K77" i="56"/>
  <c r="L77" i="56" s="1"/>
  <c r="I77" i="56"/>
  <c r="J77" i="56" l="1"/>
  <c r="K78" i="56"/>
  <c r="L78" i="56" s="1"/>
  <c r="I78" i="56"/>
  <c r="J78" i="56" l="1"/>
  <c r="I79" i="56"/>
  <c r="K79" i="56"/>
  <c r="L79" i="56" s="1"/>
  <c r="K80" i="56" l="1"/>
  <c r="L80" i="56" s="1"/>
  <c r="I80" i="56"/>
  <c r="J79" i="56"/>
  <c r="J80" i="56" l="1"/>
  <c r="I81" i="56"/>
  <c r="K81" i="56"/>
  <c r="L81" i="56" s="1"/>
  <c r="I82" i="56" l="1"/>
  <c r="K82" i="56"/>
  <c r="L82" i="56" s="1"/>
  <c r="J81" i="56"/>
  <c r="AK59" i="5"/>
  <c r="AK61" i="5" s="1"/>
  <c r="AL59" i="5"/>
  <c r="AL61" i="5" s="1"/>
  <c r="AJ59" i="5"/>
  <c r="AJ61" i="5" s="1"/>
  <c r="AM59" i="5"/>
  <c r="AM61" i="5" s="1"/>
  <c r="AM75" i="5" s="1"/>
  <c r="I83" i="56" l="1"/>
  <c r="K83" i="56"/>
  <c r="L83" i="56" s="1"/>
  <c r="J82" i="56"/>
  <c r="J59" i="58"/>
  <c r="J6" i="58"/>
  <c r="J48" i="58"/>
  <c r="J20" i="58"/>
  <c r="J17" i="58"/>
  <c r="J56" i="58"/>
  <c r="J28" i="58"/>
  <c r="J39" i="58"/>
  <c r="J38" i="58"/>
  <c r="J30" i="58"/>
  <c r="J43" i="58"/>
  <c r="J55" i="58"/>
  <c r="J10" i="58"/>
  <c r="J25" i="58"/>
  <c r="J9" i="58"/>
  <c r="J65" i="58"/>
  <c r="J36" i="58"/>
  <c r="J42" i="58"/>
  <c r="J15" i="58"/>
  <c r="AL75" i="5"/>
  <c r="AJ75" i="5"/>
  <c r="G10" i="58" s="1"/>
  <c r="AK75" i="5"/>
  <c r="J11" i="58"/>
  <c r="J52" i="58"/>
  <c r="AM79" i="5"/>
  <c r="J16" i="58"/>
  <c r="J67" i="58"/>
  <c r="J64" i="58"/>
  <c r="J19" i="58"/>
  <c r="J68" i="58"/>
  <c r="J7" i="58"/>
  <c r="J44" i="58"/>
  <c r="J54" i="58"/>
  <c r="J32" i="58"/>
  <c r="J35" i="58"/>
  <c r="J18" i="58"/>
  <c r="J40" i="58"/>
  <c r="J46" i="58"/>
  <c r="J47" i="58"/>
  <c r="J23" i="58"/>
  <c r="J31" i="58"/>
  <c r="J62" i="58"/>
  <c r="J8" i="58"/>
  <c r="J51" i="58"/>
  <c r="J12" i="58"/>
  <c r="J27" i="58"/>
  <c r="J14" i="58"/>
  <c r="J26" i="58"/>
  <c r="J24" i="58"/>
  <c r="J58" i="58"/>
  <c r="J49" i="58"/>
  <c r="J34" i="58"/>
  <c r="J66" i="58"/>
  <c r="J57" i="58"/>
  <c r="J60" i="58"/>
  <c r="J41" i="58"/>
  <c r="J22" i="58"/>
  <c r="J63" i="58"/>
  <c r="J50" i="58"/>
  <c r="J33" i="58"/>
  <c r="H35" i="58" l="1"/>
  <c r="H58" i="58"/>
  <c r="H27" i="58"/>
  <c r="H50" i="58"/>
  <c r="H19" i="58"/>
  <c r="H42" i="58"/>
  <c r="H65" i="58"/>
  <c r="H12" i="58"/>
  <c r="H34" i="58"/>
  <c r="H57" i="58"/>
  <c r="H26" i="58"/>
  <c r="H49" i="58"/>
  <c r="H18" i="58"/>
  <c r="H41" i="58"/>
  <c r="H64" i="58"/>
  <c r="H11" i="58"/>
  <c r="H33" i="58"/>
  <c r="H56" i="58"/>
  <c r="H68" i="58"/>
  <c r="H59" i="58"/>
  <c r="H28" i="58"/>
  <c r="H51" i="58"/>
  <c r="H20" i="58"/>
  <c r="H66" i="58"/>
  <c r="H25" i="58"/>
  <c r="H48" i="58"/>
  <c r="H40" i="58"/>
  <c r="H63" i="58"/>
  <c r="H32" i="58"/>
  <c r="H16" i="58"/>
  <c r="H39" i="58"/>
  <c r="H54" i="58"/>
  <c r="H46" i="58"/>
  <c r="H38" i="58"/>
  <c r="H17" i="58"/>
  <c r="H10" i="58"/>
  <c r="H55" i="58"/>
  <c r="H24" i="58"/>
  <c r="H47" i="58"/>
  <c r="H62" i="58"/>
  <c r="H9" i="58"/>
  <c r="H31" i="58"/>
  <c r="H23" i="58"/>
  <c r="H15" i="58"/>
  <c r="H6" i="58"/>
  <c r="H8" i="58"/>
  <c r="H30" i="58"/>
  <c r="H22" i="58"/>
  <c r="H60" i="58"/>
  <c r="H14" i="58"/>
  <c r="H52" i="58"/>
  <c r="H7" i="58"/>
  <c r="H44" i="58"/>
  <c r="H67" i="58"/>
  <c r="H36" i="58"/>
  <c r="H43" i="58"/>
  <c r="G20" i="58"/>
  <c r="G43" i="58"/>
  <c r="G66" i="58"/>
  <c r="G35" i="58"/>
  <c r="G58" i="58"/>
  <c r="G27" i="58"/>
  <c r="G50" i="58"/>
  <c r="G19" i="58"/>
  <c r="G42" i="58"/>
  <c r="G65" i="58"/>
  <c r="G12" i="58"/>
  <c r="G34" i="58"/>
  <c r="G57" i="58"/>
  <c r="G26" i="58"/>
  <c r="G49" i="58"/>
  <c r="G18" i="58"/>
  <c r="G41" i="58"/>
  <c r="G64" i="58"/>
  <c r="G6" i="58"/>
  <c r="G68" i="58"/>
  <c r="G14" i="58"/>
  <c r="G52" i="58"/>
  <c r="G7" i="58"/>
  <c r="G44" i="58"/>
  <c r="G51" i="58"/>
  <c r="G11" i="58"/>
  <c r="G33" i="58"/>
  <c r="G56" i="58"/>
  <c r="G17" i="58"/>
  <c r="G63" i="58"/>
  <c r="G55" i="58"/>
  <c r="G16" i="58"/>
  <c r="G25" i="58"/>
  <c r="G48" i="58"/>
  <c r="G40" i="58"/>
  <c r="G32" i="58"/>
  <c r="G24" i="58"/>
  <c r="G47" i="58"/>
  <c r="G39" i="58"/>
  <c r="G62" i="58"/>
  <c r="G9" i="58"/>
  <c r="G31" i="58"/>
  <c r="G54" i="58"/>
  <c r="G23" i="58"/>
  <c r="G46" i="58"/>
  <c r="G15" i="58"/>
  <c r="G38" i="58"/>
  <c r="G8" i="58"/>
  <c r="G30" i="58"/>
  <c r="G22" i="58"/>
  <c r="G60" i="58"/>
  <c r="G67" i="58"/>
  <c r="G36" i="58"/>
  <c r="G59" i="58"/>
  <c r="G28" i="58"/>
  <c r="I27" i="58"/>
  <c r="I50" i="58"/>
  <c r="I19" i="58"/>
  <c r="I42" i="58"/>
  <c r="I65" i="58"/>
  <c r="I12" i="58"/>
  <c r="I34" i="58"/>
  <c r="I57" i="58"/>
  <c r="I26" i="58"/>
  <c r="I49" i="58"/>
  <c r="I18" i="58"/>
  <c r="I41" i="58"/>
  <c r="I64" i="58"/>
  <c r="I11" i="58"/>
  <c r="I33" i="58"/>
  <c r="I56" i="58"/>
  <c r="I25" i="58"/>
  <c r="I48" i="58"/>
  <c r="I14" i="58"/>
  <c r="I7" i="58"/>
  <c r="I44" i="58"/>
  <c r="I67" i="58"/>
  <c r="I36" i="58"/>
  <c r="I59" i="58"/>
  <c r="I66" i="58"/>
  <c r="I35" i="58"/>
  <c r="I17" i="58"/>
  <c r="I40" i="58"/>
  <c r="I63" i="58"/>
  <c r="I47" i="58"/>
  <c r="I16" i="58"/>
  <c r="I54" i="58"/>
  <c r="I15" i="58"/>
  <c r="I8" i="58"/>
  <c r="I10" i="58"/>
  <c r="I32" i="58"/>
  <c r="I55" i="58"/>
  <c r="I24" i="58"/>
  <c r="I39" i="58"/>
  <c r="I62" i="58"/>
  <c r="I9" i="58"/>
  <c r="I31" i="58"/>
  <c r="I23" i="58"/>
  <c r="I46" i="58"/>
  <c r="I38" i="58"/>
  <c r="I6" i="58"/>
  <c r="I30" i="58"/>
  <c r="I68" i="58"/>
  <c r="I22" i="58"/>
  <c r="I60" i="58"/>
  <c r="I52" i="58"/>
  <c r="I28" i="58"/>
  <c r="I51" i="58"/>
  <c r="I20" i="58"/>
  <c r="I43" i="58"/>
  <c r="I58" i="58"/>
  <c r="I84" i="56"/>
  <c r="K84" i="56"/>
  <c r="L84" i="56" s="1"/>
  <c r="J83" i="56"/>
  <c r="AM63" i="5"/>
  <c r="AM68" i="5" s="1"/>
  <c r="AM69" i="5" s="1"/>
  <c r="AM80" i="5" s="1"/>
  <c r="AN61" i="5"/>
  <c r="AN75" i="5" s="1"/>
  <c r="AJ63" i="5" l="1"/>
  <c r="AJ68" i="5" s="1"/>
  <c r="AJ69" i="5" s="1"/>
  <c r="AJ80" i="5" s="1"/>
  <c r="AL63" i="5"/>
  <c r="AL68" i="5" s="1"/>
  <c r="AL69" i="5" s="1"/>
  <c r="AL80" i="5" s="1"/>
  <c r="AK63" i="5"/>
  <c r="AK68" i="5" s="1"/>
  <c r="AK69" i="5" s="1"/>
  <c r="AK80" i="5" s="1"/>
  <c r="K85" i="56"/>
  <c r="L85" i="56" s="1"/>
  <c r="I85" i="56"/>
  <c r="J84" i="56"/>
  <c r="AN79" i="5"/>
  <c r="K9" i="58"/>
  <c r="K51" i="58"/>
  <c r="K15" i="58"/>
  <c r="K48" i="58"/>
  <c r="K57" i="58"/>
  <c r="K8" i="58"/>
  <c r="K17" i="58"/>
  <c r="K33" i="58"/>
  <c r="K20" i="58"/>
  <c r="K49" i="58"/>
  <c r="K40" i="58"/>
  <c r="K38" i="58"/>
  <c r="K23" i="58"/>
  <c r="K25" i="58"/>
  <c r="K41" i="58"/>
  <c r="K52" i="58"/>
  <c r="K16" i="58"/>
  <c r="K19" i="58"/>
  <c r="K12" i="58"/>
  <c r="K30" i="58"/>
  <c r="K42" i="58"/>
  <c r="K62" i="58"/>
  <c r="K18" i="58"/>
  <c r="K11" i="58"/>
  <c r="K46" i="58"/>
  <c r="K68" i="58"/>
  <c r="K58" i="58"/>
  <c r="K67" i="58"/>
  <c r="K47" i="58"/>
  <c r="K34" i="58"/>
  <c r="K10" i="58"/>
  <c r="K63" i="58"/>
  <c r="K31" i="58"/>
  <c r="K28" i="58"/>
  <c r="K36" i="58"/>
  <c r="K65" i="58"/>
  <c r="K24" i="58"/>
  <c r="K50" i="58"/>
  <c r="K22" i="58"/>
  <c r="K14" i="58"/>
  <c r="K35" i="58"/>
  <c r="K59" i="58"/>
  <c r="K27" i="58"/>
  <c r="K32" i="58"/>
  <c r="K39" i="58"/>
  <c r="K56" i="58"/>
  <c r="K43" i="58"/>
  <c r="K44" i="58"/>
  <c r="K60" i="58"/>
  <c r="K6" i="58"/>
  <c r="K26" i="58"/>
  <c r="K55" i="58"/>
  <c r="K7" i="58"/>
  <c r="K54" i="58"/>
  <c r="K66" i="58"/>
  <c r="K64" i="58"/>
  <c r="J85" i="56" l="1"/>
  <c r="K86" i="56"/>
  <c r="L86" i="56" s="1"/>
  <c r="I86" i="56"/>
  <c r="AN63" i="5"/>
  <c r="AN68" i="5" s="1"/>
  <c r="AN69" i="5" s="1"/>
  <c r="AN80" i="5" s="1"/>
  <c r="J86" i="56" l="1"/>
  <c r="I87" i="56"/>
  <c r="K87" i="56"/>
  <c r="L87" i="56" s="1"/>
  <c r="J87" i="5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Zhou</author>
  </authors>
  <commentList>
    <comment ref="F32" authorId="0" shapeId="0" xr:uid="{8494A8BB-36FF-433A-BD0D-86E00C43A8E1}">
      <text>
        <r>
          <rPr>
            <b/>
            <sz val="9"/>
            <color indexed="81"/>
            <rFont val="Tahoma"/>
            <family val="2"/>
          </rPr>
          <t>Brian Zhou:</t>
        </r>
        <r>
          <rPr>
            <sz val="9"/>
            <color indexed="81"/>
            <rFont val="Tahoma"/>
            <family val="2"/>
          </rPr>
          <t xml:space="preserve">
Loan spread - broker spread</t>
        </r>
      </text>
    </comment>
    <comment ref="F45" authorId="0" shapeId="0" xr:uid="{58A68E00-AE15-4D0B-95A1-A639940E29F4}">
      <text>
        <r>
          <rPr>
            <b/>
            <sz val="9"/>
            <color indexed="81"/>
            <rFont val="Tahoma"/>
            <family val="2"/>
          </rPr>
          <t>Brian Zhou:</t>
        </r>
        <r>
          <rPr>
            <sz val="9"/>
            <color indexed="81"/>
            <rFont val="Tahoma"/>
            <family val="2"/>
          </rPr>
          <t xml:space="preserve">
Loan spread - broker spread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<sst xmlns="http://schemas.openxmlformats.org/spreadsheetml/2006/main" count="2321" uniqueCount="832">
  <si>
    <t>Loan Summary</t>
  </si>
  <si>
    <t>Location</t>
  </si>
  <si>
    <t>&lt;Google Maps Link&gt;</t>
  </si>
  <si>
    <t>Connect</t>
  </si>
  <si>
    <t>&lt;Connect Link&gt; </t>
  </si>
  <si>
    <t>Target Funding</t>
  </si>
  <si>
    <t>&lt;Date&gt;</t>
  </si>
  <si>
    <t>Type</t>
  </si>
  <si>
    <t>Loan Purpose</t>
  </si>
  <si>
    <t>&lt;Select&gt;</t>
  </si>
  <si>
    <t>Housing</t>
  </si>
  <si>
    <t>Program</t>
  </si>
  <si>
    <t>Points</t>
  </si>
  <si>
    <t>Affordability</t>
  </si>
  <si>
    <t>Accessibility</t>
  </si>
  <si>
    <t>Energy</t>
  </si>
  <si>
    <t>Loan</t>
  </si>
  <si>
    <t>Gross Amount</t>
  </si>
  <si>
    <t>Term</t>
  </si>
  <si>
    <t>Amortization</t>
  </si>
  <si>
    <t>Sponsor</t>
  </si>
  <si>
    <t>Name</t>
  </si>
  <si>
    <t>&lt;Sponsor&gt;</t>
  </si>
  <si>
    <t>&lt;Link to company website&gt;</t>
  </si>
  <si>
    <t>Experience</t>
  </si>
  <si>
    <t>&lt;Very brief summary, note any concerns&gt;</t>
  </si>
  <si>
    <t>Guarantee</t>
  </si>
  <si>
    <t>&lt;Note any concerns&gt;</t>
  </si>
  <si>
    <t>Net Worth</t>
  </si>
  <si>
    <t>&lt;Reported NW&gt;</t>
  </si>
  <si>
    <t>UW Notes</t>
  </si>
  <si>
    <t>Gross LTV</t>
  </si>
  <si>
    <t>Gross Loan / Res Value</t>
  </si>
  <si>
    <t>Value / Unit</t>
  </si>
  <si>
    <t xml:space="preserve">&lt;Note any concerns; based on what cap rate (speak to cap rate stress)&gt; </t>
  </si>
  <si>
    <t>Net DSC (@ Max Rate)</t>
  </si>
  <si>
    <t>&lt;Note any concerns; if below minimum, why?&gt;</t>
  </si>
  <si>
    <t>Max Rate / Buydown</t>
  </si>
  <si>
    <t>Actual Vacancy</t>
  </si>
  <si>
    <t>&lt;EGI Test?&gt;</t>
  </si>
  <si>
    <t>&lt;Note any concerns; lease up / separate res &amp; commercial EGI test?&gt;</t>
  </si>
  <si>
    <t>Key Risks</t>
  </si>
  <si>
    <t>&lt;Note primary risks with deal&gt;</t>
  </si>
  <si>
    <t>5yr Pricing</t>
  </si>
  <si>
    <t>Loan Spread</t>
  </si>
  <si>
    <t>Net Spread</t>
  </si>
  <si>
    <t>KS Return ($)</t>
  </si>
  <si>
    <t>KS Return (%)</t>
  </si>
  <si>
    <t>KS Margin</t>
  </si>
  <si>
    <t>Broker Spread</t>
  </si>
  <si>
    <t>Servicing Spread</t>
  </si>
  <si>
    <t>Agg Spread</t>
  </si>
  <si>
    <t>Lender Fee</t>
  </si>
  <si>
    <t>10yr Pricing</t>
  </si>
  <si>
    <t>KingSett CMHC</t>
  </si>
  <si>
    <t>Underwriting Comments</t>
  </si>
  <si>
    <t>KingSett Bridge</t>
  </si>
  <si>
    <t>CMHC Benchmarks</t>
  </si>
  <si>
    <t>Borrower</t>
  </si>
  <si>
    <t xml:space="preserve">Variance </t>
  </si>
  <si>
    <t>Occupied</t>
  </si>
  <si>
    <t>Units</t>
  </si>
  <si>
    <t>Size</t>
  </si>
  <si>
    <t>Total</t>
  </si>
  <si>
    <t>Per Unit</t>
  </si>
  <si>
    <t>PSF</t>
  </si>
  <si>
    <t>/Unit</t>
  </si>
  <si>
    <t>%EGI</t>
  </si>
  <si>
    <t>%Delta</t>
  </si>
  <si>
    <t>CMHC Avg</t>
  </si>
  <si>
    <t>CCS Delta</t>
  </si>
  <si>
    <t>Bachelor</t>
  </si>
  <si>
    <t>1 Bedroom</t>
  </si>
  <si>
    <t>2 Bedroom</t>
  </si>
  <si>
    <t>3 Bedroom</t>
  </si>
  <si>
    <t>4+ Bedroom</t>
  </si>
  <si>
    <t>Bachelor (Affordable)</t>
  </si>
  <si>
    <t>1 Bedroom (Affordable)</t>
  </si>
  <si>
    <t>2 Bedroom (Affordable)</t>
  </si>
  <si>
    <t>3 Bedroom (Affordable)</t>
  </si>
  <si>
    <t>4+ Bedroom (Affordable)</t>
  </si>
  <si>
    <t xml:space="preserve">Total Rental Income </t>
  </si>
  <si>
    <t>(+) UG Parking</t>
  </si>
  <si>
    <t>(+) EX Parking</t>
  </si>
  <si>
    <t>CMHC Zone</t>
  </si>
  <si>
    <t>5Y Avg</t>
  </si>
  <si>
    <t>Subject Vacancy</t>
  </si>
  <si>
    <t>(+) Storage</t>
  </si>
  <si>
    <t>Vacancy</t>
  </si>
  <si>
    <t>(+) Other</t>
  </si>
  <si>
    <t>Rent YoY Change</t>
  </si>
  <si>
    <t>(-) Incentives</t>
  </si>
  <si>
    <t>Potential Gross Income</t>
  </si>
  <si>
    <t>(-) Vacancy/bad debt</t>
  </si>
  <si>
    <t>Effective Gross Income</t>
  </si>
  <si>
    <t xml:space="preserve"> Opex</t>
  </si>
  <si>
    <t>Property Taxes</t>
  </si>
  <si>
    <t>Insurance</t>
  </si>
  <si>
    <t>Landlord pays all utilities</t>
  </si>
  <si>
    <t>Utilities</t>
  </si>
  <si>
    <t xml:space="preserve"> Growth</t>
  </si>
  <si>
    <t>Annualized</t>
  </si>
  <si>
    <t xml:space="preserve"> Rent</t>
  </si>
  <si>
    <t>Apply only for construction loans</t>
  </si>
  <si>
    <t>Operating Expenses</t>
  </si>
  <si>
    <t>NOI</t>
  </si>
  <si>
    <t>Value</t>
  </si>
  <si>
    <t>UW Cap Rate:</t>
  </si>
  <si>
    <t>Less: Cost to Complete</t>
  </si>
  <si>
    <t>Base</t>
  </si>
  <si>
    <t>Commercial</t>
  </si>
  <si>
    <t>Move-In</t>
  </si>
  <si>
    <t>Expiry</t>
  </si>
  <si>
    <t>Area</t>
  </si>
  <si>
    <t>Rate</t>
  </si>
  <si>
    <t>Adj. Value</t>
  </si>
  <si>
    <t>Ind Cap Rate:</t>
  </si>
  <si>
    <t>Comparison</t>
  </si>
  <si>
    <t>Tenant 1</t>
  </si>
  <si>
    <t>Tenant 2</t>
  </si>
  <si>
    <t>Loan Details</t>
  </si>
  <si>
    <t>SMF</t>
  </si>
  <si>
    <t>MLP</t>
  </si>
  <si>
    <t>Blended</t>
  </si>
  <si>
    <t>Bridge Guidelines</t>
  </si>
  <si>
    <t>Tenant 3</t>
  </si>
  <si>
    <t>Loan Amount</t>
  </si>
  <si>
    <t>SMF capped at 65% LTV</t>
  </si>
  <si>
    <t>Tenant 4</t>
  </si>
  <si>
    <t>Loan Split</t>
  </si>
  <si>
    <t>Target approx. 70% SMF/30% MLP loan split or as Bryan permits</t>
  </si>
  <si>
    <t>Tenant 5</t>
  </si>
  <si>
    <t>Lender</t>
  </si>
  <si>
    <t>KingSett</t>
  </si>
  <si>
    <t>Total Base Rent</t>
  </si>
  <si>
    <t>Prepayment Option</t>
  </si>
  <si>
    <t>Open after 6</t>
  </si>
  <si>
    <r>
      <t xml:space="preserve">Open after 3 or 6 months (talk to Shawn). Generally only prepayable by CMHC refi </t>
    </r>
    <r>
      <rPr>
        <u/>
        <sz val="10.5"/>
        <rFont val="Calibri"/>
        <family val="2"/>
        <scheme val="minor"/>
      </rPr>
      <t>(even if it's by another lender)</t>
    </r>
  </si>
  <si>
    <t>(+) Parking</t>
  </si>
  <si>
    <t>Extension Option</t>
  </si>
  <si>
    <t>N/A</t>
  </si>
  <si>
    <t>(+) Recoveries</t>
  </si>
  <si>
    <t>client sees the "Blended" column numbers (not SMF/MLP breakdown), so keep numbers round</t>
  </si>
  <si>
    <t>Gross Rent</t>
  </si>
  <si>
    <t>I/O</t>
  </si>
  <si>
    <t>Prime Rate</t>
  </si>
  <si>
    <t>Fee</t>
  </si>
  <si>
    <t>SMF - min. 40bps per 12 mo. term / MLP - min. 100bps per 12 mo. term</t>
  </si>
  <si>
    <t>Effective Gross Income (EGI)</t>
  </si>
  <si>
    <t>Interest Rate (Floor)</t>
  </si>
  <si>
    <t>Blended Floor (hardcode to T47 value to avoid circular reference)</t>
  </si>
  <si>
    <t>(-) Recoverable Expenses</t>
  </si>
  <si>
    <t>Fixed/Floating</t>
  </si>
  <si>
    <t xml:space="preserve">SMF - min. 2.25% spread / MLP - min. 5.5% spread </t>
  </si>
  <si>
    <t>(-) Management Fee &amp; Structural Reserve</t>
  </si>
  <si>
    <t>Interest Reserve</t>
  </si>
  <si>
    <t>Key Metrics</t>
  </si>
  <si>
    <t>Commercial Value</t>
  </si>
  <si>
    <t>NOI / Debt</t>
  </si>
  <si>
    <t>Combined NOI</t>
  </si>
  <si>
    <t>LTV</t>
  </si>
  <si>
    <t>Combined Value</t>
  </si>
  <si>
    <t>Blended Cap Rate:</t>
  </si>
  <si>
    <t>DSC</t>
  </si>
  <si>
    <t>Loan per Unit</t>
  </si>
  <si>
    <t>MLI Select</t>
  </si>
  <si>
    <t>MLI Market</t>
  </si>
  <si>
    <t>Residential Net Loan</t>
  </si>
  <si>
    <t>Break-Even Analysis</t>
  </si>
  <si>
    <t>Commercial Net Loan</t>
  </si>
  <si>
    <t>Net Loan</t>
  </si>
  <si>
    <t>Rent Per Unit</t>
  </si>
  <si>
    <t>Total Net Loan</t>
  </si>
  <si>
    <t>Application Fee</t>
  </si>
  <si>
    <t>Rent PSF</t>
  </si>
  <si>
    <t>App Fee</t>
  </si>
  <si>
    <t xml:space="preserve">Premium </t>
  </si>
  <si>
    <t>Gross Loan</t>
  </si>
  <si>
    <t>Premium</t>
  </si>
  <si>
    <t>Construction</t>
  </si>
  <si>
    <t>IRR Levered 0%</t>
  </si>
  <si>
    <t>Total Gross Loan</t>
  </si>
  <si>
    <t>IRR Levered 50%</t>
  </si>
  <si>
    <t>IRR Levered 60%</t>
  </si>
  <si>
    <t>CMHC Max Rate (per COI)</t>
  </si>
  <si>
    <t>Max Rate</t>
  </si>
  <si>
    <t>5Y Indicative Rate &amp; Est. Buydown</t>
  </si>
  <si>
    <t>Capital Stack</t>
  </si>
  <si>
    <t>Residential DSC</t>
  </si>
  <si>
    <t>10Y Indicative Rate &amp; Est. Buydown</t>
  </si>
  <si>
    <t>Commercial DSC</t>
  </si>
  <si>
    <t>Net LTV</t>
  </si>
  <si>
    <t>Net</t>
  </si>
  <si>
    <t>Gross</t>
  </si>
  <si>
    <t>Total Debt Stack</t>
  </si>
  <si>
    <t>Recourse</t>
  </si>
  <si>
    <t>Profit</t>
  </si>
  <si>
    <t>Profit % of Costs</t>
  </si>
  <si>
    <t>Development Yield</t>
  </si>
  <si>
    <t>NOI/Debt</t>
  </si>
  <si>
    <t>Equity</t>
  </si>
  <si>
    <t>Total Source of Funds</t>
  </si>
  <si>
    <t>5Y DSC (Indicative Rate)</t>
  </si>
  <si>
    <t>10Y DSC (Indicative Rate)</t>
  </si>
  <si>
    <t>DSC (Max Rate Per COI)</t>
  </si>
  <si>
    <t>Debt Service</t>
  </si>
  <si>
    <t>Loan Per Unit</t>
  </si>
  <si>
    <t>Utilization</t>
  </si>
  <si>
    <t>KS Cost of Leverage</t>
  </si>
  <si>
    <t>Residential Key Metrics</t>
  </si>
  <si>
    <t>DON'T INCLUDE THIS SECTION IN CCS</t>
  </si>
  <si>
    <t>Commercial Key Metrics</t>
  </si>
  <si>
    <t>Sources</t>
  </si>
  <si>
    <t>Uses</t>
  </si>
  <si>
    <t>Const</t>
  </si>
  <si>
    <t xml:space="preserve">Per Unit </t>
  </si>
  <si>
    <t>Per BSF</t>
  </si>
  <si>
    <t>Net CMHC Mortgage</t>
  </si>
  <si>
    <t xml:space="preserve">Second Mortgage </t>
  </si>
  <si>
    <t>Cash</t>
  </si>
  <si>
    <t xml:space="preserve">Appraisal Surplus </t>
  </si>
  <si>
    <t xml:space="preserve">Land Value </t>
  </si>
  <si>
    <t>Purchase Price</t>
  </si>
  <si>
    <t xml:space="preserve">Hard Costs </t>
  </si>
  <si>
    <t xml:space="preserve">Sales Tax Self-Assessment </t>
  </si>
  <si>
    <t>Financing</t>
  </si>
  <si>
    <t>Other Soft Costs</t>
  </si>
  <si>
    <t xml:space="preserve">Contingency </t>
  </si>
  <si>
    <t xml:space="preserve">Project Statistics </t>
  </si>
  <si>
    <t>Residential</t>
  </si>
  <si>
    <t>Site Area (acres)</t>
  </si>
  <si>
    <t>Gross Floor Area (GFA)</t>
  </si>
  <si>
    <t>Net Leaseble Area (sq ft)</t>
  </si>
  <si>
    <t>Net Leasable Area (%)</t>
  </si>
  <si>
    <t>Efficency Ratio</t>
  </si>
  <si>
    <t>Rental Growth Sensitivity Analysis</t>
  </si>
  <si>
    <t>Annual Rental Growth</t>
  </si>
  <si>
    <t>Annual Opex Growth</t>
  </si>
  <si>
    <t>Rental
Income</t>
  </si>
  <si>
    <t>No Growth</t>
  </si>
  <si>
    <t>Base Case</t>
  </si>
  <si>
    <t>Cap Rate</t>
  </si>
  <si>
    <t xml:space="preserve">Testing, please ignore </t>
  </si>
  <si>
    <t>Second Mtg</t>
  </si>
  <si>
    <t>Existing 1st</t>
  </si>
  <si>
    <t>Proposed 2nd</t>
  </si>
  <si>
    <t>Existing Rate</t>
  </si>
  <si>
    <t>CCS (Gross)</t>
  </si>
  <si>
    <t>Combined</t>
  </si>
  <si>
    <t>Combined Residential Real DSCs</t>
  </si>
  <si>
    <t>COIP (Net)</t>
  </si>
  <si>
    <t>Top-Up</t>
  </si>
  <si>
    <t>DSC (Both at Max Rate)</t>
  </si>
  <si>
    <t>Total Sources</t>
  </si>
  <si>
    <t>Total Uses</t>
  </si>
  <si>
    <t>Project Type</t>
  </si>
  <si>
    <t>Loan Type</t>
  </si>
  <si>
    <t>Region</t>
  </si>
  <si>
    <t>&lt;Region&gt;</t>
  </si>
  <si>
    <t>Property Type</t>
  </si>
  <si>
    <t>Housing Type</t>
  </si>
  <si>
    <t>EGI Test Met</t>
  </si>
  <si>
    <t>&lt;EGI Test Met&gt;</t>
  </si>
  <si>
    <t>Frame Material</t>
  </si>
  <si>
    <t>&lt;Select Frame&gt;</t>
  </si>
  <si>
    <t>Project Status</t>
  </si>
  <si>
    <t>&lt;Project Status&gt;</t>
  </si>
  <si>
    <t>Estimated Vintage (Decade)</t>
  </si>
  <si>
    <t>&lt;Estimated Vintage (Decade)&gt;</t>
  </si>
  <si>
    <t>&lt;N/A&gt; except for QC Wood-Frame</t>
  </si>
  <si>
    <t>Number of Advances</t>
  </si>
  <si>
    <t>&lt;Number of Advances&gt;</t>
  </si>
  <si>
    <t>Appliances Per Unit</t>
  </si>
  <si>
    <t>Total Wall Heat Pumps &amp; AC Units</t>
  </si>
  <si>
    <t xml:space="preserve">Elevators (Wood Frame Only) </t>
  </si>
  <si>
    <t>Affordability Points</t>
  </si>
  <si>
    <t>Energy Efficiency Points</t>
  </si>
  <si>
    <t>Accessibility Points</t>
  </si>
  <si>
    <t>Total Development Cost</t>
  </si>
  <si>
    <t>5 Year</t>
  </si>
  <si>
    <t>10 Year</t>
  </si>
  <si>
    <t>LTC</t>
  </si>
  <si>
    <t>Maximum Residential Loan</t>
  </si>
  <si>
    <t>Combined LTV</t>
  </si>
  <si>
    <t>Maximum Commercial Loan</t>
  </si>
  <si>
    <t>Maximum Total Loan Amount</t>
  </si>
  <si>
    <t>Max Rate Analysis</t>
  </si>
  <si>
    <t>Implied Max Rate</t>
  </si>
  <si>
    <t>CMB</t>
  </si>
  <si>
    <t>Kingsett Spread</t>
  </si>
  <si>
    <t>Buffer</t>
  </si>
  <si>
    <t>Selected Max Rate</t>
  </si>
  <si>
    <t>Difference Between Implied Max Rate &amp; Selected Max Rate</t>
  </si>
  <si>
    <t xml:space="preserve">Second Mortgage Top Up Only </t>
  </si>
  <si>
    <t>Non-Residential Space</t>
  </si>
  <si>
    <t>1% of the non-residential loan</t>
  </si>
  <si>
    <t>Second Mortgage</t>
  </si>
  <si>
    <t>Premium paid in last 7 years on property</t>
  </si>
  <si>
    <t>No credits for top up</t>
  </si>
  <si>
    <t>Total Premium</t>
  </si>
  <si>
    <t>Override LTV (MLI Market, COI issued only)</t>
  </si>
  <si>
    <t>Application Fee Calculator</t>
  </si>
  <si>
    <t>First 100 Units @ $150 (&lt;=2 Advances) or $200 (2+ Advances)</t>
  </si>
  <si>
    <t>Next Units @ $100, up to $50,000 total (&lt;=2 Advances) or $55,000 (2+ Advances)</t>
  </si>
  <si>
    <t>Non-Residential</t>
  </si>
  <si>
    <t xml:space="preserve">Post Approval Fee </t>
  </si>
  <si>
    <t>Next Units @ $15</t>
  </si>
  <si>
    <t>Buydown</t>
  </si>
  <si>
    <t>Duration</t>
  </si>
  <si>
    <t>Loan Rate</t>
  </si>
  <si>
    <t>PMT</t>
  </si>
  <si>
    <t>Month</t>
  </si>
  <si>
    <t>5yr</t>
  </si>
  <si>
    <t>10yr</t>
  </si>
  <si>
    <t>Balance</t>
  </si>
  <si>
    <t>Interest</t>
  </si>
  <si>
    <t>Principal</t>
  </si>
  <si>
    <t>Total CF</t>
  </si>
  <si>
    <t>Min Loan</t>
  </si>
  <si>
    <t>Servicing</t>
  </si>
  <si>
    <t>ON</t>
  </si>
  <si>
    <t>BC</t>
  </si>
  <si>
    <t>QC</t>
  </si>
  <si>
    <t>Atlantic</t>
  </si>
  <si>
    <t>Prairies &amp; Territories</t>
  </si>
  <si>
    <t>&lt;Housing Type&gt;</t>
  </si>
  <si>
    <t>Student</t>
  </si>
  <si>
    <t>SRO</t>
  </si>
  <si>
    <t>Retirement</t>
  </si>
  <si>
    <t>&lt;Program&gt;</t>
  </si>
  <si>
    <t>Yes</t>
  </si>
  <si>
    <t>No</t>
  </si>
  <si>
    <t>Wood Frame</t>
  </si>
  <si>
    <t>Concrete Frame</t>
  </si>
  <si>
    <t>New Construction</t>
  </si>
  <si>
    <t>Existing Property</t>
  </si>
  <si>
    <t>&lt;N/A&gt;</t>
  </si>
  <si>
    <t>11 units and less</t>
  </si>
  <si>
    <t>12 units and more</t>
  </si>
  <si>
    <t>&lt;Select Base&gt;</t>
  </si>
  <si>
    <t>&lt;Select Comparison&gt;</t>
  </si>
  <si>
    <t>Unit Type</t>
  </si>
  <si>
    <t>2 Bedrooms</t>
  </si>
  <si>
    <t>3 Bedrooms</t>
  </si>
  <si>
    <t>4+ Bedrooms</t>
  </si>
  <si>
    <t>Single Room Occupancy (NHCF)</t>
  </si>
  <si>
    <t>Semi-Private &amp; Ward Beds</t>
  </si>
  <si>
    <t>Private Beds</t>
  </si>
  <si>
    <t>Shelter Beds (NHCF)</t>
  </si>
  <si>
    <t>Landlord pays common area</t>
  </si>
  <si>
    <t>Landlord pays heating &amp; water</t>
  </si>
  <si>
    <t>Landlord pays heating &amp; hydro</t>
  </si>
  <si>
    <t>Landlord pays water &amp; hydro</t>
  </si>
  <si>
    <t>Landlord pays heating</t>
  </si>
  <si>
    <t>Landlord pays water</t>
  </si>
  <si>
    <t>Landlord pays hydro</t>
  </si>
  <si>
    <t>Landlord pays no utilities</t>
  </si>
  <si>
    <t>Two or less</t>
  </si>
  <si>
    <t>More than two</t>
  </si>
  <si>
    <t>&lt;Loan Type&gt;</t>
  </si>
  <si>
    <t>Pre 60s</t>
  </si>
  <si>
    <t>60s</t>
  </si>
  <si>
    <t>70s</t>
  </si>
  <si>
    <t>80s</t>
  </si>
  <si>
    <t>90s</t>
  </si>
  <si>
    <t>2000s</t>
  </si>
  <si>
    <t>2010s</t>
  </si>
  <si>
    <t>2020+</t>
  </si>
  <si>
    <t>&lt;Property Type&gt;</t>
  </si>
  <si>
    <t>Mixed-Use</t>
  </si>
  <si>
    <t>Select vs Market Scenarios</t>
  </si>
  <si>
    <t>EGI Met</t>
  </si>
  <si>
    <t>Min LTV</t>
  </si>
  <si>
    <t>Max LTV</t>
  </si>
  <si>
    <t>Indicator</t>
  </si>
  <si>
    <t>5yr Market</t>
  </si>
  <si>
    <t>10yr Market</t>
  </si>
  <si>
    <t>Increase</t>
  </si>
  <si>
    <t>Pre June 19, 2023 Premiums</t>
  </si>
  <si>
    <t>5-yr Resi DSC</t>
  </si>
  <si>
    <t>10-yr Resi DSC</t>
  </si>
  <si>
    <t>5-yr Comm DSC</t>
  </si>
  <si>
    <t>10-yr Comm DSC</t>
  </si>
  <si>
    <t>LTV Range</t>
  </si>
  <si>
    <t>MLI Select Points</t>
  </si>
  <si>
    <t>Expense Assumptions</t>
  </si>
  <si>
    <t>Ontario Region - Wood Frame</t>
  </si>
  <si>
    <t>Pre June 19 Benchmarks</t>
  </si>
  <si>
    <t>Frame</t>
  </si>
  <si>
    <t>Category</t>
  </si>
  <si>
    <t>$/Unit</t>
  </si>
  <si>
    <t>% EGI</t>
  </si>
  <si>
    <t>Comments</t>
  </si>
  <si>
    <t>(-) Property Taxes</t>
  </si>
  <si>
    <t>Previous Benchmark $1,803 per unit or 14.4% of EGI</t>
  </si>
  <si>
    <t>(-) Insurance</t>
  </si>
  <si>
    <t>Previous Benchmart $265 per uint or 2.1% of EGI</t>
  </si>
  <si>
    <t>(-) Utilities</t>
  </si>
  <si>
    <t>(-) Repairs and Maintenance</t>
  </si>
  <si>
    <t>Previous Benchmark $650-750 per unit</t>
  </si>
  <si>
    <t>(-) Payroll &amp; Administration</t>
  </si>
  <si>
    <t>Called "Salaries" on CMHC Benchmark Report</t>
  </si>
  <si>
    <t>(-) Marketing</t>
  </si>
  <si>
    <t>Included in Other Costs in CMHC Benchmark Report</t>
  </si>
  <si>
    <t>(-) Other</t>
  </si>
  <si>
    <t>"Other Costs" incl. advertising, permits, garbage, snow, security etc.</t>
  </si>
  <si>
    <t>(-) Management Fee</t>
  </si>
  <si>
    <t>Benchmark based on EGI</t>
  </si>
  <si>
    <t>(-) Replacement Reserve</t>
  </si>
  <si>
    <t>Replacement reserve of $60 per appliance, $190 per AC unit, $300 per elevator per month</t>
  </si>
  <si>
    <t>Previous Benchmark $4,821 per unit or 38.6% of EGI</t>
  </si>
  <si>
    <t>Ontario Region - Concrete</t>
  </si>
  <si>
    <t>Previous Benchmark $1,916 per unit or 13.3% of EGI</t>
  </si>
  <si>
    <t>Previous Benchmart $150 per uint or 1.0% of EGI</t>
  </si>
  <si>
    <t>Previous Benchmark $850-950 per unit</t>
  </si>
  <si>
    <t>Called "Other Costs" incl. advertising, permits, garbage, snow, security etc.</t>
  </si>
  <si>
    <t>Replacement reserve of $50 per appliance, $150 per AC unit</t>
  </si>
  <si>
    <t>Previous Benchmark $6,051 per unit or 35.5% of EGI</t>
  </si>
  <si>
    <t>BC Region - Wood Frame</t>
  </si>
  <si>
    <t>Previous Benchmark $872 per unit or 6.4% of EGI</t>
  </si>
  <si>
    <t>Previous Benchmart $340 per uint or 2.6% of EGI</t>
  </si>
  <si>
    <t>Replacement reserve of $50 per appliance, $150 per AC unit, $250 per elevator per month</t>
  </si>
  <si>
    <t>Previous Benchmark $3,885 per unit or 30.3% of EGI</t>
  </si>
  <si>
    <t>BC Region - Concrete Frame</t>
  </si>
  <si>
    <t>Atlantic Region - Wood Frame</t>
  </si>
  <si>
    <t>Atlantic Region - Concrete Frame</t>
  </si>
  <si>
    <t>Prairie Region - Wood Frame</t>
  </si>
  <si>
    <t>Prairie Region - Concrete Frame</t>
  </si>
  <si>
    <t>Quebec Region - Wood Frame - 11 units and less</t>
  </si>
  <si>
    <t>Quebec Region - Wood Frame - 12 units and more</t>
  </si>
  <si>
    <t>Quebec Region - Concrete Frame</t>
  </si>
  <si>
    <t>Vacant</t>
  </si>
  <si>
    <t>Occupied (Market Units)</t>
  </si>
  <si>
    <t>In-Place / Proforma Rents for Term Loan</t>
  </si>
  <si>
    <t xml:space="preserve">Max </t>
  </si>
  <si>
    <t>Avg</t>
  </si>
  <si>
    <t>Max</t>
  </si>
  <si>
    <t>Unit Code</t>
  </si>
  <si>
    <t>2 Bedrooms (Affordable)</t>
  </si>
  <si>
    <t>3 Bedrooms (Affordable)</t>
  </si>
  <si>
    <t>4+ Bedrooms (Affordable)</t>
  </si>
  <si>
    <t>Adjusted Rents for Construction Loan</t>
  </si>
  <si>
    <t>Z</t>
  </si>
  <si>
    <t>Unit Details (start with Unit #, Rental Rate or Unit Size)</t>
  </si>
  <si>
    <t>Unit Designations?</t>
  </si>
  <si>
    <t>What's included in the unit/rent?</t>
  </si>
  <si>
    <t>Unit #</t>
  </si>
  <si>
    <t>Vacant?</t>
  </si>
  <si>
    <t>Rent</t>
  </si>
  <si>
    <t>Adjusted Rent</t>
  </si>
  <si>
    <t>Unit Size (sq ft)</t>
  </si>
  <si>
    <t>Market Unit</t>
  </si>
  <si>
    <t>Affordable Unit</t>
  </si>
  <si>
    <t>Subsidized Unit</t>
  </si>
  <si>
    <t>Care Services?</t>
  </si>
  <si>
    <t>Bulk Lease Unit</t>
  </si>
  <si>
    <t>Den Included Unit</t>
  </si>
  <si>
    <t>Second Bathroom</t>
  </si>
  <si>
    <t>Heating</t>
  </si>
  <si>
    <t>Electricity</t>
  </si>
  <si>
    <t>Water</t>
  </si>
  <si>
    <t>Washer/Dryer</t>
  </si>
  <si>
    <t>Stove/Fridge</t>
  </si>
  <si>
    <t>Dishwasher</t>
  </si>
  <si>
    <t>Parking</t>
  </si>
  <si>
    <t>Furniture</t>
  </si>
  <si>
    <t>Other</t>
  </si>
  <si>
    <t>No.</t>
  </si>
  <si>
    <t>Address</t>
  </si>
  <si>
    <t>Date</t>
  </si>
  <si>
    <t>Price</t>
  </si>
  <si>
    <t>Price/Unit</t>
  </si>
  <si>
    <t>OCR</t>
  </si>
  <si>
    <t>NOI/Unit</t>
  </si>
  <si>
    <t>Source / Comments</t>
  </si>
  <si>
    <t>Min</t>
  </si>
  <si>
    <t>Median</t>
  </si>
  <si>
    <t>Mean</t>
  </si>
  <si>
    <t>Subject</t>
  </si>
  <si>
    <t>Bachelor Comps</t>
  </si>
  <si>
    <t>Market</t>
  </si>
  <si>
    <t>1 Bed Comps</t>
  </si>
  <si>
    <t>2 Bed Comps</t>
  </si>
  <si>
    <t>3 Bed Comps</t>
  </si>
  <si>
    <t>City</t>
  </si>
  <si>
    <t>Province</t>
  </si>
  <si>
    <t>CMHC Submarket</t>
  </si>
  <si>
    <t>Vintage</t>
  </si>
  <si>
    <t>Avg Rent PSF</t>
  </si>
  <si>
    <t>OpEx Ratio</t>
  </si>
  <si>
    <t>NOI / Unit</t>
  </si>
  <si>
    <t>KS Cap Rate</t>
  </si>
  <si>
    <t>KS Value</t>
  </si>
  <si>
    <t>KS Value / Unit</t>
  </si>
  <si>
    <t>KS Value / SF</t>
  </si>
  <si>
    <t>CCS Approvers</t>
  </si>
  <si>
    <t>Scott Coates</t>
  </si>
  <si>
    <t>Rob Kumer</t>
  </si>
  <si>
    <t>On Vacation?</t>
  </si>
  <si>
    <t>Retirement Home?</t>
  </si>
  <si>
    <t>Student Housing?</t>
  </si>
  <si>
    <t>Leased Land?</t>
  </si>
  <si>
    <t>CCS Approval Authority</t>
  </si>
  <si>
    <t>Gross Loan &gt; $50M?</t>
  </si>
  <si>
    <t>Click the Red Circle for Markets (use your judgement) and reference the Blue Circle for Population</t>
  </si>
  <si>
    <t>Approvers Delegated (only if on vacation)?</t>
  </si>
  <si>
    <t>cc Scott in Adobe Sign for all CCS he is not approving</t>
  </si>
  <si>
    <t>CANLII Search</t>
  </si>
  <si>
    <r>
      <rPr>
        <b/>
        <sz val="10.5"/>
        <color theme="1"/>
        <rFont val="Calibri"/>
        <family val="2"/>
        <scheme val="minor"/>
      </rPr>
      <t>Source</t>
    </r>
    <r>
      <rPr>
        <sz val="10.5"/>
        <color theme="1"/>
        <rFont val="Calibri"/>
        <family val="2"/>
        <scheme val="minor"/>
      </rPr>
      <t xml:space="preserve">: 
</t>
    </r>
    <r>
      <rPr>
        <b/>
        <sz val="10.5"/>
        <color theme="1"/>
        <rFont val="Calibri"/>
        <family val="2"/>
        <scheme val="minor"/>
      </rPr>
      <t>Criteria</t>
    </r>
    <r>
      <rPr>
        <sz val="10.5"/>
        <color theme="1"/>
        <rFont val="Calibri"/>
        <family val="2"/>
        <scheme val="minor"/>
      </rPr>
      <t>:</t>
    </r>
  </si>
  <si>
    <t>&lt;Completed?&gt;</t>
  </si>
  <si>
    <t>Residential Gross Loan</t>
  </si>
  <si>
    <t>Cashflow B/E</t>
  </si>
  <si>
    <t>DSC (Existing 1st &amp; Proposed 2nd @ Max Rate)</t>
  </si>
  <si>
    <t>Debt Payment (Existing 1st &amp; Proposed 2nd @ Max Rate)</t>
  </si>
  <si>
    <t>Existing 1st Annual Pmt</t>
  </si>
  <si>
    <t>Existing 1st Monthly Pmt</t>
  </si>
  <si>
    <t>KS 2nd Pmt (5yr Indicative)</t>
  </si>
  <si>
    <t>KS 2nd Pmt (10yr Indicative)</t>
  </si>
  <si>
    <t>KS 2nd Pmt (Max)</t>
  </si>
  <si>
    <t>Remaining Am on Existing 1st</t>
  </si>
  <si>
    <t>Premium Credit</t>
  </si>
  <si>
    <t>Existing 1st Premium</t>
  </si>
  <si>
    <t>% Rebate</t>
  </si>
  <si>
    <t>Credit</t>
  </si>
  <si>
    <t>Years since Previous Transaction</t>
  </si>
  <si>
    <t>Credit (% of Original Premium)</t>
  </si>
  <si>
    <t>Existing 1st IAD</t>
  </si>
  <si>
    <t>&lt;Enter LTV Limit Only when Target LTV &lt;=65%&gt;</t>
  </si>
  <si>
    <t>LTV Limit</t>
  </si>
  <si>
    <t>Other (NO NEED TO INCLUDE THIS TABLE IN CCS)</t>
  </si>
  <si>
    <t>Min / Max</t>
  </si>
  <si>
    <t>DSC Sensitivity Analysis</t>
  </si>
  <si>
    <t>Net at Max Rate</t>
  </si>
  <si>
    <t>LTV Sensitivity Analysis</t>
  </si>
  <si>
    <t>Use for Standard Rental</t>
  </si>
  <si>
    <t>Use for Student Housing</t>
  </si>
  <si>
    <t>Beds</t>
  </si>
  <si>
    <t>Price/Bed</t>
  </si>
  <si>
    <t>NOI/Bed</t>
  </si>
  <si>
    <t>Gross Loan / Res Value &gt; 90% (&gt; 75% in AB &amp; NS)?</t>
  </si>
  <si>
    <t>Market with Population &lt; 50,000?</t>
  </si>
  <si>
    <t>Vacancy Rate</t>
  </si>
  <si>
    <t>CMHC</t>
  </si>
  <si>
    <t>UW</t>
  </si>
  <si>
    <t>Δ</t>
  </si>
  <si>
    <t>Average Rents</t>
  </si>
  <si>
    <t>Unit</t>
  </si>
  <si>
    <t>1-Bed</t>
  </si>
  <si>
    <t>2-Bed</t>
  </si>
  <si>
    <t>3-Bed</t>
  </si>
  <si>
    <t>4-Bed</t>
  </si>
  <si>
    <t>input regional vacancy rate &gt;</t>
  </si>
  <si>
    <t xml:space="preserve">hide rows if unit type not in subject </t>
  </si>
  <si>
    <t>see  cell AI:199 for table for CCS</t>
  </si>
  <si>
    <t>Check:</t>
  </si>
  <si>
    <t>Percentage:</t>
  </si>
  <si>
    <t>Min. Net Worth Required Surplus (Shortfall):</t>
  </si>
  <si>
    <t>Total Verified:</t>
  </si>
  <si>
    <t>Unverified</t>
  </si>
  <si>
    <t>[Address]</t>
  </si>
  <si>
    <t>Properties:</t>
  </si>
  <si>
    <t>Equity:</t>
  </si>
  <si>
    <t>[#7 GUARANTOR NAME]</t>
  </si>
  <si>
    <t>[#6 GUARANTOR NAME]</t>
  </si>
  <si>
    <t>[#5 GUARANTOR NAME]</t>
  </si>
  <si>
    <t>[#4 GUARANTOR NAME]</t>
  </si>
  <si>
    <t>[#3 GUARANTOR NAME]</t>
  </si>
  <si>
    <t>[#2 GUARANTOR NAME]</t>
  </si>
  <si>
    <t>Estimated</t>
  </si>
  <si>
    <t>Verified</t>
  </si>
  <si>
    <t>[GUARANTOR NAME]</t>
  </si>
  <si>
    <t>Status</t>
  </si>
  <si>
    <t>% Owned</t>
  </si>
  <si>
    <t>Liabilities ($)</t>
  </si>
  <si>
    <t>Assets ($)</t>
  </si>
  <si>
    <t>Name/Account</t>
  </si>
  <si>
    <r>
      <t xml:space="preserve">BENCHMARK: </t>
    </r>
    <r>
      <rPr>
        <sz val="11"/>
        <rFont val="Calibri"/>
        <family val="2"/>
        <scheme val="minor"/>
      </rPr>
      <t>25% min. net worth required</t>
    </r>
  </si>
  <si>
    <t>[Assets]</t>
  </si>
  <si>
    <t># of Months</t>
  </si>
  <si>
    <t>Hydro</t>
  </si>
  <si>
    <t>Gas</t>
  </si>
  <si>
    <t>Monthly Avg.</t>
  </si>
  <si>
    <t>TTM</t>
  </si>
  <si>
    <t>Total Utilities</t>
  </si>
  <si>
    <t>$ Delta</t>
  </si>
  <si>
    <t>% Delta</t>
  </si>
  <si>
    <t>2024 Total (O/S)</t>
  </si>
  <si>
    <t>2023 Total (O/S)</t>
  </si>
  <si>
    <t>Step 1 - Project Stats (always complete this)</t>
  </si>
  <si>
    <t>Step 2 - Fill Out Budget 
Step 4 - Final Analysis</t>
  </si>
  <si>
    <t>Borrower UW</t>
  </si>
  <si>
    <t>KingSett UW</t>
  </si>
  <si>
    <t>GFA</t>
  </si>
  <si>
    <t>Efficiency %</t>
  </si>
  <si>
    <t>Uses of Funds</t>
  </si>
  <si>
    <t>Per GFA</t>
  </si>
  <si>
    <t>Variance</t>
  </si>
  <si>
    <t>Notes</t>
  </si>
  <si>
    <t>Res.</t>
  </si>
  <si>
    <t>Land:</t>
  </si>
  <si>
    <t>Comm.</t>
  </si>
  <si>
    <t>Land Costs (Purchase Price @ xxxx)</t>
  </si>
  <si>
    <t>Other Land Costs</t>
  </si>
  <si>
    <t>Realty taxes &amp; LTT should be checked. Information is publically available on places like ratehub.ca</t>
  </si>
  <si>
    <t>Appraisal Surplus</t>
  </si>
  <si>
    <t>Land Value</t>
  </si>
  <si>
    <t>Step 3 - Preliminary Budget Analysis</t>
  </si>
  <si>
    <t>Hard Costs:</t>
  </si>
  <si>
    <t>Constr. Costs</t>
  </si>
  <si>
    <t>Is Div 1 included (if so, what % of HC is it)? MP/JT need to know below grade parkade area; and what it is as a % of the total construction area. Average suite size, location, foundation system, envelope system, level of finish and projections/balconies are other factors that can significantly impact cost</t>
  </si>
  <si>
    <t>Hard Costs (excl. parking) - Estimate</t>
  </si>
  <si>
    <t>Benchmark</t>
  </si>
  <si>
    <t>Is the project an infill project (services are available to the lot line)? If not, services need to be brought to the site, which will cost more</t>
  </si>
  <si>
    <t>Altus Cost Guide - Low End</t>
  </si>
  <si>
    <t>Demolition</t>
  </si>
  <si>
    <t>Are there any major demolition costs?</t>
  </si>
  <si>
    <t>Altus Cost Guide - Average</t>
  </si>
  <si>
    <t>Remediation</t>
  </si>
  <si>
    <t>Check if there are any remediation costs</t>
  </si>
  <si>
    <t>Altus Cost Guide - High End</t>
  </si>
  <si>
    <t>Furnishings</t>
  </si>
  <si>
    <t>Confirm if this is required. Total cost depends on product type. Student res. $10k-$15k/bed, standard rental $20k/suite</t>
  </si>
  <si>
    <t>Utility Connections</t>
  </si>
  <si>
    <t>Borrower Hard Costs (excl. CM fee)</t>
  </si>
  <si>
    <t>Constr. Management Fees</t>
  </si>
  <si>
    <t>3rd party CM fee is typically 3-4% of the construction cost</t>
  </si>
  <si>
    <t>Delta</t>
  </si>
  <si>
    <t>Other Hard Costs</t>
  </si>
  <si>
    <t>Total Hard Costs</t>
  </si>
  <si>
    <t>Soft Costs - Estimate</t>
  </si>
  <si>
    <t>Design &amp; Consultants</t>
  </si>
  <si>
    <t>Soft Costs:</t>
  </si>
  <si>
    <t>Legal, Admin &amp; Insurance</t>
  </si>
  <si>
    <t>DCs &amp; Levies</t>
  </si>
  <si>
    <t>Should be calculated by the UW prior to sending for review. UW to determine if there are municipal &amp; regional DCs applicable. Should include building permit charges as well.</t>
  </si>
  <si>
    <t>Lease Commissions</t>
  </si>
  <si>
    <t>50% of One Month's Rent</t>
  </si>
  <si>
    <t>Typically 3.5%-4% of hard costs. Lower than 3% is aggressive. Normally higher for a mid-rise building as a % of hard costs; % does drop a bit for simpler projects, especially if there are a lot of typical floors</t>
  </si>
  <si>
    <t>Financing Costs</t>
  </si>
  <si>
    <t>Single Loan (1st)</t>
  </si>
  <si>
    <t>Legal &amp; Admin</t>
  </si>
  <si>
    <t>Includes insurance, typically ends up being 1-2% of the hard costs</t>
  </si>
  <si>
    <t>Marketing and Sales</t>
  </si>
  <si>
    <t>Half a month's rent for standard rental projects</t>
  </si>
  <si>
    <t>Borrower Soft Costs (excl. DM fee &amp; operating income)</t>
  </si>
  <si>
    <t>Development Management Fees</t>
  </si>
  <si>
    <t>Should be a minimum of 2%-3% of the HC budget. Will vary significantly project to project though</t>
  </si>
  <si>
    <t>Sales Tax Self-Assessment</t>
  </si>
  <si>
    <t>Running to ground if this is payable and then refunded, or simply waived</t>
  </si>
  <si>
    <t>Operating Costs</t>
  </si>
  <si>
    <t>Costs related to operating the building until stabilization / loan repayment</t>
  </si>
  <si>
    <t>Management Fees - Estimate</t>
  </si>
  <si>
    <t>Operating Income</t>
  </si>
  <si>
    <t>Revenue related to operating the building until stabilization / loan repayment</t>
  </si>
  <si>
    <t>Construction Management</t>
  </si>
  <si>
    <t>Development Management</t>
  </si>
  <si>
    <t>Total Soft Costs</t>
  </si>
  <si>
    <t>delta to fee in economics</t>
  </si>
  <si>
    <t>Borrower Management Fees</t>
  </si>
  <si>
    <t>Financing Costs:</t>
  </si>
  <si>
    <t>Senior Lender Fees</t>
  </si>
  <si>
    <t>based off of Economics tab, do not link due to circular reference</t>
  </si>
  <si>
    <t>Senior Lender Interest Reserve</t>
  </si>
  <si>
    <t>linked to IR calculators</t>
  </si>
  <si>
    <t>Development Charges Analysis</t>
  </si>
  <si>
    <t>Subordinate Lender Fees</t>
  </si>
  <si>
    <t>Subordinate Lender Interest Reserve</t>
  </si>
  <si>
    <t>Municipal DCs</t>
  </si>
  <si>
    <r>
      <t>Units/m</t>
    </r>
    <r>
      <rPr>
        <b/>
        <vertAlign val="superscript"/>
        <sz val="11"/>
        <color theme="0"/>
        <rFont val="Calibri"/>
        <family val="2"/>
        <scheme val="minor"/>
      </rPr>
      <t>2</t>
    </r>
  </si>
  <si>
    <r>
      <t>DC per Door/m</t>
    </r>
    <r>
      <rPr>
        <b/>
        <vertAlign val="superscript"/>
        <sz val="11"/>
        <color theme="0"/>
        <rFont val="Calibri"/>
        <family val="2"/>
        <scheme val="minor"/>
      </rPr>
      <t>2</t>
    </r>
  </si>
  <si>
    <t>Admin Fees</t>
  </si>
  <si>
    <t>Discharge Fees</t>
  </si>
  <si>
    <t>Project Monitor Fees</t>
  </si>
  <si>
    <t>L/C Fees</t>
  </si>
  <si>
    <t>Appraisal</t>
  </si>
  <si>
    <t>Land Loan Interest &amp; Fees</t>
  </si>
  <si>
    <t>Check if this cost is reasonable, as we might not want to recognize the full cost</t>
  </si>
  <si>
    <r>
      <t>Commercial (m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</si>
  <si>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Other Financing Costs</t>
  </si>
  <si>
    <t>Total Municipal DCs</t>
  </si>
  <si>
    <t>Total Financing Costs</t>
  </si>
  <si>
    <t>Regional DCs</t>
  </si>
  <si>
    <r>
      <t>Units or m</t>
    </r>
    <r>
      <rPr>
        <b/>
        <vertAlign val="superscript"/>
        <sz val="11"/>
        <color theme="0"/>
        <rFont val="Calibri"/>
        <family val="2"/>
        <scheme val="minor"/>
      </rPr>
      <t>2</t>
    </r>
  </si>
  <si>
    <r>
      <t>DC per Door or m</t>
    </r>
    <r>
      <rPr>
        <b/>
        <vertAlign val="superscript"/>
        <sz val="11"/>
        <color theme="0"/>
        <rFont val="Calibri"/>
        <family val="2"/>
        <scheme val="minor"/>
      </rPr>
      <t>2</t>
    </r>
  </si>
  <si>
    <t>Contingency:</t>
  </si>
  <si>
    <t>Hard Cost Contingency</t>
  </si>
  <si>
    <t>Minimum 5.00% of hard costs, can be higher (deal specific)</t>
  </si>
  <si>
    <t>Soft Cost Contingency</t>
  </si>
  <si>
    <t>Minimum 5.00% of soft costs, can be higher (deal specific)</t>
  </si>
  <si>
    <t>Other Contingency</t>
  </si>
  <si>
    <t>Total Contingency</t>
  </si>
  <si>
    <t>Total Uses of Funds</t>
  </si>
  <si>
    <t>Total Regional DCs</t>
  </si>
  <si>
    <t>Combined Property Valuation</t>
  </si>
  <si>
    <t>Education DCs</t>
  </si>
  <si>
    <t>Units/GFA</t>
  </si>
  <si>
    <t>DC per Door/GFA</t>
  </si>
  <si>
    <t>Commercial (GFA)</t>
  </si>
  <si>
    <t>Return on Equity</t>
  </si>
  <si>
    <t>Total Education DCs</t>
  </si>
  <si>
    <t>HST/GST</t>
  </si>
  <si>
    <t>Other Charges</t>
  </si>
  <si>
    <t>DC per Door</t>
  </si>
  <si>
    <t>Parkland Dedication</t>
  </si>
  <si>
    <t>Community Benefits</t>
  </si>
  <si>
    <t>AB</t>
  </si>
  <si>
    <t>Total Other Charges</t>
  </si>
  <si>
    <t>MB</t>
  </si>
  <si>
    <t>SK</t>
  </si>
  <si>
    <t>Development Charges Summary</t>
  </si>
  <si>
    <t>NB</t>
  </si>
  <si>
    <t>NL</t>
  </si>
  <si>
    <t>Per Door</t>
  </si>
  <si>
    <t>NS</t>
  </si>
  <si>
    <t>Development Charges</t>
  </si>
  <si>
    <t>PEI</t>
  </si>
  <si>
    <t>Building Permits &amp; Misc.</t>
  </si>
  <si>
    <t>Borrower DCs &amp; Levies</t>
  </si>
  <si>
    <t>Total Delta</t>
  </si>
  <si>
    <t xml:space="preserve">Instructions </t>
  </si>
  <si>
    <t>%</t>
  </si>
  <si>
    <t>$</t>
  </si>
  <si>
    <t>2. Fill in Loan Advance and Repayment Assumptions in Cashflow. Audit cashflow to confirm "Check" fields balance.</t>
  </si>
  <si>
    <t>Loan Terms</t>
  </si>
  <si>
    <t>Fee $</t>
  </si>
  <si>
    <t>Spread</t>
  </si>
  <si>
    <t>First Mortgage</t>
  </si>
  <si>
    <t>Financing Details</t>
  </si>
  <si>
    <t>% of Net Loan</t>
  </si>
  <si>
    <t>Model</t>
  </si>
  <si>
    <t>Check</t>
  </si>
  <si>
    <t>Difference</t>
  </si>
  <si>
    <t>Funding Date</t>
  </si>
  <si>
    <t>Payment</t>
  </si>
  <si>
    <t>Capitalized</t>
  </si>
  <si>
    <t>(OK if nominal)</t>
  </si>
  <si>
    <t>Must by I/O</t>
  </si>
  <si>
    <t>Straightline Advance (2nd)</t>
  </si>
  <si>
    <t>(make sure to check cash flows are correct)</t>
  </si>
  <si>
    <t>Straightline Advance (1st)</t>
  </si>
  <si>
    <t>Loan Rate Start</t>
  </si>
  <si>
    <t>Loan Rate End</t>
  </si>
  <si>
    <t>Change</t>
  </si>
  <si>
    <t>(enter fee manually in cash flow if more than one time fee)</t>
  </si>
  <si>
    <t>Current</t>
  </si>
  <si>
    <t>Months</t>
  </si>
  <si>
    <t>Interest Rate</t>
  </si>
  <si>
    <t>Advance</t>
  </si>
  <si>
    <t>Repayment</t>
  </si>
  <si>
    <t>Paid</t>
  </si>
  <si>
    <t>to Loan</t>
  </si>
  <si>
    <t>DO NOT TOUCH THIS ROW</t>
  </si>
  <si>
    <t>Check Zero</t>
  </si>
  <si>
    <t>Check Does Not Exceed Loan</t>
  </si>
  <si>
    <t>USED WATERFALL TO B-NOTE</t>
  </si>
  <si>
    <t>Instructions</t>
  </si>
  <si>
    <t>A-Note</t>
  </si>
  <si>
    <t>B-Note</t>
  </si>
  <si>
    <t>Straightline Advance</t>
  </si>
  <si>
    <t>Waterfall</t>
  </si>
  <si>
    <t>Misc. Financing Costs</t>
  </si>
  <si>
    <t>Minimum $50k - $100k but depends on size/scope of the project &amp; marketing approach</t>
  </si>
  <si>
    <t>[Other Charge]</t>
  </si>
  <si>
    <t>Second Mtg - Financing Details</t>
  </si>
  <si>
    <t>First Mtg - Financing Details</t>
  </si>
  <si>
    <r>
      <t xml:space="preserve">1. Fill in Loan Terms in </t>
    </r>
    <r>
      <rPr>
        <b/>
        <sz val="10"/>
        <color rgb="FF0000FF"/>
        <rFont val="Calibri"/>
        <family val="2"/>
        <scheme val="minor"/>
      </rPr>
      <t>Blue</t>
    </r>
    <r>
      <rPr>
        <b/>
        <sz val="10"/>
        <color theme="1"/>
        <rFont val="Calibri"/>
        <family val="2"/>
        <scheme val="minor"/>
      </rPr>
      <t xml:space="preserve">. Link </t>
    </r>
    <r>
      <rPr>
        <b/>
        <sz val="10"/>
        <color rgb="FFC00000"/>
        <rFont val="Calibri"/>
        <family val="2"/>
        <scheme val="minor"/>
      </rPr>
      <t>Red</t>
    </r>
    <r>
      <rPr>
        <b/>
        <sz val="10"/>
        <color theme="1"/>
        <rFont val="Calibri"/>
        <family val="2"/>
        <scheme val="minor"/>
      </rPr>
      <t xml:space="preserve"> Text to Another Sheet</t>
    </r>
  </si>
  <si>
    <t>A/B LOAN IR CALCULATOR</t>
  </si>
  <si>
    <t>SINGLE LOAN IR CALCULATOR</t>
  </si>
  <si>
    <t>2024 O/S</t>
  </si>
  <si>
    <t>KS Estimate</t>
  </si>
  <si>
    <t>2024 Bills</t>
  </si>
  <si>
    <t>&lt;- Change source description here, if applicable</t>
  </si>
  <si>
    <t>2024 Appraisal</t>
  </si>
  <si>
    <t>Construction Financing</t>
  </si>
  <si>
    <t>Financing Type</t>
  </si>
  <si>
    <t>CMHC Premiums (In Effect Starting July 14, 2025)</t>
  </si>
  <si>
    <t>MLI Select Discount</t>
  </si>
  <si>
    <t>Min Points</t>
  </si>
  <si>
    <t>Max Points</t>
  </si>
  <si>
    <t>MLI Select Discount Table</t>
  </si>
  <si>
    <t>Discount</t>
  </si>
  <si>
    <t>EGI Test Surcharge</t>
  </si>
  <si>
    <t>EGI Test Met?</t>
  </si>
  <si>
    <t>Surcharge</t>
  </si>
  <si>
    <t>EGI Test Surcharge Application</t>
  </si>
  <si>
    <t>Insurance Premiums Table</t>
  </si>
  <si>
    <t>New Base Premium</t>
  </si>
  <si>
    <t>All Other Loan Purposes</t>
  </si>
  <si>
    <t>Standard Rental Housing</t>
  </si>
  <si>
    <t>Base Premium</t>
  </si>
  <si>
    <t>Summary</t>
  </si>
  <si>
    <t>Key Metric</t>
  </si>
  <si>
    <t>Result</t>
  </si>
  <si>
    <t>Program Type</t>
  </si>
  <si>
    <t>5 yr Market</t>
  </si>
  <si>
    <t>Key Results for "Economics" Tab</t>
  </si>
  <si>
    <t>Premium Discount</t>
  </si>
  <si>
    <t>25 bps for each 5 year extension above 25 years</t>
  </si>
  <si>
    <t>Premium Credit Table</t>
  </si>
  <si>
    <t>DSC Ratios Table</t>
  </si>
  <si>
    <t>&lt;Term&gt;</t>
  </si>
  <si>
    <t>Total Premium %</t>
  </si>
  <si>
    <t>Total Gross Annual Debt Service</t>
  </si>
  <si>
    <t>Credit for Past Premiums</t>
  </si>
  <si>
    <t>&lt;Premium Used&gt;</t>
  </si>
  <si>
    <t>Pre-July 14, 2025</t>
  </si>
  <si>
    <t>Effective July 14, 2025</t>
  </si>
  <si>
    <t>Premium Calculator - Effective July 14, 2025</t>
  </si>
  <si>
    <t>Credit For Past Premiums</t>
  </si>
  <si>
    <t>Premium Calculator - Pre-July 14, 2025</t>
  </si>
  <si>
    <t>Increase (Decrease) in Premiums Effective July 14, 2025</t>
  </si>
  <si>
    <t>Premium Calculation Used</t>
  </si>
  <si>
    <t>FOR REFERENCE ONLY</t>
  </si>
  <si>
    <t>Select - 50pts</t>
  </si>
  <si>
    <t>Select - 70pts</t>
  </si>
  <si>
    <t>Select - 100pts</t>
  </si>
  <si>
    <t>David Lyons</t>
  </si>
  <si>
    <t xml:space="preserve">Antoni Kajetanowicz  </t>
  </si>
  <si>
    <t>&lt;Discuss with Antoni and Brian if below $250k&gt;</t>
  </si>
  <si>
    <t>David Lyons / Lujane Abdelgadir</t>
  </si>
  <si>
    <t>Antoni Kajetanowicz</t>
  </si>
  <si>
    <t>Request for approval of a subordinate debt?</t>
  </si>
  <si>
    <t>7+ units</t>
  </si>
  <si>
    <t>5 or 6 units</t>
  </si>
  <si>
    <t>Search Term</t>
  </si>
  <si>
    <t xml:space="preserve">Years since </t>
  </si>
  <si>
    <t>Previous Transaction</t>
  </si>
  <si>
    <t xml:space="preserve">Credit (% of </t>
  </si>
  <si>
    <t>Original Premium)</t>
  </si>
  <si>
    <t>As of 2025-12-08</t>
  </si>
  <si>
    <t>Number of Units (For DSC Calc)</t>
  </si>
  <si>
    <t>Unit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</si>
</sst>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-&quot;$&quot;* #,##0.00_-;\-&quot;$&quot;* #,##0.00_-;_-&quot;$&quot;* &quot;-&quot;??_-;_-@_-"/>
    <numFmt numFmtId="166" formatCode="_(&quot;$&quot;* #,##0_);_(&quot;$&quot;* \(#,##0\);_(&quot;$&quot;* &quot;-&quot;??_);_(@_)"/>
    <numFmt numFmtId="167" formatCode="_(* #,##0_);_(* \(#,##0\);_(* &quot;-&quot;??_);_(@_)"/>
    <numFmt numFmtId="168" formatCode="_-* #,##0_-;\-* #,##0_-;_-* &quot;-&quot;??_-;_-@_-"/>
    <numFmt numFmtId="169" formatCode="_-* #,##0.00_-;\-* #,##0.00_-;_-* &quot;-&quot;??_-;_-@_-"/>
    <numFmt numFmtId="170" formatCode="_(&quot;$&quot;* #,##0.00_);_(&quot;$&quot;* \(#,##0.00\);_(&quot;$&quot;* &quot;-&quot;_);_(@_)"/>
    <numFmt numFmtId="171" formatCode="0.00&quot;x &quot;"/>
    <numFmt numFmtId="172" formatCode="0\ &quot;stalls&quot;"/>
    <numFmt numFmtId="173" formatCode="&quot;$&quot;#,##0&quot;/mo&quot;"/>
    <numFmt numFmtId="174" formatCode="&quot;$&quot;#,##0"/>
    <numFmt numFmtId="175" formatCode="0_)"/>
    <numFmt numFmtId="176" formatCode="_(* #,##0.00_);_(* \(#,##0.00\);_(* &quot;-&quot;_);_(@_)"/>
    <numFmt numFmtId="177" formatCode="&quot;P+&quot;0.00%"/>
    <numFmt numFmtId="178" formatCode="0.000%"/>
    <numFmt numFmtId="179" formatCode="0.0"/>
    <numFmt numFmtId="180" formatCode="&quot;$&quot;#,##0.00"/>
    <numFmt numFmtId="181" formatCode="0.0000"/>
    <numFmt numFmtId="182" formatCode="_(* #,##0.00\ &quot;Year&quot;_);_(* \(#,##0.00\);_(* &quot;-&quot;??_);_(@_)"/>
    <numFmt numFmtId="183" formatCode="0.0\x"/>
    <numFmt numFmtId="184" formatCode="0.00000"/>
    <numFmt numFmtId="185" formatCode="[$-409]mmm\-yy;@"/>
    <numFmt numFmtId="186" formatCode="_(* #,##0.000_);_(* \(#,##0.000\);_(* &quot;-&quot;???_);_(@_)"/>
    <numFmt numFmtId="187" formatCode="_(* #,##0.0_);_(* \(#,##0.0\);_(* &quot;-&quot;_);_(@_)"/>
    <numFmt numFmtId="188" formatCode="0\ &quot;bps&quot;"/>
    <numFmt numFmtId="189" formatCode="0.00\ &quot;bps&quot;"/>
    <numFmt numFmtId="190" formatCode="0.00%\ &quot;cap rate&quot;"/>
    <numFmt numFmtId="191" formatCode="&quot;$&quot;0.0,,&quot;M&quot;"/>
    <numFmt numFmtId="192" formatCode="0.000"/>
    <numFmt numFmtId="193" formatCode="0.0\ &quot;bps&quot;"/>
    <numFmt numFmtId="194" formatCode="0&quot; yrs since previous transaction&quot;"/>
    <numFmt numFmtId="195" formatCode="_(* &quot;$&quot;#,##0_);_(* \(#,##0\);_(* &quot;-&quot;??_);_(@_)"/>
    <numFmt numFmtId="196" formatCode="mmm\-yyyy"/>
    <numFmt numFmtId="197" formatCode="#,##0&quot; storeys&quot;"/>
    <numFmt numFmtId="198" formatCode="#,##0&quot; levels UG parking&quot;"/>
    <numFmt numFmtId="199" formatCode="0.0%\ &quot;of HC&quot;"/>
    <numFmt numFmtId="200" formatCode="&quot;&quot;0%&quot; of One Month's Rent&quot;"/>
    <numFmt numFmtId="201" formatCode="&quot;&quot;0.0%&quot; of Total Budget&quot;"/>
    <numFmt numFmtId="202" formatCode="0.00%\ &quot;of HC&quot;"/>
    <numFmt numFmtId="203" formatCode="0.00%\ &quot;of SC&quot;"/>
    <numFmt numFmtId="204" formatCode="0.0%\ &quot;of HC + SC&quot;"/>
    <numFmt numFmtId="205" formatCode="&quot;Brwr: &quot;&quot;&quot;0.0%&quot; of Project Costs&quot;"/>
    <numFmt numFmtId="206" formatCode="&quot;&quot;0.0%&quot; of Project Costs&quot;"/>
    <numFmt numFmtId="207" formatCode="0.00%&quot; of land value&quot;"/>
    <numFmt numFmtId="208" formatCode="0.00%&quot; of HC&quot;"/>
    <numFmt numFmtId="209" formatCode="_-&quot;$&quot;* #,##0_-;\-&quot;$&quot;* #,##0_-;_-&quot;$&quot;* &quot;-&quot;??_-;_-@_-"/>
    <numFmt numFmtId="210" formatCode="0\ &quot;months&quot;"/>
    <numFmt numFmtId="211" formatCode="d\-mmm\-yy&quot; &quot;"/>
    <numFmt numFmtId="212" formatCode="0.00000%"/>
    <numFmt numFmtId="213" formatCode="0\ &quot;yr&quot;"/>
    <numFmt numFmtId="214" formatCode="0\ &quot;yrs&quot;"/>
    <numFmt numFmtId="215" formatCode="#0.00&quot;x&quot;"/>
    <numFmt numFmtId="216" formatCode="\ &quot;5yr:&quot;\ #,##0.00&quot;x&quot;"/>
    <numFmt numFmtId="217" formatCode="\ &quot;10yr:&quot;\ #,##0.00&quot;x&quot;"/>
    <numFmt numFmtId="218" formatCode="#,##0.00\x"/>
  </numFmts>
  <fonts count="91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rgb="FF0000FF"/>
      <name val="Calibri"/>
      <family val="2"/>
      <scheme val="minor"/>
    </font>
    <font>
      <b/>
      <sz val="10.5"/>
      <color rgb="FF0000FF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6"/>
      <color theme="0"/>
      <name val="Calibri"/>
      <family val="2"/>
      <scheme val="minor"/>
    </font>
    <font>
      <sz val="8"/>
      <name val="Courier"/>
    </font>
    <font>
      <sz val="10.5"/>
      <color theme="0"/>
      <name val="Calibri"/>
      <family val="2"/>
      <scheme val="minor"/>
    </font>
    <font>
      <sz val="10.5"/>
      <color theme="0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0.5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theme="1"/>
      <name val="Calibri"/>
      <family val="2"/>
    </font>
    <font>
      <sz val="11"/>
      <color rgb="FF008000"/>
      <name val="Calibri"/>
      <family val="2"/>
      <scheme val="minor"/>
    </font>
    <font>
      <u/>
      <sz val="10.5"/>
      <color theme="1"/>
      <name val="Calibri"/>
      <family val="2"/>
      <scheme val="minor"/>
    </font>
    <font>
      <u/>
      <sz val="10.5"/>
      <name val="Calibri"/>
      <family val="2"/>
      <scheme val="minor"/>
    </font>
    <font>
      <b/>
      <i/>
      <sz val="10.5"/>
      <name val="Calibri"/>
      <family val="2"/>
      <scheme val="minor"/>
    </font>
    <font>
      <i/>
      <sz val="10.5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0.5"/>
      <color rgb="FFFF0000"/>
      <name val="Calibri"/>
      <family val="2"/>
      <scheme val="minor"/>
    </font>
    <font>
      <b/>
      <u/>
      <sz val="10.5"/>
      <color rgb="FF0000FF"/>
      <name val="Calibri"/>
      <family val="2"/>
      <scheme val="minor"/>
    </font>
    <font>
      <b/>
      <sz val="10.5"/>
      <color theme="1"/>
      <name val="DengXian"/>
      <charset val="134"/>
    </font>
    <font>
      <sz val="8"/>
      <color rgb="FF0000FF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1"/>
      <name val="Calibri"/>
      <family val="2"/>
      <scheme val="minor"/>
    </font>
    <font>
      <i/>
      <sz val="10.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i/>
      <sz val="10.5"/>
      <color theme="1"/>
      <name val="Calibri"/>
      <family val="2"/>
      <scheme val="minor"/>
    </font>
    <font>
      <sz val="9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C00000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name val="Calibri"/>
      <family val="2"/>
      <scheme val="minor"/>
    </font>
    <font>
      <i/>
      <sz val="10.5"/>
      <color theme="1"/>
      <name val="Calibri"/>
      <family val="2"/>
      <scheme val="minor"/>
    </font>
    <font>
      <b/>
      <sz val="10"/>
      <name val="Arial"/>
      <family val="2"/>
    </font>
    <font>
      <b/>
      <i/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519B"/>
        <bgColor indexed="64"/>
      </patternFill>
    </fill>
    <fill>
      <patternFill patternType="solid">
        <fgColor rgb="FF2C8ECE"/>
        <bgColor indexed="64"/>
      </patternFill>
    </fill>
    <fill>
      <patternFill patternType="solid">
        <fgColor rgb="FFE4F0F8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BEDCF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9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/>
      </bottom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0"/>
      </top>
      <bottom/>
      <diagonal/>
    </border>
  </borders>
  <cellStyleXfs count="80">
    <xf numFmtId="1" fontId="0" fillId="0" borderId="0" applyFill="0"/>
    <xf numFmtId="164" fontId="17" fillId="0" borderId="0" applyBorder="0"/>
    <xf numFmtId="0" fontId="16" fillId="0" borderId="0"/>
    <xf numFmtId="0" fontId="17" fillId="0" borderId="0"/>
    <xf numFmtId="43" fontId="17" fillId="0" borderId="0" applyFont="0" applyFill="0" applyBorder="0" applyAlignment="0" applyProtection="0"/>
    <xf numFmtId="169" fontId="16" fillId="0" borderId="0" applyFont="0" applyFill="0" applyBorder="0" applyAlignment="0" applyProtection="0"/>
    <xf numFmtId="164" fontId="17" fillId="0" borderId="0" applyBorder="0"/>
    <xf numFmtId="9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4" fillId="0" borderId="0"/>
    <xf numFmtId="16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0" fontId="14" fillId="0" borderId="0"/>
    <xf numFmtId="43" fontId="25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0" fontId="11" fillId="0" borderId="0"/>
    <xf numFmtId="0" fontId="10" fillId="0" borderId="0"/>
    <xf numFmtId="165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7" fillId="0" borderId="0"/>
    <xf numFmtId="169" fontId="17" fillId="0" borderId="0" applyFont="0" applyFill="0" applyBorder="0" applyAlignment="0" applyProtection="0"/>
    <xf numFmtId="0" fontId="17" fillId="0" borderId="0"/>
    <xf numFmtId="0" fontId="9" fillId="0" borderId="0"/>
    <xf numFmtId="0" fontId="9" fillId="0" borderId="0"/>
    <xf numFmtId="0" fontId="9" fillId="0" borderId="0"/>
    <xf numFmtId="0" fontId="8" fillId="0" borderId="0"/>
    <xf numFmtId="16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165" fontId="1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6" fillId="0" borderId="0"/>
    <xf numFmtId="169" fontId="17" fillId="0" borderId="0" applyFont="0" applyFill="0" applyBorder="0" applyAlignment="0" applyProtection="0"/>
    <xf numFmtId="175" fontId="26" fillId="0" borderId="0"/>
    <xf numFmtId="169" fontId="17" fillId="0" borderId="0" applyFont="0" applyFill="0" applyBorder="0" applyAlignment="0" applyProtection="0"/>
    <xf numFmtId="0" fontId="17" fillId="0" borderId="0"/>
    <xf numFmtId="16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9" fontId="6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6" fillId="0" borderId="0"/>
    <xf numFmtId="165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1" fontId="5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1" fontId="25" fillId="0" borderId="0" applyFill="0"/>
    <xf numFmtId="0" fontId="1" fillId="0" borderId="0"/>
  </cellStyleXfs>
  <cellXfs count="1623">
    <xf numFmtId="1" fontId="0" fillId="0" borderId="0" xfId="0"/>
    <xf numFmtId="0" fontId="19" fillId="0" borderId="0" xfId="11" applyFont="1"/>
    <xf numFmtId="0" fontId="20" fillId="0" borderId="0" xfId="10" applyFont="1"/>
    <xf numFmtId="41" fontId="20" fillId="0" borderId="4" xfId="12" applyNumberFormat="1" applyFont="1" applyBorder="1"/>
    <xf numFmtId="42" fontId="21" fillId="0" borderId="1" xfId="12" applyNumberFormat="1" applyFont="1" applyBorder="1" applyAlignment="1">
      <alignment vertical="center"/>
    </xf>
    <xf numFmtId="42" fontId="21" fillId="0" borderId="1" xfId="12" applyNumberFormat="1" applyFont="1" applyBorder="1"/>
    <xf numFmtId="42" fontId="21" fillId="3" borderId="1" xfId="12" applyNumberFormat="1" applyFont="1" applyFill="1" applyBorder="1" applyAlignment="1">
      <alignment vertical="center"/>
    </xf>
    <xf numFmtId="43" fontId="21" fillId="3" borderId="2" xfId="4" applyFont="1" applyFill="1" applyBorder="1" applyAlignment="1">
      <alignment vertical="center"/>
    </xf>
    <xf numFmtId="43" fontId="21" fillId="3" borderId="1" xfId="4" applyFont="1" applyFill="1" applyBorder="1"/>
    <xf numFmtId="42" fontId="21" fillId="3" borderId="1" xfId="10" applyNumberFormat="1" applyFont="1" applyFill="1" applyBorder="1" applyAlignment="1">
      <alignment vertical="center"/>
    </xf>
    <xf numFmtId="9" fontId="21" fillId="3" borderId="1" xfId="12" applyNumberFormat="1" applyFont="1" applyFill="1" applyBorder="1" applyAlignment="1">
      <alignment horizontal="center"/>
    </xf>
    <xf numFmtId="43" fontId="20" fillId="0" borderId="0" xfId="4" applyFont="1" applyBorder="1"/>
    <xf numFmtId="166" fontId="20" fillId="0" borderId="0" xfId="12" applyNumberFormat="1" applyFont="1" applyBorder="1"/>
    <xf numFmtId="165" fontId="18" fillId="4" borderId="11" xfId="3" applyNumberFormat="1" applyFont="1" applyFill="1" applyBorder="1" applyAlignment="1">
      <alignment horizontal="right"/>
    </xf>
    <xf numFmtId="165" fontId="18" fillId="4" borderId="1" xfId="3" applyNumberFormat="1" applyFont="1" applyFill="1" applyBorder="1" applyAlignment="1">
      <alignment horizontal="right"/>
    </xf>
    <xf numFmtId="43" fontId="18" fillId="4" borderId="2" xfId="4" applyFont="1" applyFill="1" applyBorder="1"/>
    <xf numFmtId="43" fontId="21" fillId="0" borderId="9" xfId="4" applyFont="1" applyBorder="1"/>
    <xf numFmtId="167" fontId="20" fillId="0" borderId="0" xfId="4" applyNumberFormat="1" applyFont="1" applyBorder="1" applyAlignment="1">
      <alignment horizontal="right"/>
    </xf>
    <xf numFmtId="43" fontId="20" fillId="0" borderId="9" xfId="4" applyFont="1" applyBorder="1"/>
    <xf numFmtId="167" fontId="20" fillId="0" borderId="0" xfId="22" applyNumberFormat="1" applyFont="1" applyBorder="1"/>
    <xf numFmtId="0" fontId="18" fillId="4" borderId="1" xfId="3" applyFont="1" applyFill="1" applyBorder="1" applyAlignment="1">
      <alignment horizontal="center"/>
    </xf>
    <xf numFmtId="42" fontId="21" fillId="0" borderId="11" xfId="12" applyNumberFormat="1" applyFont="1" applyBorder="1" applyAlignment="1">
      <alignment vertical="center"/>
    </xf>
    <xf numFmtId="167" fontId="20" fillId="0" borderId="4" xfId="22" applyNumberFormat="1" applyFont="1" applyBorder="1"/>
    <xf numFmtId="167" fontId="20" fillId="0" borderId="4" xfId="4" applyNumberFormat="1" applyFont="1" applyBorder="1" applyAlignment="1">
      <alignment horizontal="right"/>
    </xf>
    <xf numFmtId="167" fontId="20" fillId="0" borderId="5" xfId="4" applyNumberFormat="1" applyFont="1" applyBorder="1"/>
    <xf numFmtId="9" fontId="20" fillId="0" borderId="0" xfId="14" applyFont="1" applyBorder="1" applyAlignment="1">
      <alignment horizontal="center"/>
    </xf>
    <xf numFmtId="167" fontId="20" fillId="0" borderId="9" xfId="4" applyNumberFormat="1" applyFont="1" applyFill="1" applyBorder="1" applyAlignment="1">
      <alignment horizontal="left"/>
    </xf>
    <xf numFmtId="42" fontId="21" fillId="0" borderId="0" xfId="12" applyNumberFormat="1" applyFont="1" applyBorder="1" applyAlignment="1">
      <alignment vertical="center"/>
    </xf>
    <xf numFmtId="42" fontId="20" fillId="0" borderId="9" xfId="12" applyNumberFormat="1" applyFont="1" applyBorder="1"/>
    <xf numFmtId="41" fontId="20" fillId="0" borderId="9" xfId="12" applyNumberFormat="1" applyFont="1" applyBorder="1"/>
    <xf numFmtId="168" fontId="20" fillId="0" borderId="4" xfId="15" applyNumberFormat="1" applyFont="1" applyBorder="1"/>
    <xf numFmtId="168" fontId="20" fillId="0" borderId="0" xfId="15" applyNumberFormat="1" applyFont="1" applyBorder="1"/>
    <xf numFmtId="42" fontId="20" fillId="0" borderId="0" xfId="12" applyNumberFormat="1" applyFont="1" applyBorder="1"/>
    <xf numFmtId="168" fontId="20" fillId="0" borderId="0" xfId="15" applyNumberFormat="1" applyFont="1" applyFill="1" applyBorder="1"/>
    <xf numFmtId="1" fontId="20" fillId="0" borderId="0" xfId="0" applyFont="1"/>
    <xf numFmtId="1" fontId="20" fillId="0" borderId="9" xfId="0" applyFont="1" applyBorder="1"/>
    <xf numFmtId="1" fontId="21" fillId="0" borderId="0" xfId="0" applyFont="1"/>
    <xf numFmtId="0" fontId="19" fillId="2" borderId="9" xfId="44" applyFont="1" applyFill="1" applyBorder="1"/>
    <xf numFmtId="174" fontId="19" fillId="6" borderId="0" xfId="44" applyNumberFormat="1" applyFont="1" applyFill="1" applyAlignment="1">
      <alignment horizontal="center"/>
    </xf>
    <xf numFmtId="164" fontId="20" fillId="0" borderId="0" xfId="1" applyFont="1" applyBorder="1" applyAlignment="1">
      <alignment horizontal="center" vertical="center"/>
    </xf>
    <xf numFmtId="0" fontId="23" fillId="2" borderId="12" xfId="44" applyFont="1" applyFill="1" applyBorder="1"/>
    <xf numFmtId="10" fontId="19" fillId="2" borderId="0" xfId="44" applyNumberFormat="1" applyFont="1" applyFill="1"/>
    <xf numFmtId="0" fontId="19" fillId="2" borderId="0" xfId="44" applyFont="1" applyFill="1"/>
    <xf numFmtId="0" fontId="19" fillId="2" borderId="10" xfId="44" applyFont="1" applyFill="1" applyBorder="1"/>
    <xf numFmtId="174" fontId="19" fillId="2" borderId="0" xfId="44" applyNumberFormat="1" applyFont="1" applyFill="1" applyAlignment="1">
      <alignment horizontal="center"/>
    </xf>
    <xf numFmtId="164" fontId="20" fillId="6" borderId="0" xfId="1" applyFont="1" applyFill="1" applyBorder="1" applyAlignment="1">
      <alignment horizontal="center" vertical="center"/>
    </xf>
    <xf numFmtId="0" fontId="19" fillId="2" borderId="5" xfId="44" applyFont="1" applyFill="1" applyBorder="1"/>
    <xf numFmtId="174" fontId="19" fillId="2" borderId="4" xfId="44" applyNumberFormat="1" applyFont="1" applyFill="1" applyBorder="1" applyAlignment="1">
      <alignment horizontal="center"/>
    </xf>
    <xf numFmtId="164" fontId="20" fillId="0" borderId="4" xfId="1" applyFont="1" applyBorder="1" applyAlignment="1">
      <alignment horizontal="center" vertical="center"/>
    </xf>
    <xf numFmtId="0" fontId="22" fillId="2" borderId="2" xfId="44" applyFont="1" applyFill="1" applyBorder="1"/>
    <xf numFmtId="174" fontId="19" fillId="2" borderId="1" xfId="44" applyNumberFormat="1" applyFont="1" applyFill="1" applyBorder="1" applyAlignment="1">
      <alignment horizontal="center"/>
    </xf>
    <xf numFmtId="164" fontId="20" fillId="6" borderId="1" xfId="1" applyFont="1" applyFill="1" applyBorder="1" applyAlignment="1">
      <alignment horizontal="center"/>
    </xf>
    <xf numFmtId="0" fontId="23" fillId="0" borderId="13" xfId="44" applyFont="1" applyBorder="1"/>
    <xf numFmtId="0" fontId="19" fillId="2" borderId="1" xfId="44" applyFont="1" applyFill="1" applyBorder="1"/>
    <xf numFmtId="0" fontId="19" fillId="2" borderId="11" xfId="44" applyFont="1" applyFill="1" applyBorder="1"/>
    <xf numFmtId="0" fontId="19" fillId="0" borderId="0" xfId="44" applyFont="1"/>
    <xf numFmtId="1" fontId="20" fillId="0" borderId="0" xfId="0" applyFont="1" applyAlignment="1">
      <alignment horizontal="center"/>
    </xf>
    <xf numFmtId="10" fontId="20" fillId="0" borderId="0" xfId="1" applyNumberFormat="1" applyFont="1"/>
    <xf numFmtId="164" fontId="20" fillId="0" borderId="0" xfId="1" applyFont="1"/>
    <xf numFmtId="164" fontId="21" fillId="7" borderId="0" xfId="1" applyFont="1" applyFill="1" applyAlignment="1">
      <alignment horizontal="center"/>
    </xf>
    <xf numFmtId="43" fontId="18" fillId="4" borderId="0" xfId="4" applyFont="1" applyFill="1" applyBorder="1"/>
    <xf numFmtId="43" fontId="18" fillId="4" borderId="8" xfId="4" applyFont="1" applyFill="1" applyBorder="1"/>
    <xf numFmtId="43" fontId="18" fillId="4" borderId="7" xfId="4" applyFont="1" applyFill="1" applyBorder="1"/>
    <xf numFmtId="43" fontId="18" fillId="4" borderId="6" xfId="4" applyFont="1" applyFill="1" applyBorder="1"/>
    <xf numFmtId="43" fontId="18" fillId="4" borderId="9" xfId="4" applyFont="1" applyFill="1" applyBorder="1"/>
    <xf numFmtId="43" fontId="18" fillId="4" borderId="10" xfId="4" applyFont="1" applyFill="1" applyBorder="1"/>
    <xf numFmtId="43" fontId="18" fillId="4" borderId="0" xfId="4" applyFont="1" applyFill="1" applyBorder="1" applyAlignment="1">
      <alignment horizontal="center"/>
    </xf>
    <xf numFmtId="43" fontId="18" fillId="4" borderId="0" xfId="4" applyFont="1" applyFill="1" applyBorder="1" applyAlignment="1">
      <alignment horizontal="right"/>
    </xf>
    <xf numFmtId="41" fontId="20" fillId="0" borderId="0" xfId="12" applyNumberFormat="1" applyFont="1" applyBorder="1"/>
    <xf numFmtId="43" fontId="18" fillId="4" borderId="7" xfId="4" applyFont="1" applyFill="1" applyBorder="1" applyAlignment="1">
      <alignment horizontal="center"/>
    </xf>
    <xf numFmtId="0" fontId="19" fillId="2" borderId="0" xfId="44" applyFont="1" applyFill="1" applyAlignment="1">
      <alignment horizontal="center"/>
    </xf>
    <xf numFmtId="43" fontId="18" fillId="4" borderId="7" xfId="4" applyFont="1" applyFill="1" applyBorder="1" applyAlignment="1">
      <alignment horizontal="left"/>
    </xf>
    <xf numFmtId="42" fontId="20" fillId="0" borderId="10" xfId="12" applyNumberFormat="1" applyFont="1" applyBorder="1"/>
    <xf numFmtId="42" fontId="21" fillId="0" borderId="6" xfId="12" applyNumberFormat="1" applyFont="1" applyBorder="1"/>
    <xf numFmtId="5" fontId="20" fillId="0" borderId="10" xfId="10" applyNumberFormat="1" applyFont="1" applyBorder="1" applyAlignment="1">
      <alignment horizontal="right"/>
    </xf>
    <xf numFmtId="168" fontId="20" fillId="0" borderId="10" xfId="15" applyNumberFormat="1" applyFont="1" applyBorder="1"/>
    <xf numFmtId="168" fontId="20" fillId="0" borderId="3" xfId="15" applyNumberFormat="1" applyFont="1" applyBorder="1"/>
    <xf numFmtId="42" fontId="21" fillId="0" borderId="2" xfId="12" applyNumberFormat="1" applyFont="1" applyBorder="1" applyAlignment="1">
      <alignment vertical="center"/>
    </xf>
    <xf numFmtId="167" fontId="21" fillId="0" borderId="0" xfId="4" applyNumberFormat="1" applyFont="1" applyBorder="1"/>
    <xf numFmtId="9" fontId="20" fillId="0" borderId="4" xfId="14" applyFont="1" applyBorder="1" applyAlignment="1">
      <alignment horizontal="center"/>
    </xf>
    <xf numFmtId="0" fontId="22" fillId="0" borderId="14" xfId="11" applyFont="1" applyBorder="1" applyAlignment="1">
      <alignment horizontal="left"/>
    </xf>
    <xf numFmtId="43" fontId="21" fillId="0" borderId="0" xfId="4" applyFont="1" applyBorder="1"/>
    <xf numFmtId="41" fontId="20" fillId="0" borderId="0" xfId="12" applyNumberFormat="1" applyFont="1" applyBorder="1" applyAlignment="1">
      <alignment vertical="center"/>
    </xf>
    <xf numFmtId="43" fontId="18" fillId="4" borderId="1" xfId="4" applyFont="1" applyFill="1" applyBorder="1"/>
    <xf numFmtId="43" fontId="18" fillId="0" borderId="0" xfId="4" applyFont="1" applyFill="1" applyBorder="1" applyAlignment="1">
      <alignment horizontal="right"/>
    </xf>
    <xf numFmtId="170" fontId="23" fillId="0" borderId="0" xfId="12" applyNumberFormat="1" applyFont="1" applyFill="1" applyBorder="1"/>
    <xf numFmtId="176" fontId="23" fillId="0" borderId="0" xfId="12" applyNumberFormat="1" applyFont="1" applyFill="1" applyBorder="1"/>
    <xf numFmtId="170" fontId="21" fillId="0" borderId="0" xfId="12" applyNumberFormat="1" applyFont="1" applyFill="1" applyBorder="1"/>
    <xf numFmtId="5" fontId="20" fillId="0" borderId="0" xfId="10" applyNumberFormat="1" applyFont="1" applyAlignment="1">
      <alignment horizontal="right"/>
    </xf>
    <xf numFmtId="170" fontId="21" fillId="0" borderId="0" xfId="12" applyNumberFormat="1" applyFont="1" applyFill="1" applyBorder="1" applyAlignment="1">
      <alignment vertical="center"/>
    </xf>
    <xf numFmtId="170" fontId="20" fillId="0" borderId="0" xfId="12" applyNumberFormat="1" applyFont="1" applyFill="1" applyBorder="1"/>
    <xf numFmtId="169" fontId="20" fillId="0" borderId="0" xfId="15" applyNumberFormat="1" applyFont="1" applyFill="1" applyBorder="1"/>
    <xf numFmtId="176" fontId="20" fillId="0" borderId="0" xfId="12" applyNumberFormat="1" applyFont="1" applyFill="1" applyBorder="1" applyAlignment="1">
      <alignment vertical="center"/>
    </xf>
    <xf numFmtId="42" fontId="21" fillId="0" borderId="0" xfId="12" applyNumberFormat="1" applyFont="1" applyFill="1" applyBorder="1" applyAlignment="1">
      <alignment vertical="center"/>
    </xf>
    <xf numFmtId="42" fontId="21" fillId="0" borderId="0" xfId="12" applyNumberFormat="1" applyFont="1" applyFill="1" applyBorder="1"/>
    <xf numFmtId="42" fontId="20" fillId="0" borderId="0" xfId="12" applyNumberFormat="1" applyFont="1" applyFill="1" applyBorder="1"/>
    <xf numFmtId="41" fontId="23" fillId="0" borderId="0" xfId="12" applyNumberFormat="1" applyFont="1" applyFill="1" applyBorder="1"/>
    <xf numFmtId="41" fontId="20" fillId="0" borderId="0" xfId="12" applyNumberFormat="1" applyFont="1" applyFill="1" applyBorder="1"/>
    <xf numFmtId="43" fontId="18" fillId="0" borderId="0" xfId="4" applyFont="1" applyFill="1" applyBorder="1" applyAlignment="1">
      <alignment horizontal="center"/>
    </xf>
    <xf numFmtId="42" fontId="23" fillId="0" borderId="0" xfId="12" applyNumberFormat="1" applyFont="1" applyFill="1" applyBorder="1"/>
    <xf numFmtId="41" fontId="20" fillId="0" borderId="0" xfId="12" applyNumberFormat="1" applyFont="1" applyFill="1" applyBorder="1" applyAlignment="1">
      <alignment vertical="center"/>
    </xf>
    <xf numFmtId="42" fontId="21" fillId="0" borderId="8" xfId="12" applyNumberFormat="1" applyFont="1" applyBorder="1"/>
    <xf numFmtId="0" fontId="19" fillId="0" borderId="4" xfId="11" applyFont="1" applyBorder="1"/>
    <xf numFmtId="43" fontId="20" fillId="0" borderId="4" xfId="4" applyFont="1" applyBorder="1"/>
    <xf numFmtId="167" fontId="20" fillId="0" borderId="9" xfId="4" applyNumberFormat="1" applyFont="1" applyBorder="1"/>
    <xf numFmtId="10" fontId="20" fillId="0" borderId="10" xfId="1" applyNumberFormat="1" applyFont="1" applyBorder="1"/>
    <xf numFmtId="43" fontId="20" fillId="0" borderId="5" xfId="4" applyFont="1" applyBorder="1"/>
    <xf numFmtId="9" fontId="20" fillId="0" borderId="0" xfId="14" applyFont="1" applyBorder="1" applyAlignment="1">
      <alignment horizontal="center" vertical="center"/>
    </xf>
    <xf numFmtId="164" fontId="20" fillId="0" borderId="10" xfId="13" applyNumberFormat="1" applyFont="1" applyBorder="1" applyAlignment="1">
      <alignment horizontal="right"/>
    </xf>
    <xf numFmtId="10" fontId="21" fillId="0" borderId="10" xfId="1" applyNumberFormat="1" applyFont="1" applyBorder="1" applyAlignment="1">
      <alignment horizontal="right"/>
    </xf>
    <xf numFmtId="9" fontId="20" fillId="0" borderId="4" xfId="14" applyFont="1" applyBorder="1" applyAlignment="1">
      <alignment horizontal="center" vertical="center"/>
    </xf>
    <xf numFmtId="43" fontId="18" fillId="4" borderId="1" xfId="4" applyFont="1" applyFill="1" applyBorder="1" applyAlignment="1">
      <alignment horizontal="right"/>
    </xf>
    <xf numFmtId="42" fontId="18" fillId="4" borderId="11" xfId="4" applyNumberFormat="1" applyFont="1" applyFill="1" applyBorder="1" applyAlignment="1">
      <alignment horizontal="right"/>
    </xf>
    <xf numFmtId="42" fontId="21" fillId="3" borderId="11" xfId="12" applyNumberFormat="1" applyFont="1" applyFill="1" applyBorder="1" applyAlignment="1">
      <alignment vertical="center"/>
    </xf>
    <xf numFmtId="9" fontId="21" fillId="0" borderId="0" xfId="14" applyFont="1" applyBorder="1" applyAlignment="1">
      <alignment horizontal="center"/>
    </xf>
    <xf numFmtId="168" fontId="20" fillId="2" borderId="9" xfId="15" applyNumberFormat="1" applyFont="1" applyFill="1" applyBorder="1"/>
    <xf numFmtId="166" fontId="20" fillId="2" borderId="9" xfId="16" applyNumberFormat="1" applyFont="1" applyFill="1" applyBorder="1"/>
    <xf numFmtId="42" fontId="22" fillId="0" borderId="8" xfId="0" applyNumberFormat="1" applyFont="1" applyBorder="1"/>
    <xf numFmtId="166" fontId="22" fillId="0" borderId="7" xfId="0" applyNumberFormat="1" applyFont="1" applyBorder="1"/>
    <xf numFmtId="42" fontId="21" fillId="0" borderId="11" xfId="12" applyNumberFormat="1" applyFont="1" applyBorder="1"/>
    <xf numFmtId="170" fontId="21" fillId="0" borderId="10" xfId="12" applyNumberFormat="1" applyFont="1" applyBorder="1"/>
    <xf numFmtId="170" fontId="20" fillId="0" borderId="10" xfId="12" applyNumberFormat="1" applyFont="1" applyBorder="1"/>
    <xf numFmtId="169" fontId="20" fillId="0" borderId="10" xfId="15" applyNumberFormat="1" applyFont="1" applyBorder="1"/>
    <xf numFmtId="0" fontId="20" fillId="0" borderId="0" xfId="3" applyFont="1"/>
    <xf numFmtId="43" fontId="20" fillId="0" borderId="10" xfId="22" applyFont="1" applyBorder="1"/>
    <xf numFmtId="43" fontId="20" fillId="0" borderId="3" xfId="22" applyFont="1" applyBorder="1"/>
    <xf numFmtId="1" fontId="20" fillId="0" borderId="10" xfId="0" applyFont="1" applyBorder="1"/>
    <xf numFmtId="167" fontId="20" fillId="0" borderId="5" xfId="4" applyNumberFormat="1" applyFont="1" applyFill="1" applyBorder="1" applyAlignment="1">
      <alignment horizontal="left"/>
    </xf>
    <xf numFmtId="10" fontId="21" fillId="0" borderId="0" xfId="1" applyNumberFormat="1" applyFont="1" applyBorder="1" applyAlignment="1">
      <alignment horizontal="right"/>
    </xf>
    <xf numFmtId="0" fontId="20" fillId="0" borderId="4" xfId="3" applyFont="1" applyBorder="1"/>
    <xf numFmtId="173" fontId="20" fillId="0" borderId="0" xfId="4" applyNumberFormat="1" applyFont="1" applyBorder="1" applyAlignment="1">
      <alignment horizontal="center"/>
    </xf>
    <xf numFmtId="9" fontId="20" fillId="0" borderId="0" xfId="11" applyNumberFormat="1" applyFont="1" applyAlignment="1">
      <alignment horizontal="center"/>
    </xf>
    <xf numFmtId="172" fontId="20" fillId="0" borderId="0" xfId="4" applyNumberFormat="1" applyFont="1" applyBorder="1" applyAlignment="1">
      <alignment horizontal="center"/>
    </xf>
    <xf numFmtId="41" fontId="21" fillId="0" borderId="0" xfId="10" applyNumberFormat="1" applyFont="1"/>
    <xf numFmtId="41" fontId="20" fillId="0" borderId="1" xfId="12" applyNumberFormat="1" applyFont="1" applyBorder="1"/>
    <xf numFmtId="5" fontId="20" fillId="0" borderId="1" xfId="10" applyNumberFormat="1" applyFont="1" applyBorder="1" applyAlignment="1">
      <alignment horizontal="right"/>
    </xf>
    <xf numFmtId="170" fontId="21" fillId="0" borderId="10" xfId="12" applyNumberFormat="1" applyFont="1" applyBorder="1" applyAlignment="1">
      <alignment vertical="center"/>
    </xf>
    <xf numFmtId="176" fontId="20" fillId="0" borderId="3" xfId="12" applyNumberFormat="1" applyFont="1" applyBorder="1" applyAlignment="1">
      <alignment vertical="center"/>
    </xf>
    <xf numFmtId="167" fontId="21" fillId="0" borderId="5" xfId="4" applyNumberFormat="1" applyFont="1" applyBorder="1"/>
    <xf numFmtId="167" fontId="21" fillId="8" borderId="2" xfId="4" applyNumberFormat="1" applyFont="1" applyFill="1" applyBorder="1"/>
    <xf numFmtId="167" fontId="21" fillId="8" borderId="1" xfId="4" applyNumberFormat="1" applyFont="1" applyFill="1" applyBorder="1"/>
    <xf numFmtId="167" fontId="21" fillId="8" borderId="1" xfId="4" applyNumberFormat="1" applyFont="1" applyFill="1" applyBorder="1" applyAlignment="1">
      <alignment horizontal="right"/>
    </xf>
    <xf numFmtId="42" fontId="21" fillId="8" borderId="1" xfId="12" applyNumberFormat="1" applyFont="1" applyFill="1" applyBorder="1" applyAlignment="1">
      <alignment vertical="center"/>
    </xf>
    <xf numFmtId="42" fontId="21" fillId="8" borderId="11" xfId="12" applyNumberFormat="1" applyFont="1" applyFill="1" applyBorder="1" applyAlignment="1">
      <alignment vertical="center"/>
    </xf>
    <xf numFmtId="0" fontId="19" fillId="8" borderId="1" xfId="11" applyFont="1" applyFill="1" applyBorder="1"/>
    <xf numFmtId="42" fontId="21" fillId="0" borderId="10" xfId="12" applyNumberFormat="1" applyFont="1" applyBorder="1" applyAlignment="1">
      <alignment vertical="center"/>
    </xf>
    <xf numFmtId="177" fontId="19" fillId="0" borderId="0" xfId="11" applyNumberFormat="1" applyFont="1"/>
    <xf numFmtId="10" fontId="23" fillId="8" borderId="1" xfId="1" applyNumberFormat="1" applyFont="1" applyFill="1" applyBorder="1" applyAlignment="1">
      <alignment horizontal="center"/>
    </xf>
    <xf numFmtId="10" fontId="21" fillId="8" borderId="11" xfId="1" applyNumberFormat="1" applyFont="1" applyFill="1" applyBorder="1" applyAlignment="1">
      <alignment horizontal="right"/>
    </xf>
    <xf numFmtId="168" fontId="20" fillId="0" borderId="10" xfId="3" applyNumberFormat="1" applyFont="1" applyBorder="1"/>
    <xf numFmtId="168" fontId="20" fillId="0" borderId="3" xfId="3" applyNumberFormat="1" applyFont="1" applyBorder="1"/>
    <xf numFmtId="167" fontId="21" fillId="0" borderId="9" xfId="4" applyNumberFormat="1" applyFont="1" applyBorder="1"/>
    <xf numFmtId="10" fontId="22" fillId="8" borderId="1" xfId="11" applyNumberFormat="1" applyFont="1" applyFill="1" applyBorder="1"/>
    <xf numFmtId="0" fontId="24" fillId="8" borderId="1" xfId="10" applyFont="1" applyFill="1" applyBorder="1"/>
    <xf numFmtId="0" fontId="22" fillId="8" borderId="1" xfId="11" applyFont="1" applyFill="1" applyBorder="1"/>
    <xf numFmtId="10" fontId="22" fillId="8" borderId="11" xfId="11" applyNumberFormat="1" applyFont="1" applyFill="1" applyBorder="1"/>
    <xf numFmtId="1" fontId="20" fillId="0" borderId="6" xfId="0" applyFont="1" applyBorder="1"/>
    <xf numFmtId="42" fontId="21" fillId="0" borderId="7" xfId="12" applyNumberFormat="1" applyFont="1" applyBorder="1" applyAlignment="1">
      <alignment vertical="center"/>
    </xf>
    <xf numFmtId="0" fontId="20" fillId="0" borderId="0" xfId="10" applyFont="1" applyAlignment="1">
      <alignment horizontal="center"/>
    </xf>
    <xf numFmtId="43" fontId="21" fillId="0" borderId="4" xfId="4" applyFont="1" applyBorder="1"/>
    <xf numFmtId="168" fontId="20" fillId="2" borderId="0" xfId="15" applyNumberFormat="1" applyFont="1" applyFill="1" applyBorder="1"/>
    <xf numFmtId="164" fontId="20" fillId="0" borderId="10" xfId="1" applyFont="1" applyBorder="1"/>
    <xf numFmtId="42" fontId="21" fillId="0" borderId="1" xfId="12" applyNumberFormat="1" applyFont="1" applyFill="1" applyBorder="1" applyAlignment="1">
      <alignment vertical="center"/>
    </xf>
    <xf numFmtId="164" fontId="20" fillId="0" borderId="11" xfId="1" applyFont="1" applyBorder="1"/>
    <xf numFmtId="10" fontId="24" fillId="9" borderId="1" xfId="10" applyNumberFormat="1" applyFont="1" applyFill="1" applyBorder="1" applyAlignment="1">
      <alignment horizontal="center"/>
    </xf>
    <xf numFmtId="0" fontId="22" fillId="0" borderId="15" xfId="11" applyFont="1" applyBorder="1" applyAlignment="1">
      <alignment horizontal="left" wrapText="1"/>
    </xf>
    <xf numFmtId="42" fontId="21" fillId="3" borderId="2" xfId="12" applyNumberFormat="1" applyFont="1" applyFill="1" applyBorder="1" applyAlignment="1">
      <alignment vertical="center"/>
    </xf>
    <xf numFmtId="10" fontId="21" fillId="8" borderId="1" xfId="10" applyNumberFormat="1" applyFont="1" applyFill="1" applyBorder="1" applyAlignment="1">
      <alignment horizontal="center"/>
    </xf>
    <xf numFmtId="42" fontId="23" fillId="9" borderId="0" xfId="12" applyNumberFormat="1" applyFont="1" applyFill="1" applyBorder="1" applyAlignment="1">
      <alignment vertical="center"/>
    </xf>
    <xf numFmtId="42" fontId="20" fillId="0" borderId="1" xfId="12" applyNumberFormat="1" applyFont="1" applyBorder="1" applyAlignment="1">
      <alignment vertical="center"/>
    </xf>
    <xf numFmtId="10" fontId="20" fillId="0" borderId="0" xfId="1" applyNumberFormat="1" applyFont="1" applyBorder="1"/>
    <xf numFmtId="164" fontId="20" fillId="0" borderId="0" xfId="1" applyFont="1" applyBorder="1"/>
    <xf numFmtId="166" fontId="23" fillId="9" borderId="5" xfId="12" applyNumberFormat="1" applyFont="1" applyFill="1" applyBorder="1"/>
    <xf numFmtId="0" fontId="19" fillId="9" borderId="17" xfId="11" applyFont="1" applyFill="1" applyBorder="1"/>
    <xf numFmtId="0" fontId="23" fillId="9" borderId="16" xfId="11" applyFont="1" applyFill="1" applyBorder="1" applyAlignment="1">
      <alignment vertical="top"/>
    </xf>
    <xf numFmtId="0" fontId="18" fillId="4" borderId="2" xfId="3" applyFont="1" applyFill="1" applyBorder="1" applyAlignment="1">
      <alignment horizontal="center"/>
    </xf>
    <xf numFmtId="165" fontId="18" fillId="4" borderId="1" xfId="3" applyNumberFormat="1" applyFont="1" applyFill="1" applyBorder="1" applyAlignment="1">
      <alignment horizontal="center"/>
    </xf>
    <xf numFmtId="43" fontId="18" fillId="4" borderId="2" xfId="4" applyFont="1" applyFill="1" applyBorder="1" applyAlignment="1">
      <alignment horizontal="right"/>
    </xf>
    <xf numFmtId="43" fontId="18" fillId="4" borderId="11" xfId="4" applyFont="1" applyFill="1" applyBorder="1" applyAlignment="1">
      <alignment horizontal="right"/>
    </xf>
    <xf numFmtId="43" fontId="18" fillId="4" borderId="2" xfId="4" applyFont="1" applyFill="1" applyBorder="1" applyAlignment="1">
      <alignment horizontal="left"/>
    </xf>
    <xf numFmtId="43" fontId="18" fillId="4" borderId="11" xfId="4" applyFont="1" applyFill="1" applyBorder="1" applyAlignment="1">
      <alignment horizontal="center"/>
    </xf>
    <xf numFmtId="43" fontId="18" fillId="4" borderId="1" xfId="4" applyFont="1" applyFill="1" applyBorder="1" applyAlignment="1">
      <alignment horizontal="center"/>
    </xf>
    <xf numFmtId="43" fontId="18" fillId="4" borderId="2" xfId="4" applyFont="1" applyFill="1" applyBorder="1" applyAlignment="1"/>
    <xf numFmtId="43" fontId="18" fillId="4" borderId="1" xfId="4" applyFont="1" applyFill="1" applyBorder="1" applyAlignment="1"/>
    <xf numFmtId="43" fontId="18" fillId="4" borderId="11" xfId="4" applyFont="1" applyFill="1" applyBorder="1" applyAlignment="1"/>
    <xf numFmtId="43" fontId="18" fillId="4" borderId="1" xfId="4" applyFont="1" applyFill="1" applyBorder="1" applyAlignment="1">
      <alignment horizontal="left"/>
    </xf>
    <xf numFmtId="43" fontId="18" fillId="4" borderId="11" xfId="4" applyFont="1" applyFill="1" applyBorder="1" applyAlignment="1">
      <alignment horizontal="left"/>
    </xf>
    <xf numFmtId="42" fontId="21" fillId="0" borderId="5" xfId="12" applyNumberFormat="1" applyFont="1" applyBorder="1" applyAlignment="1">
      <alignment vertical="center"/>
    </xf>
    <xf numFmtId="42" fontId="21" fillId="0" borderId="4" xfId="12" applyNumberFormat="1" applyFont="1" applyBorder="1" applyAlignment="1">
      <alignment vertical="center"/>
    </xf>
    <xf numFmtId="1" fontId="20" fillId="0" borderId="0" xfId="0" applyFont="1" applyAlignment="1">
      <alignment horizontal="left"/>
    </xf>
    <xf numFmtId="42" fontId="21" fillId="0" borderId="8" xfId="12" applyNumberFormat="1" applyFont="1" applyFill="1" applyBorder="1"/>
    <xf numFmtId="41" fontId="20" fillId="0" borderId="9" xfId="12" applyNumberFormat="1" applyFont="1" applyFill="1" applyBorder="1"/>
    <xf numFmtId="166" fontId="20" fillId="0" borderId="5" xfId="12" applyNumberFormat="1" applyFont="1" applyFill="1" applyBorder="1"/>
    <xf numFmtId="168" fontId="20" fillId="0" borderId="9" xfId="15" applyNumberFormat="1" applyFont="1" applyFill="1" applyBorder="1"/>
    <xf numFmtId="42" fontId="21" fillId="0" borderId="7" xfId="12" applyNumberFormat="1" applyFont="1" applyFill="1" applyBorder="1"/>
    <xf numFmtId="166" fontId="20" fillId="0" borderId="4" xfId="12" applyNumberFormat="1" applyFont="1" applyFill="1" applyBorder="1"/>
    <xf numFmtId="0" fontId="19" fillId="0" borderId="0" xfId="11" applyFont="1" applyAlignment="1">
      <alignment horizontal="right"/>
    </xf>
    <xf numFmtId="43" fontId="18" fillId="4" borderId="8" xfId="4" applyFont="1" applyFill="1" applyBorder="1" applyAlignment="1">
      <alignment horizontal="right"/>
    </xf>
    <xf numFmtId="43" fontId="18" fillId="4" borderId="7" xfId="4" applyFont="1" applyFill="1" applyBorder="1" applyAlignment="1">
      <alignment horizontal="right"/>
    </xf>
    <xf numFmtId="43" fontId="18" fillId="4" borderId="6" xfId="4" applyFont="1" applyFill="1" applyBorder="1" applyAlignment="1">
      <alignment horizontal="right"/>
    </xf>
    <xf numFmtId="42" fontId="21" fillId="0" borderId="9" xfId="12" applyNumberFormat="1" applyFont="1" applyFill="1" applyBorder="1" applyAlignment="1">
      <alignment vertical="center"/>
    </xf>
    <xf numFmtId="42" fontId="20" fillId="0" borderId="8" xfId="12" applyNumberFormat="1" applyFont="1" applyBorder="1"/>
    <xf numFmtId="42" fontId="20" fillId="0" borderId="7" xfId="12" applyNumberFormat="1" applyFont="1" applyBorder="1"/>
    <xf numFmtId="41" fontId="20" fillId="0" borderId="5" xfId="12" applyNumberFormat="1" applyFont="1" applyBorder="1"/>
    <xf numFmtId="42" fontId="20" fillId="0" borderId="8" xfId="12" applyNumberFormat="1" applyFont="1" applyFill="1" applyBorder="1"/>
    <xf numFmtId="42" fontId="20" fillId="0" borderId="7" xfId="12" applyNumberFormat="1" applyFont="1" applyFill="1" applyBorder="1"/>
    <xf numFmtId="168" fontId="20" fillId="0" borderId="5" xfId="15" applyNumberFormat="1" applyFont="1" applyFill="1" applyBorder="1"/>
    <xf numFmtId="168" fontId="20" fillId="0" borderId="4" xfId="15" applyNumberFormat="1" applyFont="1" applyFill="1" applyBorder="1"/>
    <xf numFmtId="0" fontId="29" fillId="0" borderId="0" xfId="11" applyFont="1" applyAlignment="1">
      <alignment horizontal="right"/>
    </xf>
    <xf numFmtId="0" fontId="29" fillId="0" borderId="0" xfId="11" applyFont="1"/>
    <xf numFmtId="43" fontId="20" fillId="2" borderId="9" xfId="4" applyFont="1" applyFill="1" applyBorder="1"/>
    <xf numFmtId="164" fontId="20" fillId="0" borderId="0" xfId="13" applyNumberFormat="1" applyFont="1" applyBorder="1" applyAlignment="1">
      <alignment horizontal="right"/>
    </xf>
    <xf numFmtId="171" fontId="20" fillId="0" borderId="10" xfId="10" applyNumberFormat="1" applyFont="1" applyBorder="1" applyAlignment="1">
      <alignment horizontal="right" vertical="center" wrapText="1"/>
    </xf>
    <xf numFmtId="42" fontId="20" fillId="0" borderId="4" xfId="12" applyNumberFormat="1" applyFont="1" applyBorder="1"/>
    <xf numFmtId="10" fontId="23" fillId="9" borderId="11" xfId="1" applyNumberFormat="1" applyFont="1" applyFill="1" applyBorder="1"/>
    <xf numFmtId="0" fontId="19" fillId="0" borderId="10" xfId="11" applyFont="1" applyBorder="1"/>
    <xf numFmtId="0" fontId="19" fillId="0" borderId="3" xfId="11" applyFont="1" applyBorder="1"/>
    <xf numFmtId="167" fontId="20" fillId="0" borderId="2" xfId="4" applyNumberFormat="1" applyFont="1" applyFill="1" applyBorder="1"/>
    <xf numFmtId="10" fontId="23" fillId="0" borderId="1" xfId="1" applyNumberFormat="1" applyFont="1" applyBorder="1" applyAlignment="1">
      <alignment horizontal="center"/>
    </xf>
    <xf numFmtId="0" fontId="19" fillId="0" borderId="7" xfId="11" applyFont="1" applyBorder="1"/>
    <xf numFmtId="43" fontId="20" fillId="0" borderId="8" xfId="4" applyFont="1" applyBorder="1"/>
    <xf numFmtId="0" fontId="19" fillId="0" borderId="6" xfId="11" applyFont="1" applyBorder="1"/>
    <xf numFmtId="0" fontId="22" fillId="8" borderId="11" xfId="11" applyFont="1" applyFill="1" applyBorder="1"/>
    <xf numFmtId="167" fontId="20" fillId="0" borderId="8" xfId="4" applyNumberFormat="1" applyFont="1" applyFill="1" applyBorder="1" applyAlignment="1">
      <alignment horizontal="left"/>
    </xf>
    <xf numFmtId="10" fontId="20" fillId="0" borderId="7" xfId="1" applyNumberFormat="1" applyFont="1" applyBorder="1"/>
    <xf numFmtId="166" fontId="19" fillId="0" borderId="7" xfId="11" applyNumberFormat="1" applyFont="1" applyBorder="1"/>
    <xf numFmtId="166" fontId="22" fillId="8" borderId="1" xfId="11" applyNumberFormat="1" applyFont="1" applyFill="1" applyBorder="1"/>
    <xf numFmtId="167" fontId="20" fillId="0" borderId="8" xfId="4" applyNumberFormat="1" applyFont="1" applyBorder="1"/>
    <xf numFmtId="168" fontId="20" fillId="5" borderId="0" xfId="15" applyNumberFormat="1" applyFont="1" applyFill="1" applyBorder="1"/>
    <xf numFmtId="164" fontId="20" fillId="5" borderId="10" xfId="1" applyFont="1" applyFill="1" applyBorder="1"/>
    <xf numFmtId="0" fontId="18" fillId="4" borderId="7" xfId="3" applyFont="1" applyFill="1" applyBorder="1" applyAlignment="1">
      <alignment horizontal="center"/>
    </xf>
    <xf numFmtId="165" fontId="18" fillId="4" borderId="7" xfId="3" applyNumberFormat="1" applyFont="1" applyFill="1" applyBorder="1" applyAlignment="1">
      <alignment horizontal="center"/>
    </xf>
    <xf numFmtId="165" fontId="18" fillId="4" borderId="7" xfId="3" applyNumberFormat="1" applyFont="1" applyFill="1" applyBorder="1" applyAlignment="1">
      <alignment horizontal="right"/>
    </xf>
    <xf numFmtId="165" fontId="18" fillId="4" borderId="6" xfId="3" applyNumberFormat="1" applyFont="1" applyFill="1" applyBorder="1" applyAlignment="1">
      <alignment horizontal="right"/>
    </xf>
    <xf numFmtId="43" fontId="20" fillId="0" borderId="7" xfId="4" applyFont="1" applyBorder="1"/>
    <xf numFmtId="166" fontId="20" fillId="0" borderId="7" xfId="12" applyNumberFormat="1" applyFont="1" applyBorder="1"/>
    <xf numFmtId="44" fontId="20" fillId="0" borderId="6" xfId="12" applyFont="1" applyBorder="1"/>
    <xf numFmtId="164" fontId="20" fillId="0" borderId="6" xfId="1" applyFont="1" applyBorder="1" applyAlignment="1">
      <alignment horizontal="right"/>
    </xf>
    <xf numFmtId="164" fontId="20" fillId="0" borderId="3" xfId="1" applyFont="1" applyBorder="1" applyAlignment="1">
      <alignment horizontal="right"/>
    </xf>
    <xf numFmtId="164" fontId="20" fillId="0" borderId="10" xfId="1" applyFont="1" applyBorder="1" applyAlignment="1">
      <alignment horizontal="right"/>
    </xf>
    <xf numFmtId="164" fontId="21" fillId="0" borderId="6" xfId="1" applyFont="1" applyBorder="1" applyAlignment="1">
      <alignment horizontal="right"/>
    </xf>
    <xf numFmtId="164" fontId="21" fillId="0" borderId="10" xfId="1" applyFont="1" applyBorder="1" applyAlignment="1">
      <alignment horizontal="right"/>
    </xf>
    <xf numFmtId="164" fontId="21" fillId="0" borderId="3" xfId="1" applyFont="1" applyBorder="1" applyAlignment="1">
      <alignment horizontal="right"/>
    </xf>
    <xf numFmtId="43" fontId="21" fillId="0" borderId="8" xfId="4" applyFont="1" applyBorder="1"/>
    <xf numFmtId="43" fontId="21" fillId="0" borderId="7" xfId="4" applyFont="1" applyBorder="1"/>
    <xf numFmtId="3" fontId="21" fillId="0" borderId="7" xfId="3" applyNumberFormat="1" applyFont="1" applyBorder="1" applyAlignment="1">
      <alignment horizontal="center"/>
    </xf>
    <xf numFmtId="166" fontId="21" fillId="0" borderId="7" xfId="12" applyNumberFormat="1" applyFont="1" applyFill="1" applyBorder="1"/>
    <xf numFmtId="166" fontId="21" fillId="0" borderId="7" xfId="12" applyNumberFormat="1" applyFont="1" applyBorder="1"/>
    <xf numFmtId="44" fontId="21" fillId="0" borderId="6" xfId="12" applyFont="1" applyBorder="1"/>
    <xf numFmtId="42" fontId="20" fillId="0" borderId="8" xfId="0" applyNumberFormat="1" applyFont="1" applyFill="1" applyBorder="1"/>
    <xf numFmtId="42" fontId="20" fillId="0" borderId="7" xfId="0" applyNumberFormat="1" applyFont="1" applyFill="1" applyBorder="1"/>
    <xf numFmtId="0" fontId="20" fillId="0" borderId="4" xfId="10" applyFont="1" applyBorder="1" applyAlignment="1">
      <alignment horizontal="center"/>
    </xf>
    <xf numFmtId="42" fontId="22" fillId="8" borderId="7" xfId="11" applyNumberFormat="1" applyFont="1" applyFill="1" applyBorder="1"/>
    <xf numFmtId="41" fontId="23" fillId="9" borderId="18" xfId="12" applyNumberFormat="1" applyFont="1" applyFill="1" applyBorder="1"/>
    <xf numFmtId="10" fontId="23" fillId="9" borderId="18" xfId="10" applyNumberFormat="1" applyFont="1" applyFill="1" applyBorder="1" applyAlignment="1">
      <alignment horizontal="right"/>
    </xf>
    <xf numFmtId="43" fontId="21" fillId="8" borderId="8" xfId="4" applyFont="1" applyFill="1" applyBorder="1"/>
    <xf numFmtId="0" fontId="22" fillId="8" borderId="7" xfId="11" applyFont="1" applyFill="1" applyBorder="1"/>
    <xf numFmtId="41" fontId="23" fillId="9" borderId="20" xfId="12" applyNumberFormat="1" applyFont="1" applyFill="1" applyBorder="1" applyAlignment="1">
      <alignment horizontal="right"/>
    </xf>
    <xf numFmtId="173" fontId="23" fillId="9" borderId="18" xfId="4" applyNumberFormat="1" applyFont="1" applyFill="1" applyBorder="1" applyAlignment="1">
      <alignment horizontal="center"/>
    </xf>
    <xf numFmtId="9" fontId="23" fillId="9" borderId="18" xfId="11" applyNumberFormat="1" applyFont="1" applyFill="1" applyBorder="1" applyAlignment="1">
      <alignment horizontal="center"/>
    </xf>
    <xf numFmtId="172" fontId="23" fillId="9" borderId="18" xfId="4" applyNumberFormat="1" applyFont="1" applyFill="1" applyBorder="1" applyAlignment="1">
      <alignment horizontal="center"/>
    </xf>
    <xf numFmtId="168" fontId="20" fillId="5" borderId="18" xfId="15" applyNumberFormat="1" applyFont="1" applyFill="1" applyBorder="1"/>
    <xf numFmtId="10" fontId="21" fillId="8" borderId="1" xfId="12" applyNumberFormat="1" applyFont="1" applyFill="1" applyBorder="1" applyAlignment="1">
      <alignment horizontal="right"/>
    </xf>
    <xf numFmtId="0" fontId="23" fillId="9" borderId="7" xfId="11" applyFont="1" applyFill="1" applyBorder="1"/>
    <xf numFmtId="0" fontId="19" fillId="9" borderId="7" xfId="11" applyFont="1" applyFill="1" applyBorder="1"/>
    <xf numFmtId="10" fontId="23" fillId="9" borderId="20" xfId="1" applyNumberFormat="1" applyFont="1" applyFill="1" applyBorder="1" applyAlignment="1">
      <alignment horizontal="right"/>
    </xf>
    <xf numFmtId="10" fontId="23" fillId="9" borderId="21" xfId="1" applyNumberFormat="1" applyFont="1" applyFill="1" applyBorder="1" applyAlignment="1">
      <alignment horizontal="right"/>
    </xf>
    <xf numFmtId="10" fontId="23" fillId="9" borderId="19" xfId="1" applyNumberFormat="1" applyFont="1" applyFill="1" applyBorder="1" applyAlignment="1">
      <alignment horizontal="right"/>
    </xf>
    <xf numFmtId="10" fontId="23" fillId="9" borderId="23" xfId="1" applyNumberFormat="1" applyFont="1" applyFill="1" applyBorder="1" applyAlignment="1">
      <alignment horizontal="right"/>
    </xf>
    <xf numFmtId="10" fontId="20" fillId="0" borderId="3" xfId="1" applyNumberFormat="1" applyFont="1" applyBorder="1"/>
    <xf numFmtId="0" fontId="23" fillId="9" borderId="26" xfId="11" applyFont="1" applyFill="1" applyBorder="1"/>
    <xf numFmtId="0" fontId="19" fillId="9" borderId="25" xfId="11" applyFont="1" applyFill="1" applyBorder="1"/>
    <xf numFmtId="0" fontId="23" fillId="9" borderId="27" xfId="11" applyFont="1" applyFill="1" applyBorder="1"/>
    <xf numFmtId="0" fontId="19" fillId="9" borderId="27" xfId="11" applyFont="1" applyFill="1" applyBorder="1"/>
    <xf numFmtId="42" fontId="23" fillId="9" borderId="28" xfId="12" applyNumberFormat="1" applyFont="1" applyFill="1" applyBorder="1"/>
    <xf numFmtId="41" fontId="23" fillId="9" borderId="27" xfId="12" applyNumberFormat="1" applyFont="1" applyFill="1" applyBorder="1"/>
    <xf numFmtId="41" fontId="23" fillId="9" borderId="29" xfId="12" applyNumberFormat="1" applyFont="1" applyFill="1" applyBorder="1"/>
    <xf numFmtId="42" fontId="23" fillId="9" borderId="30" xfId="12" applyNumberFormat="1" applyFont="1" applyFill="1" applyBorder="1"/>
    <xf numFmtId="41" fontId="23" fillId="9" borderId="31" xfId="12" applyNumberFormat="1" applyFont="1" applyFill="1" applyBorder="1"/>
    <xf numFmtId="41" fontId="23" fillId="9" borderId="32" xfId="12" applyNumberFormat="1" applyFont="1" applyFill="1" applyBorder="1"/>
    <xf numFmtId="166" fontId="23" fillId="9" borderId="33" xfId="16" applyNumberFormat="1" applyFont="1" applyFill="1" applyBorder="1"/>
    <xf numFmtId="168" fontId="23" fillId="9" borderId="34" xfId="15" applyNumberFormat="1" applyFont="1" applyFill="1" applyBorder="1"/>
    <xf numFmtId="168" fontId="23" fillId="9" borderId="35" xfId="15" applyNumberFormat="1" applyFont="1" applyFill="1" applyBorder="1"/>
    <xf numFmtId="41" fontId="23" fillId="9" borderId="34" xfId="12" applyNumberFormat="1" applyFont="1" applyFill="1" applyBorder="1"/>
    <xf numFmtId="42" fontId="21" fillId="8" borderId="4" xfId="12" applyNumberFormat="1" applyFont="1" applyFill="1" applyBorder="1" applyAlignment="1">
      <alignment vertical="center"/>
    </xf>
    <xf numFmtId="0" fontId="22" fillId="0" borderId="0" xfId="11" applyFont="1" applyAlignment="1">
      <alignment horizontal="left"/>
    </xf>
    <xf numFmtId="9" fontId="23" fillId="9" borderId="0" xfId="1" applyNumberFormat="1" applyFont="1" applyFill="1" applyBorder="1"/>
    <xf numFmtId="164" fontId="20" fillId="0" borderId="4" xfId="1" applyFont="1" applyBorder="1"/>
    <xf numFmtId="9" fontId="20" fillId="0" borderId="7" xfId="14" applyFont="1" applyBorder="1" applyAlignment="1">
      <alignment horizontal="center" vertical="center"/>
    </xf>
    <xf numFmtId="42" fontId="21" fillId="0" borderId="6" xfId="12" applyNumberFormat="1" applyFont="1" applyBorder="1" applyAlignment="1">
      <alignment vertical="center"/>
    </xf>
    <xf numFmtId="0" fontId="18" fillId="4" borderId="1" xfId="3" applyFont="1" applyFill="1" applyBorder="1" applyAlignment="1">
      <alignment horizontal="left"/>
    </xf>
    <xf numFmtId="166" fontId="20" fillId="0" borderId="4" xfId="12" applyNumberFormat="1" applyFont="1" applyBorder="1"/>
    <xf numFmtId="10" fontId="23" fillId="9" borderId="4" xfId="1" applyNumberFormat="1" applyFont="1" applyFill="1" applyBorder="1"/>
    <xf numFmtId="41" fontId="19" fillId="0" borderId="4" xfId="11" applyNumberFormat="1" applyFont="1" applyBorder="1"/>
    <xf numFmtId="0" fontId="19" fillId="9" borderId="31" xfId="11" applyFont="1" applyFill="1" applyBorder="1"/>
    <xf numFmtId="0" fontId="22" fillId="0" borderId="7" xfId="11" applyFont="1" applyBorder="1" applyAlignment="1">
      <alignment horizontal="left"/>
    </xf>
    <xf numFmtId="0" fontId="19" fillId="9" borderId="28" xfId="11" applyFont="1" applyFill="1" applyBorder="1"/>
    <xf numFmtId="0" fontId="19" fillId="9" borderId="30" xfId="11" applyFont="1" applyFill="1" applyBorder="1"/>
    <xf numFmtId="0" fontId="30" fillId="0" borderId="7" xfId="11" applyFont="1" applyBorder="1"/>
    <xf numFmtId="10" fontId="30" fillId="0" borderId="0" xfId="1" applyNumberFormat="1" applyFont="1" applyBorder="1"/>
    <xf numFmtId="10" fontId="30" fillId="0" borderId="0" xfId="1" applyNumberFormat="1" applyFont="1" applyBorder="1" applyAlignment="1">
      <alignment horizontal="center"/>
    </xf>
    <xf numFmtId="0" fontId="30" fillId="0" borderId="4" xfId="11" applyFont="1" applyBorder="1"/>
    <xf numFmtId="43" fontId="21" fillId="0" borderId="5" xfId="4" applyFont="1" applyBorder="1"/>
    <xf numFmtId="42" fontId="19" fillId="0" borderId="6" xfId="11" applyNumberFormat="1" applyFont="1" applyBorder="1"/>
    <xf numFmtId="179" fontId="19" fillId="0" borderId="0" xfId="0" applyNumberFormat="1" applyFont="1"/>
    <xf numFmtId="43" fontId="21" fillId="8" borderId="2" xfId="4" applyFont="1" applyFill="1" applyBorder="1"/>
    <xf numFmtId="9" fontId="23" fillId="9" borderId="44" xfId="1" applyNumberFormat="1" applyFont="1" applyFill="1" applyBorder="1"/>
    <xf numFmtId="10" fontId="23" fillId="9" borderId="45" xfId="1" applyNumberFormat="1" applyFont="1" applyFill="1" applyBorder="1"/>
    <xf numFmtId="42" fontId="19" fillId="0" borderId="7" xfId="11" applyNumberFormat="1" applyFont="1" applyBorder="1"/>
    <xf numFmtId="0" fontId="19" fillId="0" borderId="5" xfId="11" applyFont="1" applyBorder="1"/>
    <xf numFmtId="42" fontId="22" fillId="8" borderId="1" xfId="11" applyNumberFormat="1" applyFont="1" applyFill="1" applyBorder="1"/>
    <xf numFmtId="2" fontId="20" fillId="0" borderId="0" xfId="10" applyNumberFormat="1" applyFont="1" applyAlignment="1">
      <alignment horizontal="right" vertical="center" wrapText="1"/>
    </xf>
    <xf numFmtId="0" fontId="18" fillId="4" borderId="1" xfId="3" applyFont="1" applyFill="1" applyBorder="1" applyAlignment="1">
      <alignment horizontal="right"/>
    </xf>
    <xf numFmtId="0" fontId="19" fillId="2" borderId="9" xfId="59" applyFont="1" applyFill="1" applyBorder="1" applyAlignment="1">
      <alignment horizontal="center"/>
    </xf>
    <xf numFmtId="0" fontId="19" fillId="2" borderId="0" xfId="59" applyFont="1" applyFill="1"/>
    <xf numFmtId="0" fontId="19" fillId="2" borderId="0" xfId="59" applyFont="1" applyFill="1" applyAlignment="1">
      <alignment horizontal="center"/>
    </xf>
    <xf numFmtId="166" fontId="20" fillId="2" borderId="0" xfId="61" quotePrefix="1" applyNumberFormat="1" applyFont="1" applyFill="1" applyBorder="1" applyAlignment="1"/>
    <xf numFmtId="180" fontId="20" fillId="2" borderId="48" xfId="59" applyNumberFormat="1" applyFont="1" applyFill="1" applyBorder="1"/>
    <xf numFmtId="37" fontId="20" fillId="2" borderId="0" xfId="61" quotePrefix="1" applyNumberFormat="1" applyFont="1" applyFill="1" applyBorder="1" applyAlignment="1"/>
    <xf numFmtId="180" fontId="20" fillId="2" borderId="46" xfId="59" applyNumberFormat="1" applyFont="1" applyFill="1" applyBorder="1"/>
    <xf numFmtId="0" fontId="19" fillId="2" borderId="5" xfId="59" applyFont="1" applyFill="1" applyBorder="1" applyAlignment="1">
      <alignment horizontal="center"/>
    </xf>
    <xf numFmtId="0" fontId="19" fillId="2" borderId="4" xfId="59" applyFont="1" applyFill="1" applyBorder="1"/>
    <xf numFmtId="0" fontId="19" fillId="2" borderId="4" xfId="59" applyFont="1" applyFill="1" applyBorder="1" applyAlignment="1">
      <alignment horizontal="center"/>
    </xf>
    <xf numFmtId="37" fontId="20" fillId="2" borderId="4" xfId="61" quotePrefix="1" applyNumberFormat="1" applyFont="1" applyFill="1" applyBorder="1" applyAlignment="1"/>
    <xf numFmtId="180" fontId="20" fillId="2" borderId="47" xfId="59" applyNumberFormat="1" applyFont="1" applyFill="1" applyBorder="1"/>
    <xf numFmtId="3" fontId="18" fillId="4" borderId="1" xfId="3" applyNumberFormat="1" applyFont="1" applyFill="1" applyBorder="1" applyAlignment="1">
      <alignment horizontal="right"/>
    </xf>
    <xf numFmtId="37" fontId="20" fillId="2" borderId="0" xfId="61" quotePrefix="1" applyNumberFormat="1" applyFont="1" applyFill="1" applyBorder="1"/>
    <xf numFmtId="180" fontId="20" fillId="2" borderId="10" xfId="59" applyNumberFormat="1" applyFont="1" applyFill="1" applyBorder="1"/>
    <xf numFmtId="43" fontId="20" fillId="0" borderId="0" xfId="10" applyNumberFormat="1" applyFont="1" applyAlignment="1">
      <alignment horizontal="right" vertical="center" wrapText="1"/>
    </xf>
    <xf numFmtId="0" fontId="23" fillId="9" borderId="27" xfId="11" applyFont="1" applyFill="1" applyBorder="1" applyAlignment="1">
      <alignment horizontal="left"/>
    </xf>
    <xf numFmtId="167" fontId="20" fillId="5" borderId="4" xfId="4" applyNumberFormat="1" applyFont="1" applyFill="1" applyBorder="1" applyAlignment="1">
      <alignment horizontal="right"/>
    </xf>
    <xf numFmtId="164" fontId="20" fillId="2" borderId="10" xfId="1" applyFont="1" applyFill="1" applyBorder="1"/>
    <xf numFmtId="168" fontId="20" fillId="5" borderId="9" xfId="15" applyNumberFormat="1" applyFont="1" applyFill="1" applyBorder="1"/>
    <xf numFmtId="168" fontId="20" fillId="0" borderId="1" xfId="15" applyNumberFormat="1" applyFont="1" applyBorder="1"/>
    <xf numFmtId="43" fontId="20" fillId="0" borderId="10" xfId="22" applyFont="1" applyBorder="1" applyAlignment="1">
      <alignment horizontal="right"/>
    </xf>
    <xf numFmtId="1" fontId="20" fillId="0" borderId="45" xfId="0" applyFont="1" applyBorder="1"/>
    <xf numFmtId="43" fontId="20" fillId="0" borderId="3" xfId="22" applyFont="1" applyBorder="1" applyAlignment="1">
      <alignment horizontal="right"/>
    </xf>
    <xf numFmtId="43" fontId="21" fillId="10" borderId="2" xfId="4" applyFont="1" applyFill="1" applyBorder="1"/>
    <xf numFmtId="43" fontId="21" fillId="10" borderId="1" xfId="4" applyFont="1" applyFill="1" applyBorder="1"/>
    <xf numFmtId="1" fontId="20" fillId="10" borderId="1" xfId="0" applyFont="1" applyFill="1" applyBorder="1"/>
    <xf numFmtId="3" fontId="21" fillId="10" borderId="1" xfId="3" applyNumberFormat="1" applyFont="1" applyFill="1" applyBorder="1" applyAlignment="1">
      <alignment horizontal="center"/>
    </xf>
    <xf numFmtId="166" fontId="21" fillId="10" borderId="1" xfId="12" applyNumberFormat="1" applyFont="1" applyFill="1" applyBorder="1"/>
    <xf numFmtId="166" fontId="21" fillId="10" borderId="1" xfId="12" applyNumberFormat="1" applyFont="1" applyFill="1" applyBorder="1" applyAlignment="1">
      <alignment horizontal="right"/>
    </xf>
    <xf numFmtId="44" fontId="21" fillId="10" borderId="11" xfId="12" applyFont="1" applyFill="1" applyBorder="1" applyAlignment="1">
      <alignment horizontal="right"/>
    </xf>
    <xf numFmtId="1" fontId="18" fillId="11" borderId="5" xfId="0" applyFont="1" applyFill="1" applyBorder="1"/>
    <xf numFmtId="1" fontId="18" fillId="11" borderId="4" xfId="0" applyFont="1" applyFill="1" applyBorder="1"/>
    <xf numFmtId="1" fontId="18" fillId="11" borderId="3" xfId="0" applyFont="1" applyFill="1" applyBorder="1"/>
    <xf numFmtId="1" fontId="18" fillId="12" borderId="4" xfId="0" applyFont="1" applyFill="1" applyBorder="1"/>
    <xf numFmtId="1" fontId="18" fillId="12" borderId="3" xfId="0" applyFont="1" applyFill="1" applyBorder="1"/>
    <xf numFmtId="1" fontId="18" fillId="13" borderId="4" xfId="0" applyFont="1" applyFill="1" applyBorder="1"/>
    <xf numFmtId="1" fontId="18" fillId="13" borderId="3" xfId="0" applyFont="1" applyFill="1" applyBorder="1"/>
    <xf numFmtId="44" fontId="20" fillId="0" borderId="6" xfId="12" applyFont="1" applyBorder="1" applyAlignment="1">
      <alignment horizontal="right"/>
    </xf>
    <xf numFmtId="41" fontId="23" fillId="9" borderId="4" xfId="12" applyNumberFormat="1" applyFont="1" applyFill="1" applyBorder="1"/>
    <xf numFmtId="41" fontId="23" fillId="9" borderId="36" xfId="12" applyNumberFormat="1" applyFont="1" applyFill="1" applyBorder="1"/>
    <xf numFmtId="179" fontId="20" fillId="0" borderId="0" xfId="4" applyNumberFormat="1" applyFont="1" applyBorder="1" applyAlignment="1">
      <alignment horizontal="center"/>
    </xf>
    <xf numFmtId="1" fontId="20" fillId="0" borderId="0" xfId="0" applyFont="1" applyFill="1"/>
    <xf numFmtId="0" fontId="19" fillId="0" borderId="0" xfId="11" applyFont="1" applyAlignment="1">
      <alignment horizontal="center"/>
    </xf>
    <xf numFmtId="182" fontId="18" fillId="4" borderId="1" xfId="4" applyNumberFormat="1" applyFont="1" applyFill="1" applyBorder="1" applyAlignment="1">
      <alignment horizontal="right"/>
    </xf>
    <xf numFmtId="182" fontId="18" fillId="4" borderId="11" xfId="4" applyNumberFormat="1" applyFont="1" applyFill="1" applyBorder="1" applyAlignment="1">
      <alignment horizontal="right"/>
    </xf>
    <xf numFmtId="10" fontId="20" fillId="0" borderId="0" xfId="11" applyNumberFormat="1" applyFont="1" applyAlignment="1">
      <alignment horizontal="right"/>
    </xf>
    <xf numFmtId="10" fontId="20" fillId="0" borderId="10" xfId="11" applyNumberFormat="1" applyFont="1" applyBorder="1" applyAlignment="1">
      <alignment horizontal="right"/>
    </xf>
    <xf numFmtId="0" fontId="20" fillId="0" borderId="0" xfId="11" applyFont="1" applyAlignment="1">
      <alignment horizontal="right"/>
    </xf>
    <xf numFmtId="0" fontId="20" fillId="0" borderId="10" xfId="11" applyFont="1" applyBorder="1" applyAlignment="1">
      <alignment horizontal="right"/>
    </xf>
    <xf numFmtId="183" fontId="20" fillId="0" borderId="0" xfId="11" applyNumberFormat="1" applyFont="1" applyAlignment="1">
      <alignment horizontal="right"/>
    </xf>
    <xf numFmtId="1" fontId="20" fillId="0" borderId="0" xfId="0" quotePrefix="1" applyFont="1"/>
    <xf numFmtId="9" fontId="20" fillId="0" borderId="0" xfId="11" applyNumberFormat="1" applyFont="1" applyAlignment="1">
      <alignment horizontal="right"/>
    </xf>
    <xf numFmtId="0" fontId="23" fillId="0" borderId="0" xfId="11" applyFont="1" applyAlignment="1">
      <alignment horizontal="right"/>
    </xf>
    <xf numFmtId="0" fontId="21" fillId="3" borderId="8" xfId="59" applyFont="1" applyFill="1" applyBorder="1" applyAlignment="1">
      <alignment horizontal="center"/>
    </xf>
    <xf numFmtId="3" fontId="21" fillId="3" borderId="0" xfId="60" applyNumberFormat="1" applyFont="1" applyFill="1" applyBorder="1" applyAlignment="1"/>
    <xf numFmtId="166" fontId="21" fillId="3" borderId="0" xfId="59" applyNumberFormat="1" applyFont="1" applyFill="1"/>
    <xf numFmtId="44" fontId="21" fillId="3" borderId="10" xfId="59" applyNumberFormat="1" applyFont="1" applyFill="1" applyBorder="1"/>
    <xf numFmtId="0" fontId="21" fillId="3" borderId="9" xfId="59" applyFont="1" applyFill="1" applyBorder="1" applyAlignment="1">
      <alignment horizontal="center"/>
    </xf>
    <xf numFmtId="0" fontId="21" fillId="3" borderId="5" xfId="59" applyFont="1" applyFill="1" applyBorder="1" applyAlignment="1">
      <alignment horizontal="center"/>
    </xf>
    <xf numFmtId="3" fontId="21" fillId="3" borderId="4" xfId="60" applyNumberFormat="1" applyFont="1" applyFill="1" applyBorder="1" applyAlignment="1"/>
    <xf numFmtId="166" fontId="21" fillId="3" borderId="4" xfId="59" applyNumberFormat="1" applyFont="1" applyFill="1" applyBorder="1"/>
    <xf numFmtId="44" fontId="21" fillId="3" borderId="3" xfId="59" applyNumberFormat="1" applyFont="1" applyFill="1" applyBorder="1"/>
    <xf numFmtId="166" fontId="21" fillId="3" borderId="10" xfId="59" applyNumberFormat="1" applyFont="1" applyFill="1" applyBorder="1"/>
    <xf numFmtId="166" fontId="21" fillId="3" borderId="11" xfId="59" applyNumberFormat="1" applyFont="1" applyFill="1" applyBorder="1"/>
    <xf numFmtId="0" fontId="31" fillId="4" borderId="1" xfId="57" applyFont="1" applyFill="1" applyBorder="1" applyAlignment="1">
      <alignment horizontal="left"/>
    </xf>
    <xf numFmtId="3" fontId="21" fillId="3" borderId="7" xfId="60" applyNumberFormat="1" applyFont="1" applyFill="1" applyBorder="1" applyAlignment="1">
      <alignment horizontal="right"/>
    </xf>
    <xf numFmtId="166" fontId="21" fillId="3" borderId="7" xfId="59" applyNumberFormat="1" applyFont="1" applyFill="1" applyBorder="1" applyAlignment="1">
      <alignment horizontal="right"/>
    </xf>
    <xf numFmtId="44" fontId="21" fillId="3" borderId="6" xfId="59" applyNumberFormat="1" applyFont="1" applyFill="1" applyBorder="1" applyAlignment="1">
      <alignment horizontal="right"/>
    </xf>
    <xf numFmtId="3" fontId="21" fillId="3" borderId="0" xfId="60" applyNumberFormat="1" applyFont="1" applyFill="1" applyBorder="1" applyAlignment="1">
      <alignment horizontal="right"/>
    </xf>
    <xf numFmtId="166" fontId="21" fillId="3" borderId="0" xfId="59" applyNumberFormat="1" applyFont="1" applyFill="1" applyAlignment="1">
      <alignment horizontal="right"/>
    </xf>
    <xf numFmtId="44" fontId="21" fillId="3" borderId="10" xfId="59" applyNumberFormat="1" applyFont="1" applyFill="1" applyBorder="1" applyAlignment="1">
      <alignment horizontal="right"/>
    </xf>
    <xf numFmtId="3" fontId="21" fillId="3" borderId="4" xfId="60" applyNumberFormat="1" applyFont="1" applyFill="1" applyBorder="1" applyAlignment="1">
      <alignment horizontal="right"/>
    </xf>
    <xf numFmtId="166" fontId="21" fillId="3" borderId="4" xfId="59" applyNumberFormat="1" applyFont="1" applyFill="1" applyBorder="1" applyAlignment="1">
      <alignment horizontal="right"/>
    </xf>
    <xf numFmtId="44" fontId="21" fillId="3" borderId="3" xfId="59" applyNumberFormat="1" applyFont="1" applyFill="1" applyBorder="1" applyAlignment="1">
      <alignment horizontal="right"/>
    </xf>
    <xf numFmtId="44" fontId="19" fillId="2" borderId="0" xfId="61" applyFont="1" applyFill="1" applyBorder="1" applyAlignment="1">
      <alignment horizontal="right"/>
    </xf>
    <xf numFmtId="3" fontId="20" fillId="2" borderId="0" xfId="60" applyNumberFormat="1" applyFont="1" applyFill="1" applyBorder="1" applyAlignment="1">
      <alignment horizontal="right"/>
    </xf>
    <xf numFmtId="3" fontId="20" fillId="2" borderId="4" xfId="60" applyNumberFormat="1" applyFont="1" applyFill="1" applyBorder="1" applyAlignment="1">
      <alignment horizontal="right"/>
    </xf>
    <xf numFmtId="43" fontId="19" fillId="2" borderId="0" xfId="22" applyFont="1" applyFill="1" applyBorder="1" applyAlignment="1">
      <alignment horizontal="right"/>
    </xf>
    <xf numFmtId="43" fontId="19" fillId="2" borderId="10" xfId="22" applyFont="1" applyFill="1" applyBorder="1" applyAlignment="1">
      <alignment horizontal="right"/>
    </xf>
    <xf numFmtId="43" fontId="19" fillId="2" borderId="4" xfId="22" applyFont="1" applyFill="1" applyBorder="1" applyAlignment="1">
      <alignment horizontal="right"/>
    </xf>
    <xf numFmtId="0" fontId="19" fillId="2" borderId="8" xfId="59" applyFont="1" applyFill="1" applyBorder="1" applyAlignment="1">
      <alignment horizontal="center"/>
    </xf>
    <xf numFmtId="0" fontId="19" fillId="2" borderId="7" xfId="59" applyFont="1" applyFill="1" applyBorder="1"/>
    <xf numFmtId="0" fontId="19" fillId="2" borderId="7" xfId="59" applyFont="1" applyFill="1" applyBorder="1" applyAlignment="1">
      <alignment horizontal="center"/>
    </xf>
    <xf numFmtId="3" fontId="20" fillId="2" borderId="7" xfId="60" applyNumberFormat="1" applyFont="1" applyFill="1" applyBorder="1" applyAlignment="1">
      <alignment horizontal="right"/>
    </xf>
    <xf numFmtId="166" fontId="20" fillId="2" borderId="7" xfId="61" quotePrefix="1" applyNumberFormat="1" applyFont="1" applyFill="1" applyBorder="1" applyAlignment="1">
      <alignment horizontal="right"/>
    </xf>
    <xf numFmtId="44" fontId="19" fillId="2" borderId="7" xfId="61" applyFont="1" applyFill="1" applyBorder="1" applyAlignment="1">
      <alignment horizontal="right"/>
    </xf>
    <xf numFmtId="0" fontId="18" fillId="4" borderId="1" xfId="4" applyNumberFormat="1" applyFont="1" applyFill="1" applyBorder="1" applyAlignment="1">
      <alignment horizontal="left"/>
    </xf>
    <xf numFmtId="43" fontId="27" fillId="4" borderId="9" xfId="4" applyFont="1" applyFill="1" applyBorder="1" applyAlignment="1">
      <alignment horizontal="centerContinuous" vertical="center"/>
    </xf>
    <xf numFmtId="43" fontId="27" fillId="4" borderId="0" xfId="4" applyFont="1" applyFill="1" applyBorder="1" applyAlignment="1">
      <alignment horizontal="centerContinuous" vertical="center"/>
    </xf>
    <xf numFmtId="41" fontId="23" fillId="9" borderId="18" xfId="12" applyNumberFormat="1" applyFont="1" applyFill="1" applyBorder="1" applyAlignment="1">
      <alignment horizontal="right"/>
    </xf>
    <xf numFmtId="41" fontId="23" fillId="9" borderId="19" xfId="12" applyNumberFormat="1" applyFont="1" applyFill="1" applyBorder="1" applyAlignment="1">
      <alignment horizontal="right"/>
    </xf>
    <xf numFmtId="0" fontId="19" fillId="0" borderId="45" xfId="11" applyFont="1" applyBorder="1"/>
    <xf numFmtId="41" fontId="19" fillId="0" borderId="0" xfId="11" applyNumberFormat="1" applyFont="1"/>
    <xf numFmtId="42" fontId="21" fillId="0" borderId="7" xfId="12" applyNumberFormat="1" applyFont="1" applyFill="1" applyBorder="1" applyAlignment="1">
      <alignment vertical="center"/>
    </xf>
    <xf numFmtId="0" fontId="19" fillId="0" borderId="7" xfId="11" applyFont="1" applyBorder="1" applyAlignment="1">
      <alignment horizontal="right"/>
    </xf>
    <xf numFmtId="0" fontId="18" fillId="4" borderId="11" xfId="3" applyFont="1" applyFill="1" applyBorder="1" applyAlignment="1">
      <alignment horizontal="center"/>
    </xf>
    <xf numFmtId="44" fontId="21" fillId="0" borderId="7" xfId="12" applyFont="1" applyBorder="1"/>
    <xf numFmtId="3" fontId="23" fillId="9" borderId="50" xfId="3" applyNumberFormat="1" applyFont="1" applyFill="1" applyBorder="1" applyAlignment="1">
      <alignment horizontal="center"/>
    </xf>
    <xf numFmtId="44" fontId="23" fillId="9" borderId="28" xfId="12" applyFont="1" applyFill="1" applyBorder="1"/>
    <xf numFmtId="44" fontId="21" fillId="0" borderId="0" xfId="12" applyFont="1" applyBorder="1"/>
    <xf numFmtId="3" fontId="23" fillId="9" borderId="40" xfId="3" applyNumberFormat="1" applyFont="1" applyFill="1" applyBorder="1" applyAlignment="1">
      <alignment horizontal="center"/>
    </xf>
    <xf numFmtId="43" fontId="23" fillId="9" borderId="27" xfId="22" applyFont="1" applyFill="1" applyBorder="1"/>
    <xf numFmtId="44" fontId="21" fillId="0" borderId="10" xfId="12" applyFont="1" applyBorder="1"/>
    <xf numFmtId="3" fontId="23" fillId="9" borderId="42" xfId="3" applyNumberFormat="1" applyFont="1" applyFill="1" applyBorder="1" applyAlignment="1">
      <alignment horizontal="center"/>
    </xf>
    <xf numFmtId="43" fontId="23" fillId="9" borderId="29" xfId="22" applyFont="1" applyFill="1" applyBorder="1"/>
    <xf numFmtId="44" fontId="21" fillId="0" borderId="8" xfId="12" applyFont="1" applyBorder="1"/>
    <xf numFmtId="44" fontId="20" fillId="0" borderId="9" xfId="12" applyFont="1" applyBorder="1"/>
    <xf numFmtId="166" fontId="23" fillId="9" borderId="36" xfId="12" applyNumberFormat="1" applyFont="1" applyFill="1" applyBorder="1"/>
    <xf numFmtId="44" fontId="20" fillId="0" borderId="0" xfId="12" applyFont="1" applyBorder="1"/>
    <xf numFmtId="43" fontId="20" fillId="0" borderId="0" xfId="22" applyFont="1" applyBorder="1"/>
    <xf numFmtId="44" fontId="21" fillId="0" borderId="9" xfId="12" applyFont="1" applyBorder="1"/>
    <xf numFmtId="166" fontId="21" fillId="0" borderId="1" xfId="12" applyNumberFormat="1" applyFont="1" applyBorder="1"/>
    <xf numFmtId="44" fontId="21" fillId="0" borderId="1" xfId="12" applyFont="1" applyBorder="1"/>
    <xf numFmtId="167" fontId="20" fillId="0" borderId="1" xfId="22" applyNumberFormat="1" applyFont="1" applyBorder="1"/>
    <xf numFmtId="43" fontId="20" fillId="0" borderId="1" xfId="22" applyFont="1" applyBorder="1"/>
    <xf numFmtId="166" fontId="21" fillId="0" borderId="0" xfId="12" applyNumberFormat="1" applyFont="1" applyBorder="1"/>
    <xf numFmtId="167" fontId="23" fillId="9" borderId="29" xfId="4" applyNumberFormat="1" applyFont="1" applyFill="1" applyBorder="1" applyAlignment="1">
      <alignment horizontal="right"/>
    </xf>
    <xf numFmtId="44" fontId="21" fillId="0" borderId="4" xfId="12" applyFont="1" applyBorder="1"/>
    <xf numFmtId="44" fontId="21" fillId="0" borderId="3" xfId="12" applyFont="1" applyBorder="1"/>
    <xf numFmtId="10" fontId="21" fillId="8" borderId="1" xfId="1" applyNumberFormat="1" applyFont="1" applyFill="1" applyBorder="1" applyAlignment="1">
      <alignment horizontal="center" vertical="center"/>
    </xf>
    <xf numFmtId="166" fontId="23" fillId="9" borderId="28" xfId="12" applyNumberFormat="1" applyFont="1" applyFill="1" applyBorder="1" applyAlignment="1">
      <alignment horizontal="right"/>
    </xf>
    <xf numFmtId="43" fontId="21" fillId="0" borderId="2" xfId="4" applyFont="1" applyFill="1" applyBorder="1"/>
    <xf numFmtId="0" fontId="22" fillId="0" borderId="1" xfId="11" applyFont="1" applyBorder="1"/>
    <xf numFmtId="43" fontId="21" fillId="8" borderId="5" xfId="4" applyFont="1" applyFill="1" applyBorder="1"/>
    <xf numFmtId="0" fontId="22" fillId="8" borderId="4" xfId="11" applyFont="1" applyFill="1" applyBorder="1"/>
    <xf numFmtId="43" fontId="18" fillId="4" borderId="2" xfId="22" applyFont="1" applyFill="1" applyBorder="1" applyAlignment="1">
      <alignment horizontal="left"/>
    </xf>
    <xf numFmtId="42" fontId="21" fillId="3" borderId="5" xfId="12" applyNumberFormat="1" applyFont="1" applyFill="1" applyBorder="1" applyAlignment="1">
      <alignment vertical="center"/>
    </xf>
    <xf numFmtId="42" fontId="21" fillId="3" borderId="4" xfId="12" applyNumberFormat="1" applyFont="1" applyFill="1" applyBorder="1" applyAlignment="1">
      <alignment vertical="center"/>
    </xf>
    <xf numFmtId="164" fontId="21" fillId="3" borderId="3" xfId="1" applyFont="1" applyFill="1" applyBorder="1" applyAlignment="1">
      <alignment horizontal="right"/>
    </xf>
    <xf numFmtId="0" fontId="20" fillId="0" borderId="0" xfId="11" applyFont="1"/>
    <xf numFmtId="0" fontId="19" fillId="0" borderId="0" xfId="11" quotePrefix="1" applyFont="1"/>
    <xf numFmtId="167" fontId="20" fillId="0" borderId="0" xfId="22" applyNumberFormat="1" applyFont="1" applyBorder="1" applyAlignment="1">
      <alignment horizontal="right"/>
    </xf>
    <xf numFmtId="167" fontId="20" fillId="0" borderId="0" xfId="22" applyNumberFormat="1" applyFont="1" applyFill="1" applyBorder="1" applyAlignment="1">
      <alignment horizontal="right"/>
    </xf>
    <xf numFmtId="167" fontId="20" fillId="0" borderId="10" xfId="22" applyNumberFormat="1" applyFont="1" applyBorder="1" applyAlignment="1">
      <alignment horizontal="right"/>
    </xf>
    <xf numFmtId="0" fontId="22" fillId="8" borderId="2" xfId="11" applyFont="1" applyFill="1" applyBorder="1"/>
    <xf numFmtId="166" fontId="21" fillId="8" borderId="1" xfId="52" applyNumberFormat="1" applyFont="1" applyFill="1" applyBorder="1" applyAlignment="1">
      <alignment horizontal="right"/>
    </xf>
    <xf numFmtId="166" fontId="21" fillId="8" borderId="11" xfId="52" applyNumberFormat="1" applyFont="1" applyFill="1" applyBorder="1" applyAlignment="1">
      <alignment horizontal="right"/>
    </xf>
    <xf numFmtId="0" fontId="20" fillId="0" borderId="8" xfId="11" applyFont="1" applyBorder="1"/>
    <xf numFmtId="0" fontId="20" fillId="0" borderId="9" xfId="11" applyFont="1" applyBorder="1"/>
    <xf numFmtId="0" fontId="20" fillId="0" borderId="5" xfId="11" applyFont="1" applyBorder="1"/>
    <xf numFmtId="167" fontId="20" fillId="0" borderId="0" xfId="11" applyNumberFormat="1" applyFont="1" applyAlignment="1">
      <alignment horizontal="right"/>
    </xf>
    <xf numFmtId="0" fontId="19" fillId="0" borderId="9" xfId="11" applyFont="1" applyBorder="1"/>
    <xf numFmtId="43" fontId="20" fillId="0" borderId="4" xfId="10" applyNumberFormat="1" applyFont="1" applyBorder="1" applyAlignment="1">
      <alignment horizontal="right" vertical="center" wrapText="1"/>
    </xf>
    <xf numFmtId="171" fontId="20" fillId="0" borderId="3" xfId="10" applyNumberFormat="1" applyFont="1" applyBorder="1" applyAlignment="1">
      <alignment horizontal="right" vertical="center" wrapText="1"/>
    </xf>
    <xf numFmtId="0" fontId="19" fillId="0" borderId="0" xfId="59" applyFont="1"/>
    <xf numFmtId="0" fontId="19" fillId="0" borderId="0" xfId="59" applyFont="1" applyAlignment="1">
      <alignment horizontal="center"/>
    </xf>
    <xf numFmtId="44" fontId="19" fillId="0" borderId="0" xfId="61" applyFont="1" applyFill="1" applyBorder="1"/>
    <xf numFmtId="180" fontId="20" fillId="0" borderId="0" xfId="59" applyNumberFormat="1" applyFont="1"/>
    <xf numFmtId="43" fontId="19" fillId="0" borderId="8" xfId="22" applyFont="1" applyBorder="1"/>
    <xf numFmtId="43" fontId="19" fillId="0" borderId="9" xfId="22" applyFont="1" applyBorder="1"/>
    <xf numFmtId="44" fontId="19" fillId="0" borderId="0" xfId="11" applyNumberFormat="1" applyFont="1"/>
    <xf numFmtId="167" fontId="20" fillId="0" borderId="10" xfId="22" applyNumberFormat="1" applyFont="1" applyFill="1" applyBorder="1" applyAlignment="1">
      <alignment horizontal="right"/>
    </xf>
    <xf numFmtId="43" fontId="21" fillId="0" borderId="2" xfId="4" applyFont="1" applyBorder="1"/>
    <xf numFmtId="0" fontId="19" fillId="0" borderId="1" xfId="11" applyFont="1" applyBorder="1"/>
    <xf numFmtId="43" fontId="19" fillId="0" borderId="0" xfId="22" applyFont="1" applyFill="1"/>
    <xf numFmtId="43" fontId="19" fillId="0" borderId="9" xfId="22" applyFont="1" applyFill="1" applyBorder="1"/>
    <xf numFmtId="43" fontId="19" fillId="0" borderId="0" xfId="22" quotePrefix="1" applyFont="1" applyFill="1"/>
    <xf numFmtId="1" fontId="34" fillId="0" borderId="0" xfId="0" applyFont="1" applyFill="1"/>
    <xf numFmtId="1" fontId="34" fillId="0" borderId="0" xfId="0" applyFont="1" applyFill="1" applyAlignment="1">
      <alignment horizontal="center" vertical="center"/>
    </xf>
    <xf numFmtId="1" fontId="34" fillId="0" borderId="0" xfId="0" applyFont="1" applyFill="1" applyAlignment="1">
      <alignment horizontal="center"/>
    </xf>
    <xf numFmtId="1" fontId="34" fillId="0" borderId="0" xfId="0" applyFont="1" applyFill="1" applyAlignment="1">
      <alignment horizontal="left"/>
    </xf>
    <xf numFmtId="2" fontId="34" fillId="0" borderId="0" xfId="0" applyNumberFormat="1" applyFont="1" applyFill="1"/>
    <xf numFmtId="184" fontId="34" fillId="0" borderId="0" xfId="0" applyNumberFormat="1" applyFont="1" applyFill="1"/>
    <xf numFmtId="1" fontId="33" fillId="0" borderId="0" xfId="0" applyFont="1" applyFill="1" applyAlignment="1">
      <alignment horizontal="center" vertical="center"/>
    </xf>
    <xf numFmtId="1" fontId="33" fillId="0" borderId="0" xfId="0" applyFont="1" applyFill="1"/>
    <xf numFmtId="1" fontId="33" fillId="0" borderId="0" xfId="0" applyFont="1" applyFill="1" applyAlignment="1">
      <alignment horizontal="left" vertical="center"/>
    </xf>
    <xf numFmtId="166" fontId="39" fillId="0" borderId="0" xfId="0" applyNumberFormat="1" applyFont="1" applyFill="1"/>
    <xf numFmtId="178" fontId="34" fillId="0" borderId="0" xfId="0" applyNumberFormat="1" applyFont="1" applyFill="1"/>
    <xf numFmtId="3" fontId="34" fillId="0" borderId="0" xfId="0" applyNumberFormat="1" applyFont="1" applyFill="1" applyAlignment="1">
      <alignment horizontal="right"/>
    </xf>
    <xf numFmtId="2" fontId="34" fillId="0" borderId="0" xfId="0" applyNumberFormat="1" applyFont="1" applyFill="1" applyAlignment="1">
      <alignment horizontal="right"/>
    </xf>
    <xf numFmtId="178" fontId="34" fillId="0" borderId="0" xfId="1" applyNumberFormat="1" applyFont="1" applyAlignment="1">
      <alignment horizontal="right"/>
    </xf>
    <xf numFmtId="2" fontId="33" fillId="0" borderId="4" xfId="0" applyNumberFormat="1" applyFont="1" applyFill="1" applyBorder="1" applyAlignment="1">
      <alignment horizontal="right"/>
    </xf>
    <xf numFmtId="1" fontId="33" fillId="0" borderId="4" xfId="0" applyFont="1" applyFill="1" applyBorder="1" applyAlignment="1">
      <alignment horizontal="right" vertical="center"/>
    </xf>
    <xf numFmtId="166" fontId="19" fillId="0" borderId="10" xfId="11" applyNumberFormat="1" applyFont="1" applyBorder="1"/>
    <xf numFmtId="167" fontId="20" fillId="0" borderId="42" xfId="4" applyNumberFormat="1" applyFont="1" applyFill="1" applyBorder="1" applyAlignment="1">
      <alignment horizontal="right"/>
    </xf>
    <xf numFmtId="166" fontId="20" fillId="0" borderId="0" xfId="12" applyNumberFormat="1" applyFont="1" applyFill="1" applyBorder="1"/>
    <xf numFmtId="167" fontId="20" fillId="0" borderId="0" xfId="22" applyNumberFormat="1" applyFont="1" applyFill="1" applyBorder="1"/>
    <xf numFmtId="41" fontId="23" fillId="9" borderId="50" xfId="12" applyNumberFormat="1" applyFont="1" applyFill="1" applyBorder="1" applyAlignment="1">
      <alignment horizontal="right"/>
    </xf>
    <xf numFmtId="41" fontId="23" fillId="9" borderId="40" xfId="12" applyNumberFormat="1" applyFont="1" applyFill="1" applyBorder="1"/>
    <xf numFmtId="10" fontId="23" fillId="9" borderId="40" xfId="12" applyNumberFormat="1" applyFont="1" applyFill="1" applyBorder="1"/>
    <xf numFmtId="43" fontId="18" fillId="4" borderId="10" xfId="4" applyFont="1" applyFill="1" applyBorder="1" applyAlignment="1">
      <alignment horizontal="right"/>
    </xf>
    <xf numFmtId="3" fontId="20" fillId="0" borderId="20" xfId="3" applyNumberFormat="1" applyFont="1" applyBorder="1" applyAlignment="1">
      <alignment horizontal="center"/>
    </xf>
    <xf numFmtId="3" fontId="20" fillId="0" borderId="18" xfId="3" applyNumberFormat="1" applyFont="1" applyBorder="1" applyAlignment="1">
      <alignment horizontal="center"/>
    </xf>
    <xf numFmtId="3" fontId="20" fillId="0" borderId="19" xfId="3" applyNumberFormat="1" applyFont="1" applyBorder="1" applyAlignment="1">
      <alignment horizontal="center"/>
    </xf>
    <xf numFmtId="166" fontId="20" fillId="0" borderId="20" xfId="12" applyNumberFormat="1" applyFont="1" applyFill="1" applyBorder="1" applyAlignment="1">
      <alignment horizontal="right"/>
    </xf>
    <xf numFmtId="167" fontId="20" fillId="0" borderId="18" xfId="4" applyNumberFormat="1" applyFont="1" applyFill="1" applyBorder="1" applyAlignment="1">
      <alignment horizontal="right"/>
    </xf>
    <xf numFmtId="167" fontId="20" fillId="0" borderId="19" xfId="4" applyNumberFormat="1" applyFont="1" applyFill="1" applyBorder="1" applyAlignment="1">
      <alignment horizontal="right"/>
    </xf>
    <xf numFmtId="178" fontId="20" fillId="0" borderId="0" xfId="1" applyNumberFormat="1" applyFont="1" applyBorder="1"/>
    <xf numFmtId="166" fontId="20" fillId="0" borderId="10" xfId="11" applyNumberFormat="1" applyFont="1" applyBorder="1"/>
    <xf numFmtId="167" fontId="20" fillId="0" borderId="46" xfId="22" applyNumberFormat="1" applyFont="1" applyFill="1" applyBorder="1" applyAlignment="1">
      <alignment horizontal="right"/>
    </xf>
    <xf numFmtId="167" fontId="20" fillId="0" borderId="47" xfId="22" applyNumberFormat="1" applyFont="1" applyFill="1" applyBorder="1" applyAlignment="1">
      <alignment horizontal="right"/>
    </xf>
    <xf numFmtId="0" fontId="31" fillId="4" borderId="2" xfId="57" applyFont="1" applyFill="1" applyBorder="1" applyAlignment="1">
      <alignment horizontal="left"/>
    </xf>
    <xf numFmtId="43" fontId="31" fillId="4" borderId="1" xfId="22" applyFont="1" applyFill="1" applyBorder="1" applyAlignment="1">
      <alignment horizontal="left"/>
    </xf>
    <xf numFmtId="43" fontId="31" fillId="4" borderId="11" xfId="22" applyFont="1" applyFill="1" applyBorder="1" applyAlignment="1">
      <alignment horizontal="left"/>
    </xf>
    <xf numFmtId="0" fontId="31" fillId="4" borderId="43" xfId="57" applyFont="1" applyFill="1" applyBorder="1" applyAlignment="1">
      <alignment horizontal="left"/>
    </xf>
    <xf numFmtId="0" fontId="4" fillId="0" borderId="0" xfId="57" applyAlignment="1">
      <alignment horizontal="left"/>
    </xf>
    <xf numFmtId="1" fontId="0" fillId="0" borderId="0" xfId="0" applyAlignment="1">
      <alignment horizontal="right"/>
    </xf>
    <xf numFmtId="44" fontId="21" fillId="0" borderId="6" xfId="12" applyFont="1" applyBorder="1" applyAlignment="1">
      <alignment horizontal="right"/>
    </xf>
    <xf numFmtId="42" fontId="21" fillId="8" borderId="11" xfId="12" applyNumberFormat="1" applyFont="1" applyFill="1" applyBorder="1" applyAlignment="1">
      <alignment horizontal="right" vertical="center"/>
    </xf>
    <xf numFmtId="42" fontId="21" fillId="8" borderId="1" xfId="12" applyNumberFormat="1" applyFont="1" applyFill="1" applyBorder="1" applyAlignment="1">
      <alignment horizontal="center" vertical="center"/>
    </xf>
    <xf numFmtId="164" fontId="19" fillId="0" borderId="11" xfId="11" applyNumberFormat="1" applyFont="1" applyBorder="1" applyAlignment="1">
      <alignment horizontal="right"/>
    </xf>
    <xf numFmtId="44" fontId="20" fillId="0" borderId="9" xfId="52" applyFont="1" applyBorder="1"/>
    <xf numFmtId="44" fontId="20" fillId="0" borderId="0" xfId="52" applyFont="1" applyBorder="1"/>
    <xf numFmtId="44" fontId="20" fillId="0" borderId="10" xfId="52" applyFont="1" applyBorder="1"/>
    <xf numFmtId="165" fontId="18" fillId="4" borderId="9" xfId="3" applyNumberFormat="1" applyFont="1" applyFill="1" applyBorder="1" applyAlignment="1">
      <alignment horizontal="center"/>
    </xf>
    <xf numFmtId="165" fontId="18" fillId="4" borderId="0" xfId="3" applyNumberFormat="1" applyFont="1" applyFill="1" applyAlignment="1">
      <alignment horizontal="center"/>
    </xf>
    <xf numFmtId="165" fontId="18" fillId="4" borderId="10" xfId="3" applyNumberFormat="1" applyFont="1" applyFill="1" applyBorder="1" applyAlignment="1">
      <alignment horizontal="center"/>
    </xf>
    <xf numFmtId="1" fontId="21" fillId="0" borderId="0" xfId="0" applyFont="1" applyAlignment="1">
      <alignment horizontal="left"/>
    </xf>
    <xf numFmtId="44" fontId="20" fillId="0" borderId="5" xfId="52" applyFont="1" applyBorder="1"/>
    <xf numFmtId="44" fontId="20" fillId="0" borderId="3" xfId="52" applyFont="1" applyBorder="1"/>
    <xf numFmtId="44" fontId="20" fillId="0" borderId="4" xfId="52" applyFont="1" applyBorder="1"/>
    <xf numFmtId="0" fontId="38" fillId="0" borderId="0" xfId="11" quotePrefix="1" applyFont="1"/>
    <xf numFmtId="43" fontId="20" fillId="0" borderId="0" xfId="4" quotePrefix="1" applyFont="1" applyFill="1" applyBorder="1"/>
    <xf numFmtId="1" fontId="23" fillId="14" borderId="0" xfId="0" applyFont="1" applyFill="1" applyAlignment="1">
      <alignment horizontal="center"/>
    </xf>
    <xf numFmtId="164" fontId="20" fillId="0" borderId="0" xfId="0" applyNumberFormat="1" applyFont="1"/>
    <xf numFmtId="10" fontId="20" fillId="0" borderId="0" xfId="0" applyNumberFormat="1" applyFont="1"/>
    <xf numFmtId="10" fontId="20" fillId="6" borderId="0" xfId="1" applyNumberFormat="1" applyFont="1" applyFill="1" applyBorder="1" applyAlignment="1">
      <alignment horizontal="center" vertical="center"/>
    </xf>
    <xf numFmtId="10" fontId="20" fillId="5" borderId="18" xfId="1" applyNumberFormat="1" applyFont="1" applyFill="1" applyBorder="1" applyAlignment="1">
      <alignment horizontal="center"/>
    </xf>
    <xf numFmtId="43" fontId="37" fillId="0" borderId="10" xfId="10" applyNumberFormat="1" applyFont="1" applyBorder="1" applyAlignment="1">
      <alignment horizontal="center" vertical="center" wrapText="1"/>
    </xf>
    <xf numFmtId="0" fontId="20" fillId="0" borderId="0" xfId="0" applyNumberFormat="1" applyFont="1"/>
    <xf numFmtId="0" fontId="23" fillId="0" borderId="0" xfId="0" applyNumberFormat="1" applyFont="1"/>
    <xf numFmtId="164" fontId="23" fillId="0" borderId="0" xfId="1" applyFont="1"/>
    <xf numFmtId="1" fontId="23" fillId="0" borderId="0" xfId="0" applyFont="1"/>
    <xf numFmtId="10" fontId="23" fillId="0" borderId="0" xfId="1" applyNumberFormat="1" applyFont="1"/>
    <xf numFmtId="10" fontId="23" fillId="0" borderId="0" xfId="0" applyNumberFormat="1" applyFont="1"/>
    <xf numFmtId="1" fontId="23" fillId="0" borderId="0" xfId="0" applyFont="1" applyAlignment="1">
      <alignment horizontal="center"/>
    </xf>
    <xf numFmtId="181" fontId="23" fillId="0" borderId="0" xfId="0" applyNumberFormat="1" applyFont="1"/>
    <xf numFmtId="179" fontId="23" fillId="0" borderId="0" xfId="0" applyNumberFormat="1" applyFont="1"/>
    <xf numFmtId="164" fontId="20" fillId="0" borderId="0" xfId="11" applyNumberFormat="1" applyFont="1" applyAlignment="1">
      <alignment horizontal="right"/>
    </xf>
    <xf numFmtId="164" fontId="20" fillId="0" borderId="10" xfId="11" applyNumberFormat="1" applyFont="1" applyBorder="1" applyAlignment="1">
      <alignment horizontal="right"/>
    </xf>
    <xf numFmtId="166" fontId="19" fillId="0" borderId="6" xfId="11" applyNumberFormat="1" applyFont="1" applyBorder="1"/>
    <xf numFmtId="166" fontId="22" fillId="8" borderId="11" xfId="11" applyNumberFormat="1" applyFont="1" applyFill="1" applyBorder="1"/>
    <xf numFmtId="10" fontId="20" fillId="0" borderId="22" xfId="1" applyNumberFormat="1" applyFont="1" applyBorder="1"/>
    <xf numFmtId="167" fontId="20" fillId="0" borderId="9" xfId="22" applyNumberFormat="1" applyFont="1" applyBorder="1" applyAlignment="1"/>
    <xf numFmtId="42" fontId="21" fillId="8" borderId="2" xfId="12" applyNumberFormat="1" applyFont="1" applyFill="1" applyBorder="1" applyAlignment="1">
      <alignment vertical="center"/>
    </xf>
    <xf numFmtId="185" fontId="23" fillId="9" borderId="49" xfId="12" applyNumberFormat="1" applyFont="1" applyFill="1" applyBorder="1" applyAlignment="1">
      <alignment horizontal="center"/>
    </xf>
    <xf numFmtId="185" fontId="23" fillId="9" borderId="20" xfId="12" applyNumberFormat="1" applyFont="1" applyFill="1" applyBorder="1" applyAlignment="1">
      <alignment horizontal="center"/>
    </xf>
    <xf numFmtId="185" fontId="23" fillId="9" borderId="24" xfId="12" applyNumberFormat="1" applyFont="1" applyFill="1" applyBorder="1" applyAlignment="1">
      <alignment horizontal="center"/>
    </xf>
    <xf numFmtId="185" fontId="23" fillId="9" borderId="18" xfId="12" applyNumberFormat="1" applyFont="1" applyFill="1" applyBorder="1" applyAlignment="1">
      <alignment horizontal="center"/>
    </xf>
    <xf numFmtId="185" fontId="23" fillId="9" borderId="41" xfId="12" applyNumberFormat="1" applyFont="1" applyFill="1" applyBorder="1" applyAlignment="1">
      <alignment horizontal="center"/>
    </xf>
    <xf numFmtId="185" fontId="23" fillId="9" borderId="19" xfId="12" applyNumberFormat="1" applyFont="1" applyFill="1" applyBorder="1" applyAlignment="1">
      <alignment horizontal="center"/>
    </xf>
    <xf numFmtId="10" fontId="20" fillId="5" borderId="10" xfId="1" applyNumberFormat="1" applyFont="1" applyFill="1" applyBorder="1"/>
    <xf numFmtId="43" fontId="37" fillId="0" borderId="10" xfId="10" applyNumberFormat="1" applyFont="1" applyBorder="1" applyAlignment="1">
      <alignment vertical="center" wrapText="1"/>
    </xf>
    <xf numFmtId="1" fontId="21" fillId="0" borderId="3" xfId="0" applyFont="1" applyBorder="1" applyAlignment="1">
      <alignment horizontal="center"/>
    </xf>
    <xf numFmtId="44" fontId="19" fillId="0" borderId="10" xfId="11" applyNumberFormat="1" applyFont="1" applyBorder="1" applyAlignment="1">
      <alignment horizontal="left"/>
    </xf>
    <xf numFmtId="0" fontId="19" fillId="0" borderId="10" xfId="11" applyFont="1" applyBorder="1" applyAlignment="1">
      <alignment horizontal="left"/>
    </xf>
    <xf numFmtId="167" fontId="19" fillId="0" borderId="10" xfId="11" applyNumberFormat="1" applyFont="1" applyBorder="1" applyAlignment="1">
      <alignment horizontal="left"/>
    </xf>
    <xf numFmtId="167" fontId="20" fillId="0" borderId="9" xfId="22" applyNumberFormat="1" applyFont="1" applyFill="1" applyBorder="1" applyAlignment="1"/>
    <xf numFmtId="0" fontId="20" fillId="2" borderId="27" xfId="11" applyFont="1" applyFill="1" applyBorder="1"/>
    <xf numFmtId="0" fontId="20" fillId="0" borderId="0" xfId="13" applyNumberFormat="1" applyFont="1" applyBorder="1" applyAlignment="1">
      <alignment horizontal="right"/>
    </xf>
    <xf numFmtId="167" fontId="20" fillId="0" borderId="0" xfId="10" applyNumberFormat="1" applyFont="1" applyAlignment="1">
      <alignment horizontal="right" vertical="center" wrapText="1"/>
    </xf>
    <xf numFmtId="186" fontId="20" fillId="0" borderId="0" xfId="10" applyNumberFormat="1" applyFont="1" applyAlignment="1">
      <alignment horizontal="right" vertical="center" wrapText="1"/>
    </xf>
    <xf numFmtId="41" fontId="20" fillId="0" borderId="0" xfId="10" applyNumberFormat="1" applyFont="1" applyAlignment="1">
      <alignment horizontal="right" vertical="center" wrapText="1"/>
    </xf>
    <xf numFmtId="167" fontId="23" fillId="0" borderId="0" xfId="10" applyNumberFormat="1" applyFont="1" applyAlignment="1">
      <alignment horizontal="right" vertical="center" wrapText="1"/>
    </xf>
    <xf numFmtId="167" fontId="20" fillId="9" borderId="29" xfId="22" applyNumberFormat="1" applyFont="1" applyFill="1" applyBorder="1"/>
    <xf numFmtId="0" fontId="23" fillId="14" borderId="0" xfId="0" applyNumberFormat="1" applyFont="1" applyFill="1" applyAlignment="1">
      <alignment horizontal="center"/>
    </xf>
    <xf numFmtId="167" fontId="18" fillId="15" borderId="8" xfId="4" applyNumberFormat="1" applyFont="1" applyFill="1" applyBorder="1"/>
    <xf numFmtId="167" fontId="18" fillId="15" borderId="7" xfId="4" applyNumberFormat="1" applyFont="1" applyFill="1" applyBorder="1"/>
    <xf numFmtId="167" fontId="18" fillId="15" borderId="7" xfId="4" applyNumberFormat="1" applyFont="1" applyFill="1" applyBorder="1" applyAlignment="1">
      <alignment horizontal="right"/>
    </xf>
    <xf numFmtId="10" fontId="18" fillId="15" borderId="7" xfId="10" applyNumberFormat="1" applyFont="1" applyFill="1" applyBorder="1" applyAlignment="1">
      <alignment horizontal="center"/>
    </xf>
    <xf numFmtId="42" fontId="18" fillId="15" borderId="6" xfId="12" applyNumberFormat="1" applyFont="1" applyFill="1" applyBorder="1" applyAlignment="1">
      <alignment horizontal="right" vertical="center"/>
    </xf>
    <xf numFmtId="167" fontId="20" fillId="2" borderId="9" xfId="4" applyNumberFormat="1" applyFont="1" applyFill="1" applyBorder="1"/>
    <xf numFmtId="167" fontId="21" fillId="2" borderId="0" xfId="4" applyNumberFormat="1" applyFont="1" applyFill="1" applyBorder="1"/>
    <xf numFmtId="167" fontId="21" fillId="2" borderId="0" xfId="4" applyNumberFormat="1" applyFont="1" applyFill="1" applyBorder="1" applyAlignment="1">
      <alignment horizontal="right"/>
    </xf>
    <xf numFmtId="167" fontId="20" fillId="2" borderId="10" xfId="22" applyNumberFormat="1" applyFont="1" applyFill="1" applyBorder="1" applyAlignment="1">
      <alignment vertical="center"/>
    </xf>
    <xf numFmtId="167" fontId="20" fillId="2" borderId="5" xfId="4" applyNumberFormat="1" applyFont="1" applyFill="1" applyBorder="1"/>
    <xf numFmtId="167" fontId="21" fillId="2" borderId="4" xfId="4" applyNumberFormat="1" applyFont="1" applyFill="1" applyBorder="1"/>
    <xf numFmtId="167" fontId="21" fillId="2" borderId="4" xfId="4" applyNumberFormat="1" applyFont="1" applyFill="1" applyBorder="1" applyAlignment="1">
      <alignment horizontal="right"/>
    </xf>
    <xf numFmtId="10" fontId="21" fillId="2" borderId="4" xfId="10" applyNumberFormat="1" applyFont="1" applyFill="1" applyBorder="1" applyAlignment="1">
      <alignment horizontal="center"/>
    </xf>
    <xf numFmtId="10" fontId="24" fillId="2" borderId="4" xfId="10" applyNumberFormat="1" applyFont="1" applyFill="1" applyBorder="1" applyAlignment="1">
      <alignment horizontal="center"/>
    </xf>
    <xf numFmtId="43" fontId="18" fillId="4" borderId="0" xfId="4" applyFont="1" applyFill="1" applyBorder="1" applyAlignment="1"/>
    <xf numFmtId="43" fontId="21" fillId="3" borderId="1" xfId="4" applyFont="1" applyFill="1" applyBorder="1" applyAlignment="1"/>
    <xf numFmtId="166" fontId="21" fillId="3" borderId="1" xfId="52" applyNumberFormat="1" applyFont="1" applyFill="1" applyBorder="1" applyAlignment="1"/>
    <xf numFmtId="166" fontId="21" fillId="3" borderId="11" xfId="52" applyNumberFormat="1" applyFont="1" applyFill="1" applyBorder="1" applyAlignment="1"/>
    <xf numFmtId="43" fontId="21" fillId="4" borderId="0" xfId="4" applyFont="1" applyFill="1" applyBorder="1" applyAlignment="1"/>
    <xf numFmtId="166" fontId="20" fillId="2" borderId="0" xfId="52" applyNumberFormat="1" applyFont="1" applyFill="1" applyBorder="1" applyAlignment="1">
      <alignment horizontal="right"/>
    </xf>
    <xf numFmtId="166" fontId="20" fillId="2" borderId="0" xfId="12" applyNumberFormat="1" applyFont="1" applyFill="1" applyBorder="1" applyAlignment="1">
      <alignment horizontal="right"/>
    </xf>
    <xf numFmtId="167" fontId="20" fillId="2" borderId="4" xfId="22" applyNumberFormat="1" applyFont="1" applyFill="1" applyBorder="1" applyAlignment="1">
      <alignment horizontal="right"/>
    </xf>
    <xf numFmtId="167" fontId="20" fillId="2" borderId="0" xfId="22" applyNumberFormat="1" applyFont="1" applyFill="1" applyBorder="1" applyAlignment="1">
      <alignment horizontal="right"/>
    </xf>
    <xf numFmtId="43" fontId="21" fillId="3" borderId="2" xfId="4" applyFont="1" applyFill="1" applyBorder="1"/>
    <xf numFmtId="0" fontId="22" fillId="3" borderId="1" xfId="11" applyFont="1" applyFill="1" applyBorder="1"/>
    <xf numFmtId="166" fontId="21" fillId="3" borderId="1" xfId="52" applyNumberFormat="1" applyFont="1" applyFill="1" applyBorder="1" applyAlignment="1">
      <alignment horizontal="right"/>
    </xf>
    <xf numFmtId="166" fontId="21" fillId="3" borderId="11" xfId="52" applyNumberFormat="1" applyFont="1" applyFill="1" applyBorder="1" applyAlignment="1">
      <alignment horizontal="right"/>
    </xf>
    <xf numFmtId="42" fontId="18" fillId="15" borderId="7" xfId="12" applyNumberFormat="1" applyFont="1" applyFill="1" applyBorder="1" applyAlignment="1">
      <alignment horizontal="right" vertical="center"/>
    </xf>
    <xf numFmtId="166" fontId="21" fillId="3" borderId="1" xfId="12" applyNumberFormat="1" applyFont="1" applyFill="1" applyBorder="1" applyAlignment="1">
      <alignment horizontal="right"/>
    </xf>
    <xf numFmtId="0" fontId="20" fillId="0" borderId="0" xfId="11" applyFont="1" applyAlignment="1">
      <alignment horizontal="left"/>
    </xf>
    <xf numFmtId="177" fontId="19" fillId="0" borderId="10" xfId="11" applyNumberFormat="1" applyFont="1" applyBorder="1"/>
    <xf numFmtId="166" fontId="19" fillId="0" borderId="3" xfId="11" applyNumberFormat="1" applyFont="1" applyBorder="1"/>
    <xf numFmtId="168" fontId="21" fillId="0" borderId="0" xfId="15" applyNumberFormat="1" applyFont="1" applyBorder="1"/>
    <xf numFmtId="168" fontId="21" fillId="0" borderId="10" xfId="15" applyNumberFormat="1" applyFont="1" applyBorder="1"/>
    <xf numFmtId="42" fontId="24" fillId="0" borderId="0" xfId="12" applyNumberFormat="1" applyFont="1" applyFill="1" applyBorder="1"/>
    <xf numFmtId="43" fontId="21" fillId="0" borderId="0" xfId="4" applyFont="1" applyFill="1" applyBorder="1"/>
    <xf numFmtId="9" fontId="21" fillId="0" borderId="0" xfId="14" applyFont="1" applyFill="1" applyBorder="1" applyAlignment="1">
      <alignment horizontal="center"/>
    </xf>
    <xf numFmtId="9" fontId="20" fillId="0" borderId="0" xfId="14" applyFont="1" applyFill="1" applyBorder="1" applyAlignment="1">
      <alignment horizontal="center"/>
    </xf>
    <xf numFmtId="43" fontId="20" fillId="0" borderId="0" xfId="4" applyFont="1" applyFill="1" applyBorder="1"/>
    <xf numFmtId="43" fontId="37" fillId="0" borderId="0" xfId="4" applyFont="1" applyFill="1" applyBorder="1"/>
    <xf numFmtId="166" fontId="20" fillId="0" borderId="0" xfId="16" applyNumberFormat="1" applyFont="1" applyFill="1" applyBorder="1"/>
    <xf numFmtId="166" fontId="19" fillId="0" borderId="0" xfId="11" applyNumberFormat="1" applyFont="1"/>
    <xf numFmtId="166" fontId="22" fillId="0" borderId="0" xfId="11" applyNumberFormat="1" applyFont="1"/>
    <xf numFmtId="0" fontId="21" fillId="0" borderId="0" xfId="11" applyFont="1" applyAlignment="1">
      <alignment horizontal="right"/>
    </xf>
    <xf numFmtId="0" fontId="20" fillId="0" borderId="7" xfId="11" applyFont="1" applyBorder="1" applyAlignment="1">
      <alignment horizontal="right"/>
    </xf>
    <xf numFmtId="0" fontId="22" fillId="0" borderId="4" xfId="11" applyFont="1" applyBorder="1"/>
    <xf numFmtId="0" fontId="22" fillId="0" borderId="10" xfId="11" applyFont="1" applyBorder="1"/>
    <xf numFmtId="0" fontId="22" fillId="0" borderId="3" xfId="11" applyFont="1" applyBorder="1"/>
    <xf numFmtId="0" fontId="19" fillId="0" borderId="4" xfId="11" applyFont="1" applyBorder="1" applyAlignment="1">
      <alignment horizontal="right"/>
    </xf>
    <xf numFmtId="178" fontId="20" fillId="0" borderId="4" xfId="1" applyNumberFormat="1" applyFont="1" applyBorder="1"/>
    <xf numFmtId="166" fontId="20" fillId="0" borderId="3" xfId="11" applyNumberFormat="1" applyFont="1" applyBorder="1"/>
    <xf numFmtId="43" fontId="21" fillId="0" borderId="6" xfId="4" applyFont="1" applyFill="1" applyBorder="1" applyAlignment="1">
      <alignment horizontal="right"/>
    </xf>
    <xf numFmtId="43" fontId="21" fillId="0" borderId="0" xfId="4" applyFont="1" applyFill="1" applyBorder="1" applyAlignment="1"/>
    <xf numFmtId="43" fontId="20" fillId="0" borderId="9" xfId="4" applyFont="1" applyFill="1" applyBorder="1" applyAlignment="1"/>
    <xf numFmtId="166" fontId="20" fillId="0" borderId="0" xfId="52" applyNumberFormat="1" applyFont="1" applyFill="1" applyBorder="1" applyAlignment="1"/>
    <xf numFmtId="166" fontId="20" fillId="0" borderId="10" xfId="52" applyNumberFormat="1" applyFont="1" applyFill="1" applyBorder="1" applyAlignment="1"/>
    <xf numFmtId="166" fontId="20" fillId="2" borderId="10" xfId="12" applyNumberFormat="1" applyFont="1" applyFill="1" applyBorder="1" applyAlignment="1">
      <alignment horizontal="right"/>
    </xf>
    <xf numFmtId="167" fontId="20" fillId="2" borderId="3" xfId="22" applyNumberFormat="1" applyFont="1" applyFill="1" applyBorder="1" applyAlignment="1">
      <alignment horizontal="right"/>
    </xf>
    <xf numFmtId="167" fontId="20" fillId="2" borderId="10" xfId="22" applyNumberFormat="1" applyFont="1" applyFill="1" applyBorder="1" applyAlignment="1">
      <alignment horizontal="right"/>
    </xf>
    <xf numFmtId="42" fontId="22" fillId="0" borderId="1" xfId="11" applyNumberFormat="1" applyFont="1" applyBorder="1" applyAlignment="1">
      <alignment horizontal="center"/>
    </xf>
    <xf numFmtId="42" fontId="22" fillId="0" borderId="1" xfId="11" applyNumberFormat="1" applyFont="1" applyBorder="1"/>
    <xf numFmtId="43" fontId="21" fillId="0" borderId="1" xfId="4" applyFont="1" applyFill="1" applyBorder="1"/>
    <xf numFmtId="43" fontId="21" fillId="0" borderId="10" xfId="4" applyFont="1" applyFill="1" applyBorder="1" applyAlignment="1">
      <alignment horizontal="right"/>
    </xf>
    <xf numFmtId="43" fontId="20" fillId="0" borderId="8" xfId="4" applyFont="1" applyFill="1" applyBorder="1" applyAlignment="1"/>
    <xf numFmtId="43" fontId="20" fillId="0" borderId="7" xfId="4" applyFont="1" applyFill="1" applyBorder="1" applyAlignment="1"/>
    <xf numFmtId="43" fontId="20" fillId="0" borderId="7" xfId="4" applyFont="1" applyFill="1" applyBorder="1" applyAlignment="1">
      <alignment horizontal="right"/>
    </xf>
    <xf numFmtId="43" fontId="20" fillId="0" borderId="0" xfId="4" applyFont="1" applyFill="1" applyBorder="1" applyAlignment="1"/>
    <xf numFmtId="43" fontId="20" fillId="0" borderId="0" xfId="4" applyFont="1" applyFill="1" applyBorder="1" applyAlignment="1">
      <alignment horizontal="right"/>
    </xf>
    <xf numFmtId="43" fontId="18" fillId="4" borderId="8" xfId="4" applyFont="1" applyFill="1" applyBorder="1" applyAlignment="1">
      <alignment horizontal="left"/>
    </xf>
    <xf numFmtId="43" fontId="18" fillId="4" borderId="6" xfId="4" applyFont="1" applyFill="1" applyBorder="1" applyAlignment="1">
      <alignment horizontal="left"/>
    </xf>
    <xf numFmtId="43" fontId="20" fillId="2" borderId="10" xfId="22" applyFont="1" applyFill="1" applyBorder="1" applyAlignment="1">
      <alignment vertical="center"/>
    </xf>
    <xf numFmtId="167" fontId="23" fillId="9" borderId="27" xfId="22" applyNumberFormat="1" applyFont="1" applyFill="1" applyBorder="1"/>
    <xf numFmtId="10" fontId="23" fillId="9" borderId="19" xfId="10" applyNumberFormat="1" applyFont="1" applyFill="1" applyBorder="1" applyAlignment="1">
      <alignment horizontal="right"/>
    </xf>
    <xf numFmtId="44" fontId="18" fillId="4" borderId="8" xfId="3" applyNumberFormat="1" applyFont="1" applyFill="1" applyBorder="1" applyAlignment="1">
      <alignment horizontal="left"/>
    </xf>
    <xf numFmtId="44" fontId="20" fillId="0" borderId="0" xfId="52" applyFont="1" applyFill="1" applyBorder="1"/>
    <xf numFmtId="165" fontId="18" fillId="0" borderId="0" xfId="3" applyNumberFormat="1" applyFont="1" applyAlignment="1">
      <alignment horizontal="center"/>
    </xf>
    <xf numFmtId="1" fontId="20" fillId="0" borderId="0" xfId="0" applyFont="1" applyFill="1" applyAlignment="1">
      <alignment horizontal="center"/>
    </xf>
    <xf numFmtId="187" fontId="23" fillId="9" borderId="20" xfId="12" applyNumberFormat="1" applyFont="1" applyFill="1" applyBorder="1" applyAlignment="1">
      <alignment horizontal="right"/>
    </xf>
    <xf numFmtId="43" fontId="35" fillId="0" borderId="0" xfId="4" applyFont="1" applyFill="1" applyBorder="1" applyAlignment="1">
      <alignment horizontal="center"/>
    </xf>
    <xf numFmtId="167" fontId="20" fillId="0" borderId="0" xfId="4" applyNumberFormat="1" applyFont="1" applyFill="1" applyBorder="1" applyAlignment="1">
      <alignment horizontal="right"/>
    </xf>
    <xf numFmtId="166" fontId="20" fillId="0" borderId="0" xfId="1" applyNumberFormat="1" applyFont="1" applyBorder="1" applyAlignment="1">
      <alignment horizontal="center"/>
    </xf>
    <xf numFmtId="1" fontId="23" fillId="0" borderId="0" xfId="0" applyFont="1" applyFill="1"/>
    <xf numFmtId="1" fontId="23" fillId="14" borderId="0" xfId="0" applyFont="1" applyFill="1"/>
    <xf numFmtId="10" fontId="20" fillId="17" borderId="9" xfId="4" applyNumberFormat="1" applyFont="1" applyFill="1" applyBorder="1" applyAlignment="1">
      <alignment horizontal="center"/>
    </xf>
    <xf numFmtId="10" fontId="20" fillId="17" borderId="0" xfId="1" applyNumberFormat="1" applyFont="1" applyFill="1" applyBorder="1" applyAlignment="1">
      <alignment horizontal="center"/>
    </xf>
    <xf numFmtId="167" fontId="23" fillId="9" borderId="31" xfId="4" applyNumberFormat="1" applyFont="1" applyFill="1" applyBorder="1" applyAlignment="1">
      <alignment horizontal="right"/>
    </xf>
    <xf numFmtId="167" fontId="23" fillId="9" borderId="32" xfId="4" applyNumberFormat="1" applyFont="1" applyFill="1" applyBorder="1" applyAlignment="1">
      <alignment horizontal="right"/>
    </xf>
    <xf numFmtId="166" fontId="20" fillId="0" borderId="7" xfId="22" applyNumberFormat="1" applyFont="1" applyFill="1" applyBorder="1" applyAlignment="1">
      <alignment horizontal="right"/>
    </xf>
    <xf numFmtId="164" fontId="20" fillId="0" borderId="0" xfId="4" applyNumberFormat="1" applyFont="1" applyFill="1" applyBorder="1" applyAlignment="1">
      <alignment horizontal="right"/>
    </xf>
    <xf numFmtId="10" fontId="20" fillId="0" borderId="0" xfId="4" applyNumberFormat="1" applyFont="1" applyFill="1" applyBorder="1" applyAlignment="1"/>
    <xf numFmtId="10" fontId="20" fillId="0" borderId="9" xfId="4" applyNumberFormat="1" applyFont="1" applyFill="1" applyBorder="1" applyAlignment="1">
      <alignment horizontal="center"/>
    </xf>
    <xf numFmtId="10" fontId="20" fillId="0" borderId="0" xfId="1" applyNumberFormat="1" applyFont="1" applyBorder="1" applyAlignment="1">
      <alignment horizontal="center"/>
    </xf>
    <xf numFmtId="9" fontId="20" fillId="0" borderId="10" xfId="1" applyNumberFormat="1" applyFont="1" applyBorder="1" applyAlignment="1">
      <alignment horizontal="center"/>
    </xf>
    <xf numFmtId="10" fontId="20" fillId="0" borderId="5" xfId="4" applyNumberFormat="1" applyFont="1" applyFill="1" applyBorder="1" applyAlignment="1">
      <alignment horizontal="center"/>
    </xf>
    <xf numFmtId="10" fontId="20" fillId="0" borderId="4" xfId="1" applyNumberFormat="1" applyFont="1" applyBorder="1" applyAlignment="1">
      <alignment horizontal="center"/>
    </xf>
    <xf numFmtId="9" fontId="20" fillId="0" borderId="3" xfId="1" applyNumberFormat="1" applyFont="1" applyBorder="1" applyAlignment="1">
      <alignment horizontal="center"/>
    </xf>
    <xf numFmtId="166" fontId="21" fillId="0" borderId="1" xfId="12" applyNumberFormat="1" applyFont="1" applyBorder="1" applyAlignment="1">
      <alignment horizontal="right"/>
    </xf>
    <xf numFmtId="166" fontId="21" fillId="0" borderId="11" xfId="12" applyNumberFormat="1" applyFont="1" applyBorder="1" applyAlignment="1">
      <alignment horizontal="right"/>
    </xf>
    <xf numFmtId="167" fontId="20" fillId="0" borderId="7" xfId="12" applyNumberFormat="1" applyFont="1" applyBorder="1" applyAlignment="1">
      <alignment horizontal="right"/>
    </xf>
    <xf numFmtId="167" fontId="20" fillId="0" borderId="6" xfId="12" applyNumberFormat="1" applyFont="1" applyBorder="1" applyAlignment="1">
      <alignment horizontal="right"/>
    </xf>
    <xf numFmtId="167" fontId="20" fillId="0" borderId="0" xfId="12" applyNumberFormat="1" applyFont="1" applyBorder="1" applyAlignment="1">
      <alignment horizontal="right"/>
    </xf>
    <xf numFmtId="167" fontId="20" fillId="0" borderId="10" xfId="12" applyNumberFormat="1" applyFont="1" applyBorder="1" applyAlignment="1">
      <alignment horizontal="right"/>
    </xf>
    <xf numFmtId="10" fontId="20" fillId="0" borderId="0" xfId="4" applyNumberFormat="1" applyFont="1" applyFill="1" applyBorder="1" applyAlignment="1">
      <alignment horizontal="center"/>
    </xf>
    <xf numFmtId="9" fontId="20" fillId="0" borderId="0" xfId="1" applyNumberFormat="1" applyFont="1" applyBorder="1" applyAlignment="1">
      <alignment horizontal="center"/>
    </xf>
    <xf numFmtId="43" fontId="21" fillId="8" borderId="8" xfId="4" applyFont="1" applyFill="1" applyBorder="1" applyAlignment="1">
      <alignment horizontal="center"/>
    </xf>
    <xf numFmtId="43" fontId="21" fillId="8" borderId="7" xfId="4" applyFont="1" applyFill="1" applyBorder="1" applyAlignment="1">
      <alignment horizontal="center"/>
    </xf>
    <xf numFmtId="43" fontId="21" fillId="8" borderId="6" xfId="4" applyFont="1" applyFill="1" applyBorder="1" applyAlignment="1">
      <alignment horizontal="center"/>
    </xf>
    <xf numFmtId="9" fontId="20" fillId="17" borderId="10" xfId="11" applyNumberFormat="1" applyFont="1" applyFill="1" applyBorder="1" applyAlignment="1">
      <alignment horizontal="center"/>
    </xf>
    <xf numFmtId="9" fontId="20" fillId="0" borderId="10" xfId="11" applyNumberFormat="1" applyFont="1" applyBorder="1" applyAlignment="1">
      <alignment horizontal="center"/>
    </xf>
    <xf numFmtId="9" fontId="20" fillId="0" borderId="3" xfId="11" applyNumberFormat="1" applyFont="1" applyBorder="1" applyAlignment="1">
      <alignment horizontal="center"/>
    </xf>
    <xf numFmtId="164" fontId="19" fillId="0" borderId="0" xfId="11" applyNumberFormat="1" applyFont="1" applyAlignment="1">
      <alignment horizontal="right"/>
    </xf>
    <xf numFmtId="9" fontId="19" fillId="0" borderId="0" xfId="11" applyNumberFormat="1" applyFont="1" applyAlignment="1">
      <alignment horizontal="right"/>
    </xf>
    <xf numFmtId="0" fontId="19" fillId="0" borderId="0" xfId="11" quotePrefix="1" applyFont="1" applyAlignment="1">
      <alignment horizontal="right"/>
    </xf>
    <xf numFmtId="165" fontId="18" fillId="0" borderId="0" xfId="3" applyNumberFormat="1" applyFont="1" applyAlignment="1">
      <alignment horizontal="right"/>
    </xf>
    <xf numFmtId="0" fontId="18" fillId="0" borderId="0" xfId="3" applyFont="1" applyAlignment="1">
      <alignment horizontal="right"/>
    </xf>
    <xf numFmtId="43" fontId="42" fillId="0" borderId="0" xfId="4" applyFont="1" applyFill="1" applyBorder="1" applyAlignment="1"/>
    <xf numFmtId="43" fontId="21" fillId="0" borderId="7" xfId="4" applyFont="1" applyFill="1" applyBorder="1"/>
    <xf numFmtId="42" fontId="22" fillId="0" borderId="7" xfId="11" applyNumberFormat="1" applyFont="1" applyBorder="1" applyAlignment="1">
      <alignment horizontal="center"/>
    </xf>
    <xf numFmtId="0" fontId="22" fillId="0" borderId="7" xfId="11" applyFont="1" applyBorder="1"/>
    <xf numFmtId="42" fontId="22" fillId="0" borderId="7" xfId="11" applyNumberFormat="1" applyFont="1" applyBorder="1"/>
    <xf numFmtId="43" fontId="21" fillId="0" borderId="4" xfId="4" applyFont="1" applyFill="1" applyBorder="1"/>
    <xf numFmtId="42" fontId="22" fillId="0" borderId="4" xfId="11" applyNumberFormat="1" applyFont="1" applyBorder="1" applyAlignment="1">
      <alignment horizontal="center"/>
    </xf>
    <xf numFmtId="10" fontId="17" fillId="0" borderId="0" xfId="1" applyNumberFormat="1" applyBorder="1" applyAlignment="1">
      <alignment horizontal="right"/>
    </xf>
    <xf numFmtId="10" fontId="23" fillId="9" borderId="0" xfId="3" applyNumberFormat="1" applyFont="1" applyFill="1" applyAlignment="1">
      <alignment horizontal="right"/>
    </xf>
    <xf numFmtId="167" fontId="20" fillId="0" borderId="27" xfId="22" applyNumberFormat="1" applyFont="1" applyFill="1" applyBorder="1"/>
    <xf numFmtId="164" fontId="23" fillId="9" borderId="54" xfId="10" applyNumberFormat="1" applyFont="1" applyFill="1" applyBorder="1" applyAlignment="1">
      <alignment horizontal="right"/>
    </xf>
    <xf numFmtId="164" fontId="23" fillId="9" borderId="55" xfId="10" applyNumberFormat="1" applyFont="1" applyFill="1" applyBorder="1" applyAlignment="1">
      <alignment horizontal="right"/>
    </xf>
    <xf numFmtId="164" fontId="19" fillId="0" borderId="0" xfId="11" applyNumberFormat="1" applyFont="1"/>
    <xf numFmtId="164" fontId="19" fillId="0" borderId="10" xfId="11" applyNumberFormat="1" applyFont="1" applyBorder="1"/>
    <xf numFmtId="0" fontId="40" fillId="0" borderId="0" xfId="11" applyFont="1" applyAlignment="1">
      <alignment horizontal="right"/>
    </xf>
    <xf numFmtId="0" fontId="23" fillId="0" borderId="0" xfId="11" applyFont="1" applyAlignment="1">
      <alignment horizontal="center"/>
    </xf>
    <xf numFmtId="10" fontId="23" fillId="0" borderId="0" xfId="11" applyNumberFormat="1" applyFont="1" applyAlignment="1">
      <alignment horizontal="center"/>
    </xf>
    <xf numFmtId="10" fontId="20" fillId="0" borderId="0" xfId="11" applyNumberFormat="1" applyFont="1" applyAlignment="1">
      <alignment horizontal="center"/>
    </xf>
    <xf numFmtId="166" fontId="19" fillId="0" borderId="0" xfId="11" applyNumberFormat="1" applyFont="1" applyAlignment="1">
      <alignment horizontal="center"/>
    </xf>
    <xf numFmtId="10" fontId="19" fillId="0" borderId="0" xfId="11" applyNumberFormat="1" applyFont="1" applyAlignment="1">
      <alignment horizontal="center"/>
    </xf>
    <xf numFmtId="166" fontId="23" fillId="9" borderId="7" xfId="11" applyNumberFormat="1" applyFont="1" applyFill="1" applyBorder="1"/>
    <xf numFmtId="9" fontId="20" fillId="0" borderId="0" xfId="11" applyNumberFormat="1" applyFont="1" applyAlignment="1">
      <alignment horizontal="left"/>
    </xf>
    <xf numFmtId="9" fontId="20" fillId="0" borderId="10" xfId="11" applyNumberFormat="1" applyFont="1" applyBorder="1" applyAlignment="1">
      <alignment horizontal="right"/>
    </xf>
    <xf numFmtId="10" fontId="20" fillId="0" borderId="10" xfId="11" applyNumberFormat="1" applyFont="1" applyBorder="1" applyAlignment="1">
      <alignment horizontal="center"/>
    </xf>
    <xf numFmtId="43" fontId="19" fillId="0" borderId="0" xfId="22" applyFont="1" applyBorder="1"/>
    <xf numFmtId="0" fontId="19" fillId="8" borderId="0" xfId="11" applyFont="1" applyFill="1"/>
    <xf numFmtId="0" fontId="40" fillId="8" borderId="0" xfId="11" applyFont="1" applyFill="1" applyAlignment="1">
      <alignment horizontal="center"/>
    </xf>
    <xf numFmtId="0" fontId="41" fillId="8" borderId="0" xfId="11" applyFont="1" applyFill="1" applyAlignment="1">
      <alignment horizontal="center"/>
    </xf>
    <xf numFmtId="0" fontId="41" fillId="8" borderId="10" xfId="11" applyFont="1" applyFill="1" applyBorder="1" applyAlignment="1">
      <alignment horizontal="center"/>
    </xf>
    <xf numFmtId="0" fontId="20" fillId="0" borderId="9" xfId="22" applyNumberFormat="1" applyFont="1" applyBorder="1" applyAlignment="1">
      <alignment horizontal="left"/>
    </xf>
    <xf numFmtId="0" fontId="22" fillId="8" borderId="9" xfId="11" applyFont="1" applyFill="1" applyBorder="1"/>
    <xf numFmtId="0" fontId="20" fillId="0" borderId="4" xfId="11" applyFont="1" applyBorder="1" applyAlignment="1">
      <alignment horizontal="left"/>
    </xf>
    <xf numFmtId="0" fontId="20" fillId="0" borderId="3" xfId="11" applyFont="1" applyBorder="1" applyAlignment="1">
      <alignment horizontal="left"/>
    </xf>
    <xf numFmtId="166" fontId="23" fillId="9" borderId="51" xfId="12" applyNumberFormat="1" applyFont="1" applyFill="1" applyBorder="1" applyAlignment="1">
      <alignment horizontal="left"/>
    </xf>
    <xf numFmtId="167" fontId="23" fillId="9" borderId="34" xfId="4" applyNumberFormat="1" applyFont="1" applyFill="1" applyBorder="1" applyAlignment="1">
      <alignment horizontal="left"/>
    </xf>
    <xf numFmtId="167" fontId="23" fillId="9" borderId="52" xfId="4" applyNumberFormat="1" applyFont="1" applyFill="1" applyBorder="1" applyAlignment="1">
      <alignment horizontal="left"/>
    </xf>
    <xf numFmtId="0" fontId="19" fillId="0" borderId="7" xfId="11" applyFont="1" applyBorder="1" applyAlignment="1">
      <alignment horizontal="left"/>
    </xf>
    <xf numFmtId="0" fontId="19" fillId="0" borderId="0" xfId="11" applyFont="1" applyAlignment="1">
      <alignment horizontal="left"/>
    </xf>
    <xf numFmtId="10" fontId="23" fillId="9" borderId="29" xfId="11" applyNumberFormat="1" applyFont="1" applyFill="1" applyBorder="1" applyAlignment="1">
      <alignment horizontal="right"/>
    </xf>
    <xf numFmtId="167" fontId="23" fillId="9" borderId="57" xfId="4" applyNumberFormat="1" applyFont="1" applyFill="1" applyBorder="1" applyAlignment="1">
      <alignment horizontal="right"/>
    </xf>
    <xf numFmtId="0" fontId="18" fillId="4" borderId="2" xfId="11" applyFont="1" applyFill="1" applyBorder="1" applyAlignment="1">
      <alignment horizontal="left"/>
    </xf>
    <xf numFmtId="2" fontId="18" fillId="4" borderId="8" xfId="0" applyNumberFormat="1" applyFont="1" applyFill="1" applyBorder="1" applyAlignment="1">
      <alignment horizontal="left"/>
    </xf>
    <xf numFmtId="166" fontId="20" fillId="0" borderId="46" xfId="12" applyNumberFormat="1" applyFont="1" applyFill="1" applyBorder="1" applyAlignment="1">
      <alignment horizontal="right"/>
    </xf>
    <xf numFmtId="164" fontId="23" fillId="9" borderId="38" xfId="10" applyNumberFormat="1" applyFont="1" applyFill="1" applyBorder="1" applyAlignment="1">
      <alignment horizontal="right"/>
    </xf>
    <xf numFmtId="164" fontId="23" fillId="9" borderId="58" xfId="10" applyNumberFormat="1" applyFont="1" applyFill="1" applyBorder="1" applyAlignment="1">
      <alignment horizontal="right"/>
    </xf>
    <xf numFmtId="164" fontId="19" fillId="0" borderId="3" xfId="11" applyNumberFormat="1" applyFont="1" applyBorder="1" applyAlignment="1">
      <alignment horizontal="right"/>
    </xf>
    <xf numFmtId="0" fontId="23" fillId="9" borderId="38" xfId="10" applyFont="1" applyFill="1" applyBorder="1" applyAlignment="1">
      <alignment horizontal="right"/>
    </xf>
    <xf numFmtId="0" fontId="23" fillId="9" borderId="4" xfId="10" applyFont="1" applyFill="1" applyBorder="1" applyAlignment="1">
      <alignment horizontal="right"/>
    </xf>
    <xf numFmtId="0" fontId="19" fillId="4" borderId="8" xfId="11" applyFont="1" applyFill="1" applyBorder="1" applyAlignment="1">
      <alignment horizontal="left"/>
    </xf>
    <xf numFmtId="165" fontId="19" fillId="0" borderId="48" xfId="3" applyNumberFormat="1" applyFont="1" applyBorder="1" applyAlignment="1">
      <alignment horizontal="left"/>
    </xf>
    <xf numFmtId="165" fontId="19" fillId="0" borderId="46" xfId="3" applyNumberFormat="1" applyFont="1" applyBorder="1" applyAlignment="1">
      <alignment horizontal="left"/>
    </xf>
    <xf numFmtId="165" fontId="19" fillId="0" borderId="47" xfId="3" applyNumberFormat="1" applyFont="1" applyBorder="1" applyAlignment="1">
      <alignment horizontal="left"/>
    </xf>
    <xf numFmtId="2" fontId="19" fillId="0" borderId="48" xfId="0" applyNumberFormat="1" applyFont="1" applyFill="1" applyBorder="1" applyAlignment="1">
      <alignment horizontal="left"/>
    </xf>
    <xf numFmtId="2" fontId="19" fillId="0" borderId="47" xfId="0" applyNumberFormat="1" applyFont="1" applyFill="1" applyBorder="1" applyAlignment="1">
      <alignment horizontal="left"/>
    </xf>
    <xf numFmtId="0" fontId="43" fillId="0" borderId="0" xfId="11" applyFont="1"/>
    <xf numFmtId="0" fontId="19" fillId="0" borderId="9" xfId="22" applyNumberFormat="1" applyFont="1" applyBorder="1"/>
    <xf numFmtId="0" fontId="18" fillId="4" borderId="2" xfId="4" applyNumberFormat="1" applyFont="1" applyFill="1" applyBorder="1" applyAlignment="1">
      <alignment horizontal="left"/>
    </xf>
    <xf numFmtId="10" fontId="23" fillId="9" borderId="56" xfId="1" applyNumberFormat="1" applyFont="1" applyFill="1" applyBorder="1" applyAlignment="1">
      <alignment horizontal="center"/>
    </xf>
    <xf numFmtId="10" fontId="23" fillId="9" borderId="9" xfId="1" applyNumberFormat="1" applyFont="1" applyFill="1" applyBorder="1" applyAlignment="1">
      <alignment horizontal="center"/>
    </xf>
    <xf numFmtId="9" fontId="20" fillId="0" borderId="0" xfId="13" applyFont="1" applyBorder="1" applyAlignment="1">
      <alignment horizontal="right"/>
    </xf>
    <xf numFmtId="0" fontId="37" fillId="0" borderId="0" xfId="11" applyFont="1"/>
    <xf numFmtId="169" fontId="37" fillId="0" borderId="0" xfId="15" applyNumberFormat="1" applyFont="1" applyFill="1" applyBorder="1"/>
    <xf numFmtId="9" fontId="21" fillId="17" borderId="10" xfId="1" applyNumberFormat="1" applyFont="1" applyFill="1" applyBorder="1" applyAlignment="1">
      <alignment horizontal="center"/>
    </xf>
    <xf numFmtId="9" fontId="20" fillId="17" borderId="0" xfId="1" applyNumberFormat="1" applyFont="1" applyFill="1" applyBorder="1" applyAlignment="1">
      <alignment horizontal="center"/>
    </xf>
    <xf numFmtId="9" fontId="20" fillId="0" borderId="4" xfId="1" applyNumberFormat="1" applyFont="1" applyBorder="1" applyAlignment="1">
      <alignment horizontal="center"/>
    </xf>
    <xf numFmtId="10" fontId="20" fillId="3" borderId="8" xfId="4" applyNumberFormat="1" applyFont="1" applyFill="1" applyBorder="1" applyAlignment="1">
      <alignment horizontal="center"/>
    </xf>
    <xf numFmtId="10" fontId="20" fillId="3" borderId="7" xfId="1" applyNumberFormat="1" applyFont="1" applyFill="1" applyBorder="1" applyAlignment="1">
      <alignment horizontal="center"/>
    </xf>
    <xf numFmtId="9" fontId="20" fillId="3" borderId="7" xfId="1" applyNumberFormat="1" applyFont="1" applyFill="1" applyBorder="1" applyAlignment="1">
      <alignment horizontal="center"/>
    </xf>
    <xf numFmtId="9" fontId="21" fillId="3" borderId="6" xfId="1" applyNumberFormat="1" applyFont="1" applyFill="1" applyBorder="1" applyAlignment="1">
      <alignment horizontal="center"/>
    </xf>
    <xf numFmtId="10" fontId="19" fillId="0" borderId="0" xfId="11" applyNumberFormat="1" applyFont="1"/>
    <xf numFmtId="0" fontId="19" fillId="0" borderId="5" xfId="22" applyNumberFormat="1" applyFont="1" applyBorder="1"/>
    <xf numFmtId="0" fontId="19" fillId="0" borderId="9" xfId="22" applyNumberFormat="1" applyFont="1" applyBorder="1" applyAlignment="1">
      <alignment horizontal="left"/>
    </xf>
    <xf numFmtId="9" fontId="20" fillId="0" borderId="27" xfId="1" applyNumberFormat="1" applyFont="1" applyBorder="1"/>
    <xf numFmtId="9" fontId="20" fillId="0" borderId="4" xfId="1" applyNumberFormat="1" applyFont="1" applyBorder="1"/>
    <xf numFmtId="9" fontId="20" fillId="0" borderId="31" xfId="1" applyNumberFormat="1" applyFont="1" applyBorder="1"/>
    <xf numFmtId="9" fontId="20" fillId="0" borderId="3" xfId="1" applyNumberFormat="1" applyFont="1" applyBorder="1"/>
    <xf numFmtId="9" fontId="37" fillId="0" borderId="0" xfId="11" applyNumberFormat="1" applyFont="1" applyAlignment="1">
      <alignment horizontal="right"/>
    </xf>
    <xf numFmtId="10" fontId="20" fillId="0" borderId="47" xfId="1" applyNumberFormat="1" applyFont="1" applyBorder="1" applyAlignment="1">
      <alignment horizontal="right"/>
    </xf>
    <xf numFmtId="0" fontId="35" fillId="0" borderId="0" xfId="4" applyNumberFormat="1" applyFont="1" applyFill="1" applyBorder="1" applyAlignment="1">
      <alignment horizontal="left"/>
    </xf>
    <xf numFmtId="1" fontId="20" fillId="0" borderId="9" xfId="0" applyFont="1" applyFill="1" applyBorder="1" applyAlignment="1">
      <alignment horizontal="left" vertical="center"/>
    </xf>
    <xf numFmtId="4" fontId="23" fillId="14" borderId="0" xfId="0" applyNumberFormat="1" applyFont="1" applyFill="1" applyAlignment="1">
      <alignment horizontal="right" vertical="center"/>
    </xf>
    <xf numFmtId="4" fontId="20" fillId="0" borderId="0" xfId="0" applyNumberFormat="1" applyFont="1" applyFill="1" applyAlignment="1">
      <alignment horizontal="right" vertical="center"/>
    </xf>
    <xf numFmtId="166" fontId="20" fillId="0" borderId="18" xfId="12" applyNumberFormat="1" applyFont="1" applyFill="1" applyBorder="1"/>
    <xf numFmtId="10" fontId="21" fillId="0" borderId="0" xfId="10" applyNumberFormat="1" applyFont="1" applyAlignment="1">
      <alignment horizontal="center"/>
    </xf>
    <xf numFmtId="10" fontId="20" fillId="0" borderId="36" xfId="10" applyNumberFormat="1" applyFont="1" applyBorder="1" applyAlignment="1">
      <alignment horizontal="center"/>
    </xf>
    <xf numFmtId="10" fontId="20" fillId="0" borderId="0" xfId="10" applyNumberFormat="1" applyFont="1" applyAlignment="1">
      <alignment horizontal="center"/>
    </xf>
    <xf numFmtId="43" fontId="21" fillId="8" borderId="11" xfId="4" applyFont="1" applyFill="1" applyBorder="1" applyAlignment="1">
      <alignment horizontal="center" vertical="center" wrapText="1"/>
    </xf>
    <xf numFmtId="9" fontId="20" fillId="0" borderId="18" xfId="11" applyNumberFormat="1" applyFont="1" applyBorder="1" applyAlignment="1">
      <alignment horizontal="center"/>
    </xf>
    <xf numFmtId="172" fontId="20" fillId="0" borderId="18" xfId="4" applyNumberFormat="1" applyFont="1" applyFill="1" applyBorder="1" applyAlignment="1">
      <alignment horizontal="center"/>
    </xf>
    <xf numFmtId="173" fontId="20" fillId="0" borderId="18" xfId="4" applyNumberFormat="1" applyFont="1" applyFill="1" applyBorder="1" applyAlignment="1">
      <alignment horizontal="center"/>
    </xf>
    <xf numFmtId="42" fontId="22" fillId="8" borderId="11" xfId="11" applyNumberFormat="1" applyFont="1" applyFill="1" applyBorder="1"/>
    <xf numFmtId="1" fontId="44" fillId="4" borderId="0" xfId="0" applyFont="1" applyFill="1" applyAlignment="1">
      <alignment vertical="center"/>
    </xf>
    <xf numFmtId="1" fontId="44" fillId="0" borderId="0" xfId="0" applyFont="1" applyFill="1" applyAlignment="1">
      <alignment vertical="center"/>
    </xf>
    <xf numFmtId="1" fontId="45" fillId="0" borderId="0" xfId="0" applyFont="1" applyAlignment="1">
      <alignment vertical="center"/>
    </xf>
    <xf numFmtId="44" fontId="46" fillId="8" borderId="40" xfId="0" applyNumberFormat="1" applyFont="1" applyFill="1" applyBorder="1" applyAlignment="1">
      <alignment vertical="center"/>
    </xf>
    <xf numFmtId="1" fontId="36" fillId="8" borderId="27" xfId="0" applyFont="1" applyFill="1" applyBorder="1" applyAlignment="1">
      <alignment vertical="center"/>
    </xf>
    <xf numFmtId="1" fontId="47" fillId="0" borderId="0" xfId="0" applyFont="1" applyAlignment="1">
      <alignment horizontal="left" vertical="center"/>
    </xf>
    <xf numFmtId="1" fontId="45" fillId="8" borderId="36" xfId="0" applyFont="1" applyFill="1" applyBorder="1" applyAlignment="1">
      <alignment vertical="center"/>
    </xf>
    <xf numFmtId="44" fontId="46" fillId="8" borderId="53" xfId="0" applyNumberFormat="1" applyFont="1" applyFill="1" applyBorder="1" applyAlignment="1">
      <alignment vertical="center"/>
    </xf>
    <xf numFmtId="1" fontId="36" fillId="8" borderId="37" xfId="0" applyFont="1" applyFill="1" applyBorder="1" applyAlignment="1">
      <alignment vertical="center"/>
    </xf>
    <xf numFmtId="1" fontId="36" fillId="8" borderId="0" xfId="0" applyFont="1" applyFill="1" applyAlignment="1">
      <alignment horizontal="left" vertical="center"/>
    </xf>
    <xf numFmtId="1" fontId="36" fillId="0" borderId="0" xfId="0" applyFont="1" applyAlignment="1">
      <alignment horizontal="left" vertical="center"/>
    </xf>
    <xf numFmtId="44" fontId="46" fillId="8" borderId="59" xfId="0" applyNumberFormat="1" applyFont="1" applyFill="1" applyBorder="1" applyAlignment="1">
      <alignment vertical="center"/>
    </xf>
    <xf numFmtId="1" fontId="36" fillId="8" borderId="0" xfId="0" applyFont="1" applyFill="1" applyAlignment="1">
      <alignment vertical="center"/>
    </xf>
    <xf numFmtId="44" fontId="46" fillId="8" borderId="39" xfId="0" applyNumberFormat="1" applyFont="1" applyFill="1" applyBorder="1" applyAlignment="1">
      <alignment vertical="center"/>
    </xf>
    <xf numFmtId="1" fontId="36" fillId="8" borderId="36" xfId="0" applyFont="1" applyFill="1" applyBorder="1" applyAlignment="1">
      <alignment vertical="center"/>
    </xf>
    <xf numFmtId="1" fontId="36" fillId="8" borderId="36" xfId="0" applyFont="1" applyFill="1" applyBorder="1" applyAlignment="1">
      <alignment horizontal="left" vertical="center"/>
    </xf>
    <xf numFmtId="174" fontId="36" fillId="8" borderId="0" xfId="52" applyNumberFormat="1" applyFont="1" applyFill="1" applyBorder="1" applyAlignment="1">
      <alignment horizontal="left" vertical="center"/>
    </xf>
    <xf numFmtId="174" fontId="36" fillId="0" borderId="0" xfId="52" applyNumberFormat="1" applyFont="1" applyBorder="1" applyAlignment="1">
      <alignment horizontal="left" vertical="center"/>
    </xf>
    <xf numFmtId="1" fontId="47" fillId="0" borderId="0" xfId="0" applyFont="1" applyAlignment="1">
      <alignment vertical="center"/>
    </xf>
    <xf numFmtId="1" fontId="48" fillId="0" borderId="0" xfId="0" applyFont="1" applyAlignment="1">
      <alignment vertical="center"/>
    </xf>
    <xf numFmtId="10" fontId="45" fillId="8" borderId="0" xfId="1" applyNumberFormat="1" applyFont="1" applyFill="1" applyBorder="1" applyAlignment="1">
      <alignment horizontal="left" vertical="center"/>
    </xf>
    <xf numFmtId="10" fontId="45" fillId="0" borderId="0" xfId="1" applyNumberFormat="1" applyFont="1" applyBorder="1" applyAlignment="1">
      <alignment horizontal="left" vertical="center"/>
    </xf>
    <xf numFmtId="44" fontId="36" fillId="8" borderId="59" xfId="0" applyNumberFormat="1" applyFont="1" applyFill="1" applyBorder="1" applyAlignment="1">
      <alignment vertical="center"/>
    </xf>
    <xf numFmtId="9" fontId="45" fillId="8" borderId="0" xfId="1" applyNumberFormat="1" applyFont="1" applyFill="1" applyBorder="1" applyAlignment="1">
      <alignment horizontal="left" vertical="center"/>
    </xf>
    <xf numFmtId="9" fontId="45" fillId="0" borderId="0" xfId="1" applyNumberFormat="1" applyFont="1" applyBorder="1" applyAlignment="1">
      <alignment horizontal="left" vertical="center"/>
    </xf>
    <xf numFmtId="2" fontId="45" fillId="8" borderId="0" xfId="0" applyNumberFormat="1" applyFont="1" applyFill="1" applyAlignment="1">
      <alignment horizontal="left" vertical="center"/>
    </xf>
    <xf numFmtId="2" fontId="45" fillId="0" borderId="0" xfId="0" applyNumberFormat="1" applyFont="1" applyAlignment="1">
      <alignment horizontal="left" vertical="center"/>
    </xf>
    <xf numFmtId="174" fontId="45" fillId="8" borderId="0" xfId="52" applyNumberFormat="1" applyFont="1" applyFill="1" applyBorder="1" applyAlignment="1">
      <alignment horizontal="left" vertical="center"/>
    </xf>
    <xf numFmtId="174" fontId="45" fillId="0" borderId="0" xfId="52" applyNumberFormat="1" applyFont="1" applyBorder="1" applyAlignment="1">
      <alignment horizontal="left" vertical="center"/>
    </xf>
    <xf numFmtId="1" fontId="45" fillId="0" borderId="0" xfId="0" applyFont="1" applyAlignment="1">
      <alignment horizontal="left" vertical="center"/>
    </xf>
    <xf numFmtId="1" fontId="36" fillId="0" borderId="0" xfId="0" applyFont="1" applyAlignment="1">
      <alignment vertical="center"/>
    </xf>
    <xf numFmtId="1" fontId="45" fillId="8" borderId="27" xfId="0" applyFont="1" applyFill="1" applyBorder="1" applyAlignment="1">
      <alignment vertical="center"/>
    </xf>
    <xf numFmtId="188" fontId="47" fillId="8" borderId="27" xfId="0" applyNumberFormat="1" applyFont="1" applyFill="1" applyBorder="1" applyAlignment="1">
      <alignment horizontal="center" vertical="center"/>
    </xf>
    <xf numFmtId="1" fontId="49" fillId="4" borderId="0" xfId="0" applyFont="1" applyFill="1" applyAlignment="1">
      <alignment horizontal="center" vertical="center"/>
    </xf>
    <xf numFmtId="188" fontId="45" fillId="0" borderId="0" xfId="0" applyNumberFormat="1" applyFont="1" applyAlignment="1">
      <alignment horizontal="center" vertical="center"/>
    </xf>
    <xf numFmtId="10" fontId="45" fillId="0" borderId="0" xfId="1" applyNumberFormat="1" applyFont="1" applyAlignment="1">
      <alignment horizontal="center" vertical="center"/>
    </xf>
    <xf numFmtId="188" fontId="45" fillId="9" borderId="0" xfId="0" applyNumberFormat="1" applyFont="1" applyFill="1" applyAlignment="1">
      <alignment horizontal="center" vertical="center"/>
    </xf>
    <xf numFmtId="10" fontId="45" fillId="9" borderId="0" xfId="1" applyNumberFormat="1" applyFont="1" applyFill="1" applyAlignment="1">
      <alignment horizontal="center" vertical="center"/>
    </xf>
    <xf numFmtId="4" fontId="20" fillId="0" borderId="0" xfId="0" applyNumberFormat="1" applyFont="1"/>
    <xf numFmtId="3" fontId="20" fillId="0" borderId="0" xfId="0" applyNumberFormat="1" applyFont="1"/>
    <xf numFmtId="189" fontId="36" fillId="8" borderId="27" xfId="0" applyNumberFormat="1" applyFont="1" applyFill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3" fontId="45" fillId="9" borderId="0" xfId="0" applyNumberFormat="1" applyFont="1" applyFill="1" applyAlignment="1">
      <alignment horizontal="center" vertical="center"/>
    </xf>
    <xf numFmtId="189" fontId="45" fillId="0" borderId="0" xfId="0" applyNumberFormat="1" applyFont="1" applyAlignment="1">
      <alignment horizontal="center" vertical="center"/>
    </xf>
    <xf numFmtId="189" fontId="45" fillId="9" borderId="0" xfId="0" applyNumberFormat="1" applyFont="1" applyFill="1" applyAlignment="1">
      <alignment horizontal="center" vertical="center"/>
    </xf>
    <xf numFmtId="1" fontId="50" fillId="0" borderId="0" xfId="0" applyFont="1" applyAlignment="1">
      <alignment vertical="center"/>
    </xf>
    <xf numFmtId="190" fontId="45" fillId="0" borderId="0" xfId="0" applyNumberFormat="1" applyFont="1" applyAlignment="1">
      <alignment horizontal="left" vertical="center"/>
    </xf>
    <xf numFmtId="167" fontId="20" fillId="0" borderId="40" xfId="22" applyNumberFormat="1" applyFont="1" applyFill="1" applyBorder="1"/>
    <xf numFmtId="167" fontId="20" fillId="0" borderId="0" xfId="12" applyNumberFormat="1" applyFont="1" applyFill="1" applyBorder="1" applyAlignment="1">
      <alignment horizontal="right"/>
    </xf>
    <xf numFmtId="167" fontId="20" fillId="0" borderId="36" xfId="4" applyNumberFormat="1" applyFont="1" applyFill="1" applyBorder="1" applyAlignment="1">
      <alignment horizontal="right"/>
    </xf>
    <xf numFmtId="167" fontId="20" fillId="0" borderId="37" xfId="4" applyNumberFormat="1" applyFont="1" applyFill="1" applyBorder="1" applyAlignment="1">
      <alignment horizontal="right"/>
    </xf>
    <xf numFmtId="164" fontId="19" fillId="0" borderId="47" xfId="11" applyNumberFormat="1" applyFont="1" applyBorder="1" applyAlignment="1">
      <alignment horizontal="right"/>
    </xf>
    <xf numFmtId="1" fontId="18" fillId="4" borderId="11" xfId="0" applyFont="1" applyFill="1" applyBorder="1" applyAlignment="1">
      <alignment horizontal="right"/>
    </xf>
    <xf numFmtId="1" fontId="18" fillId="4" borderId="1" xfId="0" applyFont="1" applyFill="1" applyBorder="1" applyAlignment="1">
      <alignment horizontal="right"/>
    </xf>
    <xf numFmtId="165" fontId="18" fillId="4" borderId="2" xfId="3" applyNumberFormat="1" applyFont="1" applyFill="1" applyBorder="1" applyAlignment="1">
      <alignment horizontal="right"/>
    </xf>
    <xf numFmtId="0" fontId="23" fillId="0" borderId="0" xfId="15" applyNumberFormat="1" applyFont="1" applyFill="1" applyBorder="1" applyAlignment="1">
      <alignment horizontal="right"/>
    </xf>
    <xf numFmtId="0" fontId="23" fillId="0" borderId="0" xfId="15" applyNumberFormat="1" applyFont="1" applyFill="1" applyBorder="1"/>
    <xf numFmtId="0" fontId="23" fillId="0" borderId="0" xfId="12" applyNumberFormat="1" applyFont="1" applyFill="1" applyBorder="1" applyAlignment="1">
      <alignment horizontal="right"/>
    </xf>
    <xf numFmtId="10" fontId="23" fillId="0" borderId="0" xfId="1" applyNumberFormat="1" applyFont="1" applyBorder="1"/>
    <xf numFmtId="177" fontId="23" fillId="0" borderId="0" xfId="11" applyNumberFormat="1" applyFont="1"/>
    <xf numFmtId="177" fontId="20" fillId="0" borderId="0" xfId="11" applyNumberFormat="1" applyFont="1"/>
    <xf numFmtId="166" fontId="23" fillId="0" borderId="4" xfId="15" applyNumberFormat="1" applyFont="1" applyFill="1" applyBorder="1"/>
    <xf numFmtId="44" fontId="21" fillId="0" borderId="10" xfId="12" applyFont="1" applyBorder="1" applyAlignment="1">
      <alignment horizontal="right"/>
    </xf>
    <xf numFmtId="191" fontId="20" fillId="3" borderId="7" xfId="1" applyNumberFormat="1" applyFont="1" applyFill="1" applyBorder="1" applyAlignment="1">
      <alignment horizontal="center"/>
    </xf>
    <xf numFmtId="191" fontId="20" fillId="0" borderId="0" xfId="1" applyNumberFormat="1" applyFont="1" applyBorder="1" applyAlignment="1">
      <alignment horizontal="center"/>
    </xf>
    <xf numFmtId="191" fontId="20" fillId="17" borderId="0" xfId="1" applyNumberFormat="1" applyFont="1" applyFill="1" applyBorder="1" applyAlignment="1">
      <alignment horizontal="center"/>
    </xf>
    <xf numFmtId="191" fontId="20" fillId="0" borderId="4" xfId="1" applyNumberFormat="1" applyFont="1" applyBorder="1" applyAlignment="1">
      <alignment horizontal="center"/>
    </xf>
    <xf numFmtId="191" fontId="20" fillId="0" borderId="4" xfId="11" applyNumberFormat="1" applyFont="1" applyBorder="1" applyAlignment="1">
      <alignment horizontal="center"/>
    </xf>
    <xf numFmtId="0" fontId="21" fillId="8" borderId="1" xfId="4" applyNumberFormat="1" applyFont="1" applyFill="1" applyBorder="1" applyAlignment="1">
      <alignment horizontal="center" vertical="center" wrapText="1"/>
    </xf>
    <xf numFmtId="0" fontId="21" fillId="8" borderId="2" xfId="4" applyNumberFormat="1" applyFont="1" applyFill="1" applyBorder="1" applyAlignment="1">
      <alignment horizontal="center" vertical="center" wrapText="1"/>
    </xf>
    <xf numFmtId="9" fontId="36" fillId="8" borderId="0" xfId="0" applyNumberFormat="1" applyFont="1" applyFill="1" applyAlignment="1">
      <alignment horizontal="left" vertical="center"/>
    </xf>
    <xf numFmtId="1" fontId="47" fillId="0" borderId="0" xfId="0" applyFont="1" applyFill="1" applyAlignment="1">
      <alignment horizontal="left" vertical="center"/>
    </xf>
    <xf numFmtId="164" fontId="47" fillId="8" borderId="0" xfId="0" applyNumberFormat="1" applyFont="1" applyFill="1" applyAlignment="1">
      <alignment horizontal="left" vertical="center"/>
    </xf>
    <xf numFmtId="1" fontId="45" fillId="0" borderId="0" xfId="0" applyFont="1" applyFill="1" applyAlignment="1">
      <alignment vertical="center"/>
    </xf>
    <xf numFmtId="1" fontId="45" fillId="8" borderId="0" xfId="0" applyFont="1" applyFill="1" applyAlignment="1">
      <alignment horizontal="left" vertical="center"/>
    </xf>
    <xf numFmtId="4" fontId="45" fillId="0" borderId="0" xfId="0" applyNumberFormat="1" applyFont="1" applyAlignment="1">
      <alignment vertical="center"/>
    </xf>
    <xf numFmtId="9" fontId="23" fillId="9" borderId="27" xfId="11" applyNumberFormat="1" applyFont="1" applyFill="1" applyBorder="1" applyAlignment="1">
      <alignment horizontal="left"/>
    </xf>
    <xf numFmtId="1" fontId="20" fillId="0" borderId="9" xfId="0" applyFont="1" applyBorder="1" applyAlignment="1">
      <alignment horizontal="center"/>
    </xf>
    <xf numFmtId="1" fontId="20" fillId="0" borderId="5" xfId="0" applyFont="1" applyBorder="1" applyAlignment="1">
      <alignment horizontal="center"/>
    </xf>
    <xf numFmtId="1" fontId="20" fillId="0" borderId="10" xfId="0" applyFont="1" applyBorder="1" applyAlignment="1">
      <alignment horizontal="center"/>
    </xf>
    <xf numFmtId="1" fontId="20" fillId="0" borderId="3" xfId="0" applyFont="1" applyBorder="1" applyAlignment="1">
      <alignment horizontal="center"/>
    </xf>
    <xf numFmtId="44" fontId="44" fillId="4" borderId="0" xfId="0" applyNumberFormat="1" applyFont="1" applyFill="1" applyAlignment="1">
      <alignment vertical="center"/>
    </xf>
    <xf numFmtId="191" fontId="47" fillId="8" borderId="36" xfId="0" applyNumberFormat="1" applyFont="1" applyFill="1" applyBorder="1" applyAlignment="1">
      <alignment horizontal="left" vertical="center"/>
    </xf>
    <xf numFmtId="0" fontId="45" fillId="0" borderId="0" xfId="0" applyNumberFormat="1" applyFont="1" applyAlignment="1">
      <alignment vertical="center"/>
    </xf>
    <xf numFmtId="0" fontId="53" fillId="0" borderId="0" xfId="0" applyNumberFormat="1" applyFont="1"/>
    <xf numFmtId="43" fontId="27" fillId="4" borderId="9" xfId="4" applyFont="1" applyFill="1" applyBorder="1" applyAlignment="1">
      <alignment horizontal="center" vertical="center"/>
    </xf>
    <xf numFmtId="1" fontId="47" fillId="8" borderId="0" xfId="0" applyFont="1" applyFill="1" applyAlignment="1">
      <alignment vertical="center"/>
    </xf>
    <xf numFmtId="0" fontId="47" fillId="8" borderId="0" xfId="0" applyNumberFormat="1" applyFont="1" applyFill="1" applyAlignment="1">
      <alignment horizontal="left" vertical="center"/>
    </xf>
    <xf numFmtId="0" fontId="36" fillId="8" borderId="0" xfId="0" applyNumberFormat="1" applyFont="1" applyFill="1" applyAlignment="1">
      <alignment horizontal="left" vertical="center"/>
    </xf>
    <xf numFmtId="0" fontId="36" fillId="8" borderId="36" xfId="0" applyNumberFormat="1" applyFont="1" applyFill="1" applyBorder="1" applyAlignment="1">
      <alignment horizontal="left" vertical="center"/>
    </xf>
    <xf numFmtId="0" fontId="29" fillId="0" borderId="0" xfId="11" applyFont="1" applyAlignment="1">
      <alignment horizontal="left"/>
    </xf>
    <xf numFmtId="42" fontId="21" fillId="0" borderId="0" xfId="12" applyNumberFormat="1" applyFont="1" applyFill="1" applyBorder="1" applyAlignment="1">
      <alignment horizontal="left" vertical="center"/>
    </xf>
    <xf numFmtId="0" fontId="19" fillId="0" borderId="46" xfId="11" applyFont="1" applyBorder="1" applyAlignment="1">
      <alignment horizontal="left"/>
    </xf>
    <xf numFmtId="0" fontId="19" fillId="0" borderId="47" xfId="11" applyFont="1" applyBorder="1" applyAlignment="1">
      <alignment horizontal="left"/>
    </xf>
    <xf numFmtId="0" fontId="19" fillId="0" borderId="48" xfId="11" applyFont="1" applyBorder="1" applyAlignment="1">
      <alignment horizontal="left"/>
    </xf>
    <xf numFmtId="0" fontId="20" fillId="0" borderId="0" xfId="10" applyFont="1" applyAlignment="1">
      <alignment horizontal="left"/>
    </xf>
    <xf numFmtId="41" fontId="23" fillId="0" borderId="0" xfId="12" applyNumberFormat="1" applyFont="1" applyFill="1" applyBorder="1" applyAlignment="1">
      <alignment horizontal="left"/>
    </xf>
    <xf numFmtId="42" fontId="20" fillId="0" borderId="0" xfId="12" applyNumberFormat="1" applyFont="1" applyFill="1" applyBorder="1" applyAlignment="1">
      <alignment horizontal="left"/>
    </xf>
    <xf numFmtId="43" fontId="20" fillId="0" borderId="9" xfId="4" applyFont="1" applyFill="1" applyBorder="1"/>
    <xf numFmtId="43" fontId="20" fillId="0" borderId="5" xfId="4" applyFont="1" applyFill="1" applyBorder="1"/>
    <xf numFmtId="43" fontId="20" fillId="0" borderId="0" xfId="4" quotePrefix="1" applyFont="1" applyFill="1" applyBorder="1" applyAlignment="1">
      <alignment horizontal="left"/>
    </xf>
    <xf numFmtId="1" fontId="45" fillId="0" borderId="0" xfId="0" applyFont="1" applyAlignment="1">
      <alignment horizontal="center" vertical="center"/>
    </xf>
    <xf numFmtId="1" fontId="45" fillId="8" borderId="24" xfId="0" applyFont="1" applyFill="1" applyBorder="1" applyAlignment="1">
      <alignment horizontal="center" vertical="center"/>
    </xf>
    <xf numFmtId="1" fontId="47" fillId="8" borderId="24" xfId="0" applyFont="1" applyFill="1" applyBorder="1" applyAlignment="1">
      <alignment horizontal="center" vertical="center"/>
    </xf>
    <xf numFmtId="44" fontId="36" fillId="8" borderId="27" xfId="0" applyNumberFormat="1" applyFont="1" applyFill="1" applyBorder="1" applyAlignment="1">
      <alignment horizontal="left" vertical="center" indent="1"/>
    </xf>
    <xf numFmtId="44" fontId="36" fillId="8" borderId="37" xfId="0" applyNumberFormat="1" applyFont="1" applyFill="1" applyBorder="1" applyAlignment="1">
      <alignment horizontal="left" vertical="center" indent="1"/>
    </xf>
    <xf numFmtId="44" fontId="36" fillId="8" borderId="0" xfId="0" applyNumberFormat="1" applyFont="1" applyFill="1" applyAlignment="1">
      <alignment horizontal="left" vertical="center" indent="1"/>
    </xf>
    <xf numFmtId="1" fontId="45" fillId="8" borderId="44" xfId="0" applyFont="1" applyFill="1" applyBorder="1" applyAlignment="1">
      <alignment horizontal="center" vertical="center"/>
    </xf>
    <xf numFmtId="1" fontId="47" fillId="8" borderId="44" xfId="0" applyFont="1" applyFill="1" applyBorder="1" applyAlignment="1">
      <alignment horizontal="center" vertical="center"/>
    </xf>
    <xf numFmtId="44" fontId="49" fillId="4" borderId="0" xfId="0" applyNumberFormat="1" applyFont="1" applyFill="1" applyAlignment="1">
      <alignment vertical="center"/>
    </xf>
    <xf numFmtId="192" fontId="45" fillId="0" borderId="0" xfId="0" applyNumberFormat="1" applyFont="1" applyAlignment="1">
      <alignment vertical="center"/>
    </xf>
    <xf numFmtId="1" fontId="47" fillId="8" borderId="60" xfId="0" applyFont="1" applyFill="1" applyBorder="1" applyAlignment="1">
      <alignment horizontal="center" vertical="center"/>
    </xf>
    <xf numFmtId="43" fontId="45" fillId="0" borderId="0" xfId="22" applyFont="1" applyAlignment="1">
      <alignment vertical="center"/>
    </xf>
    <xf numFmtId="1" fontId="55" fillId="0" borderId="0" xfId="0" applyFont="1" applyAlignment="1">
      <alignment vertical="center"/>
    </xf>
    <xf numFmtId="0" fontId="18" fillId="4" borderId="2" xfId="57" applyFont="1" applyFill="1" applyBorder="1" applyAlignment="1">
      <alignment horizontal="center"/>
    </xf>
    <xf numFmtId="0" fontId="18" fillId="4" borderId="1" xfId="57" applyFont="1" applyFill="1" applyBorder="1" applyAlignment="1">
      <alignment horizontal="left"/>
    </xf>
    <xf numFmtId="0" fontId="18" fillId="4" borderId="1" xfId="57" applyFont="1" applyFill="1" applyBorder="1" applyAlignment="1">
      <alignment horizontal="center"/>
    </xf>
    <xf numFmtId="43" fontId="18" fillId="4" borderId="1" xfId="22" applyFont="1" applyFill="1" applyBorder="1" applyAlignment="1">
      <alignment horizontal="right"/>
    </xf>
    <xf numFmtId="0" fontId="18" fillId="4" borderId="1" xfId="57" applyFont="1" applyFill="1" applyBorder="1" applyAlignment="1">
      <alignment horizontal="right"/>
    </xf>
    <xf numFmtId="43" fontId="18" fillId="4" borderId="11" xfId="22" applyFont="1" applyFill="1" applyBorder="1" applyAlignment="1">
      <alignment horizontal="right"/>
    </xf>
    <xf numFmtId="0" fontId="18" fillId="4" borderId="43" xfId="57" applyFont="1" applyFill="1" applyBorder="1" applyAlignment="1">
      <alignment horizontal="center"/>
    </xf>
    <xf numFmtId="0" fontId="19" fillId="0" borderId="0" xfId="57" applyFont="1"/>
    <xf numFmtId="0" fontId="19" fillId="2" borderId="9" xfId="57" applyFont="1" applyFill="1" applyBorder="1" applyAlignment="1">
      <alignment horizontal="center"/>
    </xf>
    <xf numFmtId="0" fontId="19" fillId="2" borderId="46" xfId="57" applyFont="1" applyFill="1" applyBorder="1"/>
    <xf numFmtId="0" fontId="19" fillId="2" borderId="5" xfId="57" applyFont="1" applyFill="1" applyBorder="1" applyAlignment="1">
      <alignment horizontal="center"/>
    </xf>
    <xf numFmtId="0" fontId="19" fillId="2" borderId="4" xfId="57" applyFont="1" applyFill="1" applyBorder="1"/>
    <xf numFmtId="185" fontId="19" fillId="2" borderId="4" xfId="57" applyNumberFormat="1" applyFont="1" applyFill="1" applyBorder="1" applyAlignment="1">
      <alignment horizontal="center"/>
    </xf>
    <xf numFmtId="167" fontId="19" fillId="2" borderId="4" xfId="22" applyNumberFormat="1" applyFont="1" applyFill="1" applyBorder="1" applyAlignment="1">
      <alignment horizontal="right"/>
    </xf>
    <xf numFmtId="1" fontId="19" fillId="2" borderId="4" xfId="57" applyNumberFormat="1" applyFont="1" applyFill="1" applyBorder="1" applyAlignment="1">
      <alignment horizontal="right"/>
    </xf>
    <xf numFmtId="10" fontId="19" fillId="2" borderId="4" xfId="57" applyNumberFormat="1" applyFont="1" applyFill="1" applyBorder="1" applyAlignment="1">
      <alignment horizontal="right"/>
    </xf>
    <xf numFmtId="167" fontId="19" fillId="2" borderId="3" xfId="22" applyNumberFormat="1" applyFont="1" applyFill="1" applyBorder="1" applyAlignment="1">
      <alignment horizontal="right"/>
    </xf>
    <xf numFmtId="0" fontId="22" fillId="3" borderId="9" xfId="57" applyFont="1" applyFill="1" applyBorder="1" applyAlignment="1">
      <alignment horizontal="center"/>
    </xf>
    <xf numFmtId="1" fontId="22" fillId="3" borderId="0" xfId="57" applyNumberFormat="1" applyFont="1" applyFill="1" applyAlignment="1">
      <alignment horizontal="right"/>
    </xf>
    <xf numFmtId="10" fontId="22" fillId="3" borderId="0" xfId="58" applyNumberFormat="1" applyFont="1" applyFill="1" applyBorder="1" applyAlignment="1">
      <alignment horizontal="right"/>
    </xf>
    <xf numFmtId="0" fontId="22" fillId="3" borderId="5" xfId="57" applyFont="1" applyFill="1" applyBorder="1" applyAlignment="1">
      <alignment horizontal="center"/>
    </xf>
    <xf numFmtId="1" fontId="22" fillId="3" borderId="4" xfId="57" applyNumberFormat="1" applyFont="1" applyFill="1" applyBorder="1" applyAlignment="1">
      <alignment horizontal="right"/>
    </xf>
    <xf numFmtId="10" fontId="22" fillId="3" borderId="4" xfId="58" applyNumberFormat="1" applyFont="1" applyFill="1" applyBorder="1" applyAlignment="1">
      <alignment horizontal="right"/>
    </xf>
    <xf numFmtId="0" fontId="22" fillId="3" borderId="2" xfId="57" applyFont="1" applyFill="1" applyBorder="1" applyAlignment="1">
      <alignment horizontal="center"/>
    </xf>
    <xf numFmtId="1" fontId="22" fillId="3" borderId="1" xfId="57" applyNumberFormat="1" applyFont="1" applyFill="1" applyBorder="1" applyAlignment="1">
      <alignment horizontal="right"/>
    </xf>
    <xf numFmtId="10" fontId="22" fillId="3" borderId="1" xfId="58" applyNumberFormat="1" applyFont="1" applyFill="1" applyBorder="1" applyAlignment="1">
      <alignment horizontal="right"/>
    </xf>
    <xf numFmtId="0" fontId="22" fillId="0" borderId="0" xfId="59" applyFont="1"/>
    <xf numFmtId="0" fontId="19" fillId="0" borderId="4" xfId="59" applyFont="1" applyBorder="1" applyAlignment="1">
      <alignment horizontal="center"/>
    </xf>
    <xf numFmtId="3" fontId="19" fillId="0" borderId="0" xfId="59" applyNumberFormat="1" applyFont="1" applyAlignment="1">
      <alignment horizontal="center"/>
    </xf>
    <xf numFmtId="193" fontId="47" fillId="8" borderId="27" xfId="0" applyNumberFormat="1" applyFont="1" applyFill="1" applyBorder="1" applyAlignment="1">
      <alignment horizontal="center" vertical="center"/>
    </xf>
    <xf numFmtId="43" fontId="23" fillId="0" borderId="0" xfId="4" applyFont="1" applyBorder="1"/>
    <xf numFmtId="14" fontId="20" fillId="0" borderId="0" xfId="11" applyNumberFormat="1" applyFont="1" applyAlignment="1">
      <alignment horizontal="right"/>
    </xf>
    <xf numFmtId="9" fontId="21" fillId="0" borderId="0" xfId="11" applyNumberFormat="1" applyFont="1" applyAlignment="1">
      <alignment horizontal="right"/>
    </xf>
    <xf numFmtId="44" fontId="20" fillId="0" borderId="0" xfId="52" applyFont="1" applyAlignment="1">
      <alignment horizontal="left"/>
    </xf>
    <xf numFmtId="166" fontId="20" fillId="0" borderId="0" xfId="52" applyNumberFormat="1" applyFont="1" applyAlignment="1">
      <alignment horizontal="right"/>
    </xf>
    <xf numFmtId="167" fontId="19" fillId="2" borderId="0" xfId="22" applyNumberFormat="1" applyFont="1" applyFill="1" applyBorder="1" applyAlignment="1">
      <alignment horizontal="right"/>
    </xf>
    <xf numFmtId="167" fontId="19" fillId="2" borderId="10" xfId="22" applyNumberFormat="1" applyFont="1" applyFill="1" applyBorder="1" applyAlignment="1">
      <alignment horizontal="right"/>
    </xf>
    <xf numFmtId="0" fontId="18" fillId="4" borderId="6" xfId="3" applyFont="1" applyFill="1" applyBorder="1" applyAlignment="1">
      <alignment horizontal="center"/>
    </xf>
    <xf numFmtId="37" fontId="20" fillId="2" borderId="4" xfId="61" quotePrefix="1" applyNumberFormat="1" applyFont="1" applyFill="1" applyBorder="1"/>
    <xf numFmtId="0" fontId="19" fillId="2" borderId="8" xfId="57" applyFont="1" applyFill="1" applyBorder="1" applyAlignment="1">
      <alignment horizontal="center"/>
    </xf>
    <xf numFmtId="0" fontId="19" fillId="2" borderId="7" xfId="57" applyFont="1" applyFill="1" applyBorder="1"/>
    <xf numFmtId="185" fontId="19" fillId="2" borderId="7" xfId="57" applyNumberFormat="1" applyFont="1" applyFill="1" applyBorder="1" applyAlignment="1">
      <alignment horizontal="center"/>
    </xf>
    <xf numFmtId="166" fontId="20" fillId="2" borderId="7" xfId="61" quotePrefix="1" applyNumberFormat="1" applyFont="1" applyFill="1" applyBorder="1" applyAlignment="1"/>
    <xf numFmtId="1" fontId="19" fillId="2" borderId="7" xfId="57" applyNumberFormat="1" applyFont="1" applyFill="1" applyBorder="1" applyAlignment="1">
      <alignment horizontal="right"/>
    </xf>
    <xf numFmtId="10" fontId="19" fillId="2" borderId="7" xfId="57" applyNumberFormat="1" applyFont="1" applyFill="1" applyBorder="1" applyAlignment="1">
      <alignment horizontal="right"/>
    </xf>
    <xf numFmtId="166" fontId="19" fillId="2" borderId="6" xfId="61" applyNumberFormat="1" applyFont="1" applyFill="1" applyBorder="1" applyAlignment="1">
      <alignment horizontal="right"/>
    </xf>
    <xf numFmtId="0" fontId="19" fillId="2" borderId="0" xfId="57" applyFont="1" applyFill="1"/>
    <xf numFmtId="185" fontId="19" fillId="2" borderId="0" xfId="57" applyNumberFormat="1" applyFont="1" applyFill="1" applyAlignment="1">
      <alignment horizontal="center"/>
    </xf>
    <xf numFmtId="1" fontId="19" fillId="2" borderId="0" xfId="57" applyNumberFormat="1" applyFont="1" applyFill="1" applyAlignment="1">
      <alignment horizontal="right"/>
    </xf>
    <xf numFmtId="10" fontId="19" fillId="2" borderId="0" xfId="57" applyNumberFormat="1" applyFont="1" applyFill="1" applyAlignment="1">
      <alignment horizontal="right"/>
    </xf>
    <xf numFmtId="0" fontId="19" fillId="2" borderId="48" xfId="57" applyFont="1" applyFill="1" applyBorder="1"/>
    <xf numFmtId="0" fontId="19" fillId="2" borderId="47" xfId="57" applyFont="1" applyFill="1" applyBorder="1"/>
    <xf numFmtId="42" fontId="45" fillId="8" borderId="0" xfId="1" applyNumberFormat="1" applyFont="1" applyFill="1" applyBorder="1" applyAlignment="1">
      <alignment horizontal="left" vertical="center"/>
    </xf>
    <xf numFmtId="10" fontId="20" fillId="9" borderId="18" xfId="1" applyNumberFormat="1" applyFont="1" applyFill="1" applyBorder="1" applyAlignment="1">
      <alignment horizontal="right"/>
    </xf>
    <xf numFmtId="10" fontId="20" fillId="9" borderId="22" xfId="1" applyNumberFormat="1" applyFont="1" applyFill="1" applyBorder="1" applyAlignment="1">
      <alignment horizontal="right"/>
    </xf>
    <xf numFmtId="43" fontId="18" fillId="4" borderId="5" xfId="4" applyFont="1" applyFill="1" applyBorder="1" applyAlignment="1"/>
    <xf numFmtId="43" fontId="18" fillId="4" borderId="4" xfId="4" applyFont="1" applyFill="1" applyBorder="1" applyAlignment="1"/>
    <xf numFmtId="43" fontId="18" fillId="4" borderId="4" xfId="4" applyFont="1" applyFill="1" applyBorder="1" applyAlignment="1">
      <alignment horizontal="right"/>
    </xf>
    <xf numFmtId="0" fontId="21" fillId="0" borderId="0" xfId="12" applyNumberFormat="1" applyFont="1" applyBorder="1"/>
    <xf numFmtId="41" fontId="20" fillId="0" borderId="36" xfId="12" applyNumberFormat="1" applyFont="1" applyFill="1" applyBorder="1"/>
    <xf numFmtId="164" fontId="20" fillId="0" borderId="0" xfId="10" applyNumberFormat="1" applyFont="1" applyAlignment="1">
      <alignment horizontal="center"/>
    </xf>
    <xf numFmtId="2" fontId="19" fillId="0" borderId="0" xfId="11" applyNumberFormat="1" applyFont="1"/>
    <xf numFmtId="164" fontId="20" fillId="16" borderId="7" xfId="1" applyFont="1" applyFill="1" applyBorder="1"/>
    <xf numFmtId="166" fontId="20" fillId="16" borderId="7" xfId="12" applyNumberFormat="1" applyFont="1" applyFill="1" applyBorder="1"/>
    <xf numFmtId="44" fontId="20" fillId="16" borderId="0" xfId="12" applyFont="1" applyFill="1" applyBorder="1"/>
    <xf numFmtId="167" fontId="20" fillId="0" borderId="2" xfId="4" applyNumberFormat="1" applyFont="1" applyFill="1" applyBorder="1" applyAlignment="1">
      <alignment horizontal="left"/>
    </xf>
    <xf numFmtId="0" fontId="20" fillId="0" borderId="1" xfId="3" applyFont="1" applyBorder="1"/>
    <xf numFmtId="164" fontId="20" fillId="0" borderId="1" xfId="1" applyFont="1" applyBorder="1"/>
    <xf numFmtId="166" fontId="20" fillId="0" borderId="1" xfId="12" applyNumberFormat="1" applyFont="1" applyBorder="1"/>
    <xf numFmtId="44" fontId="20" fillId="0" borderId="11" xfId="12" applyFont="1" applyBorder="1"/>
    <xf numFmtId="3" fontId="20" fillId="0" borderId="0" xfId="3" applyNumberFormat="1" applyFont="1" applyAlignment="1">
      <alignment horizontal="center"/>
    </xf>
    <xf numFmtId="0" fontId="32" fillId="0" borderId="0" xfId="11" applyFont="1" applyAlignment="1">
      <alignment horizontal="right"/>
    </xf>
    <xf numFmtId="164" fontId="23" fillId="0" borderId="0" xfId="10" applyNumberFormat="1" applyFont="1" applyAlignment="1">
      <alignment horizontal="center"/>
    </xf>
    <xf numFmtId="164" fontId="23" fillId="9" borderId="0" xfId="10" applyNumberFormat="1" applyFont="1" applyFill="1" applyAlignment="1">
      <alignment horizontal="center"/>
    </xf>
    <xf numFmtId="0" fontId="22" fillId="0" borderId="0" xfId="11" applyFont="1"/>
    <xf numFmtId="0" fontId="21" fillId="0" borderId="0" xfId="11" applyFont="1" applyAlignment="1">
      <alignment horizontal="left"/>
    </xf>
    <xf numFmtId="43" fontId="37" fillId="0" borderId="0" xfId="10" applyNumberFormat="1" applyFont="1" applyAlignment="1">
      <alignment horizontal="left" vertical="center"/>
    </xf>
    <xf numFmtId="43" fontId="37" fillId="0" borderId="0" xfId="10" applyNumberFormat="1" applyFont="1" applyAlignment="1">
      <alignment vertical="center" wrapText="1"/>
    </xf>
    <xf numFmtId="43" fontId="37" fillId="0" borderId="0" xfId="10" applyNumberFormat="1" applyFont="1" applyAlignment="1">
      <alignment horizontal="center" vertical="center" wrapText="1"/>
    </xf>
    <xf numFmtId="0" fontId="19" fillId="2" borderId="0" xfId="11" applyFont="1" applyFill="1"/>
    <xf numFmtId="0" fontId="35" fillId="2" borderId="0" xfId="11" applyFont="1" applyFill="1" applyAlignment="1">
      <alignment horizontal="left"/>
    </xf>
    <xf numFmtId="0" fontId="23" fillId="2" borderId="0" xfId="11" applyFont="1" applyFill="1" applyAlignment="1">
      <alignment horizontal="left"/>
    </xf>
    <xf numFmtId="10" fontId="21" fillId="2" borderId="0" xfId="10" applyNumberFormat="1" applyFont="1" applyFill="1" applyAlignment="1">
      <alignment horizontal="center"/>
    </xf>
    <xf numFmtId="10" fontId="24" fillId="2" borderId="0" xfId="10" applyNumberFormat="1" applyFont="1" applyFill="1" applyAlignment="1">
      <alignment horizontal="center"/>
    </xf>
    <xf numFmtId="43" fontId="20" fillId="0" borderId="0" xfId="11" applyNumberFormat="1" applyFont="1" applyAlignment="1">
      <alignment horizontal="right"/>
    </xf>
    <xf numFmtId="191" fontId="20" fillId="0" borderId="0" xfId="11" applyNumberFormat="1" applyFont="1" applyAlignment="1">
      <alignment horizontal="center"/>
    </xf>
    <xf numFmtId="191" fontId="20" fillId="17" borderId="0" xfId="11" applyNumberFormat="1" applyFont="1" applyFill="1" applyAlignment="1">
      <alignment horizontal="center"/>
    </xf>
    <xf numFmtId="167" fontId="21" fillId="0" borderId="0" xfId="4" applyNumberFormat="1" applyFont="1" applyBorder="1" applyAlignment="1">
      <alignment horizontal="right"/>
    </xf>
    <xf numFmtId="10" fontId="24" fillId="0" borderId="0" xfId="10" applyNumberFormat="1" applyFont="1" applyAlignment="1">
      <alignment horizontal="center"/>
    </xf>
    <xf numFmtId="43" fontId="18" fillId="0" borderId="48" xfId="4" applyFont="1" applyFill="1" applyBorder="1" applyAlignment="1">
      <alignment horizontal="left"/>
    </xf>
    <xf numFmtId="170" fontId="23" fillId="0" borderId="46" xfId="12" applyNumberFormat="1" applyFont="1" applyFill="1" applyBorder="1" applyAlignment="1">
      <alignment horizontal="left"/>
    </xf>
    <xf numFmtId="176" fontId="23" fillId="0" borderId="46" xfId="12" applyNumberFormat="1" applyFont="1" applyFill="1" applyBorder="1" applyAlignment="1">
      <alignment horizontal="left"/>
    </xf>
    <xf numFmtId="170" fontId="21" fillId="0" borderId="46" xfId="12" applyNumberFormat="1" applyFont="1" applyFill="1" applyBorder="1" applyAlignment="1">
      <alignment horizontal="left"/>
    </xf>
    <xf numFmtId="168" fontId="20" fillId="0" borderId="46" xfId="15" applyNumberFormat="1" applyFont="1" applyFill="1" applyBorder="1" applyAlignment="1">
      <alignment horizontal="left"/>
    </xf>
    <xf numFmtId="5" fontId="20" fillId="0" borderId="46" xfId="10" applyNumberFormat="1" applyFont="1" applyBorder="1" applyAlignment="1">
      <alignment horizontal="left"/>
    </xf>
    <xf numFmtId="170" fontId="21" fillId="0" borderId="46" xfId="12" applyNumberFormat="1" applyFont="1" applyFill="1" applyBorder="1" applyAlignment="1">
      <alignment horizontal="left" vertical="center"/>
    </xf>
    <xf numFmtId="170" fontId="20" fillId="0" borderId="46" xfId="12" applyNumberFormat="1" applyFont="1" applyFill="1" applyBorder="1" applyAlignment="1">
      <alignment horizontal="left"/>
    </xf>
    <xf numFmtId="169" fontId="20" fillId="0" borderId="46" xfId="15" applyNumberFormat="1" applyFont="1" applyFill="1" applyBorder="1" applyAlignment="1">
      <alignment horizontal="left"/>
    </xf>
    <xf numFmtId="176" fontId="20" fillId="0" borderId="46" xfId="12" applyNumberFormat="1" applyFont="1" applyFill="1" applyBorder="1" applyAlignment="1">
      <alignment horizontal="left" vertical="center"/>
    </xf>
    <xf numFmtId="42" fontId="21" fillId="0" borderId="47" xfId="12" applyNumberFormat="1" applyFont="1" applyFill="1" applyBorder="1" applyAlignment="1">
      <alignment horizontal="left" vertical="center"/>
    </xf>
    <xf numFmtId="42" fontId="21" fillId="0" borderId="48" xfId="12" applyNumberFormat="1" applyFont="1" applyFill="1" applyBorder="1" applyAlignment="1">
      <alignment horizontal="left" vertical="center"/>
    </xf>
    <xf numFmtId="17" fontId="19" fillId="0" borderId="46" xfId="11" applyNumberFormat="1" applyFont="1" applyBorder="1" applyAlignment="1">
      <alignment horizontal="left"/>
    </xf>
    <xf numFmtId="44" fontId="19" fillId="0" borderId="46" xfId="11" applyNumberFormat="1" applyFont="1" applyBorder="1" applyAlignment="1">
      <alignment horizontal="left"/>
    </xf>
    <xf numFmtId="0" fontId="20" fillId="0" borderId="46" xfId="11" applyFont="1" applyBorder="1" applyAlignment="1">
      <alignment horizontal="left"/>
    </xf>
    <xf numFmtId="0" fontId="22" fillId="18" borderId="48" xfId="11" applyFont="1" applyFill="1" applyBorder="1" applyAlignment="1">
      <alignment horizontal="center" vertical="center" textRotation="90"/>
    </xf>
    <xf numFmtId="0" fontId="22" fillId="18" borderId="46" xfId="11" applyFont="1" applyFill="1" applyBorder="1" applyAlignment="1">
      <alignment horizontal="center" vertical="center" textRotation="90"/>
    </xf>
    <xf numFmtId="0" fontId="22" fillId="18" borderId="47" xfId="11" applyFont="1" applyFill="1" applyBorder="1" applyAlignment="1">
      <alignment horizontal="center" vertical="center" textRotation="90"/>
    </xf>
    <xf numFmtId="164" fontId="20" fillId="0" borderId="7" xfId="1" applyFont="1" applyBorder="1"/>
    <xf numFmtId="178" fontId="23" fillId="9" borderId="42" xfId="10" applyNumberFormat="1" applyFont="1" applyFill="1" applyBorder="1" applyAlignment="1">
      <alignment horizontal="right"/>
    </xf>
    <xf numFmtId="176" fontId="19" fillId="0" borderId="0" xfId="11" applyNumberFormat="1" applyFont="1"/>
    <xf numFmtId="10" fontId="19" fillId="0" borderId="10" xfId="11" applyNumberFormat="1" applyFont="1" applyBorder="1" applyAlignment="1">
      <alignment horizontal="right"/>
    </xf>
    <xf numFmtId="167" fontId="20" fillId="0" borderId="0" xfId="22" applyNumberFormat="1" applyFont="1" applyBorder="1" applyAlignment="1"/>
    <xf numFmtId="166" fontId="23" fillId="9" borderId="18" xfId="12" applyNumberFormat="1" applyFont="1" applyFill="1" applyBorder="1"/>
    <xf numFmtId="43" fontId="18" fillId="4" borderId="0" xfId="4" applyFont="1" applyFill="1" applyBorder="1" applyAlignment="1">
      <alignment horizontal="centerContinuous"/>
    </xf>
    <xf numFmtId="15" fontId="23" fillId="9" borderId="0" xfId="11" applyNumberFormat="1" applyFont="1" applyFill="1"/>
    <xf numFmtId="194" fontId="30" fillId="0" borderId="10" xfId="11" applyNumberFormat="1" applyFont="1" applyBorder="1" applyAlignment="1">
      <alignment horizontal="right"/>
    </xf>
    <xf numFmtId="2" fontId="20" fillId="0" borderId="4" xfId="10" applyNumberFormat="1" applyFont="1" applyBorder="1" applyAlignment="1">
      <alignment horizontal="right" vertical="center" wrapText="1"/>
    </xf>
    <xf numFmtId="43" fontId="19" fillId="0" borderId="5" xfId="22" applyFont="1" applyBorder="1"/>
    <xf numFmtId="0" fontId="20" fillId="0" borderId="4" xfId="22" applyNumberFormat="1" applyFont="1" applyBorder="1"/>
    <xf numFmtId="167" fontId="19" fillId="3" borderId="0" xfId="22" applyNumberFormat="1" applyFont="1" applyFill="1"/>
    <xf numFmtId="9" fontId="20" fillId="0" borderId="0" xfId="13" applyFont="1" applyFill="1" applyBorder="1" applyAlignment="1">
      <alignment horizontal="right"/>
    </xf>
    <xf numFmtId="164" fontId="23" fillId="9" borderId="39" xfId="10" applyNumberFormat="1" applyFont="1" applyFill="1" applyBorder="1" applyAlignment="1">
      <alignment horizontal="right"/>
    </xf>
    <xf numFmtId="164" fontId="23" fillId="9" borderId="61" xfId="10" applyNumberFormat="1" applyFont="1" applyFill="1" applyBorder="1" applyAlignment="1">
      <alignment horizontal="right"/>
    </xf>
    <xf numFmtId="164" fontId="23" fillId="9" borderId="21" xfId="10" applyNumberFormat="1" applyFont="1" applyFill="1" applyBorder="1" applyAlignment="1">
      <alignment horizontal="right"/>
    </xf>
    <xf numFmtId="10" fontId="19" fillId="0" borderId="0" xfId="11" applyNumberFormat="1" applyFont="1" applyAlignment="1">
      <alignment horizontal="left"/>
    </xf>
    <xf numFmtId="43" fontId="19" fillId="0" borderId="0" xfId="11" applyNumberFormat="1" applyFont="1" applyAlignment="1">
      <alignment horizontal="left"/>
    </xf>
    <xf numFmtId="10" fontId="19" fillId="0" borderId="0" xfId="11" applyNumberFormat="1" applyFont="1" applyAlignment="1">
      <alignment horizontal="right"/>
    </xf>
    <xf numFmtId="2" fontId="20" fillId="0" borderId="0" xfId="11" applyNumberFormat="1" applyFont="1" applyAlignment="1">
      <alignment horizontal="right"/>
    </xf>
    <xf numFmtId="10" fontId="21" fillId="0" borderId="0" xfId="11" applyNumberFormat="1" applyFont="1" applyAlignment="1">
      <alignment horizontal="right"/>
    </xf>
    <xf numFmtId="166" fontId="21" fillId="0" borderId="0" xfId="10" applyNumberFormat="1" applyFont="1" applyAlignment="1">
      <alignment horizontal="right"/>
    </xf>
    <xf numFmtId="0" fontId="21" fillId="8" borderId="6" xfId="4" applyNumberFormat="1" applyFont="1" applyFill="1" applyBorder="1" applyAlignment="1">
      <alignment horizontal="center"/>
    </xf>
    <xf numFmtId="43" fontId="18" fillId="0" borderId="0" xfId="4" applyFont="1" applyFill="1" applyBorder="1" applyAlignment="1">
      <alignment horizontal="left"/>
    </xf>
    <xf numFmtId="43" fontId="21" fillId="0" borderId="0" xfId="4" applyFont="1" applyFill="1" applyBorder="1" applyAlignment="1">
      <alignment horizontal="center"/>
    </xf>
    <xf numFmtId="0" fontId="21" fillId="3" borderId="4" xfId="59" applyFont="1" applyFill="1" applyBorder="1"/>
    <xf numFmtId="0" fontId="56" fillId="0" borderId="0" xfId="57" applyFont="1" applyAlignment="1">
      <alignment horizontal="right"/>
    </xf>
    <xf numFmtId="0" fontId="57" fillId="0" borderId="0" xfId="57" applyFont="1"/>
    <xf numFmtId="166" fontId="20" fillId="2" borderId="4" xfId="61" quotePrefix="1" applyNumberFormat="1" applyFont="1" applyFill="1" applyBorder="1" applyAlignment="1"/>
    <xf numFmtId="166" fontId="19" fillId="2" borderId="7" xfId="61" applyNumberFormat="1" applyFont="1" applyFill="1" applyBorder="1" applyAlignment="1">
      <alignment horizontal="right"/>
    </xf>
    <xf numFmtId="166" fontId="21" fillId="3" borderId="1" xfId="59" applyNumberFormat="1" applyFont="1" applyFill="1" applyBorder="1"/>
    <xf numFmtId="0" fontId="19" fillId="2" borderId="10" xfId="57" applyFont="1" applyFill="1" applyBorder="1"/>
    <xf numFmtId="166" fontId="20" fillId="2" borderId="3" xfId="61" quotePrefix="1" applyNumberFormat="1" applyFont="1" applyFill="1" applyBorder="1" applyAlignment="1">
      <alignment horizontal="right"/>
    </xf>
    <xf numFmtId="166" fontId="20" fillId="2" borderId="10" xfId="61" quotePrefix="1" applyNumberFormat="1" applyFont="1" applyFill="1" applyBorder="1" applyAlignment="1">
      <alignment horizontal="right"/>
    </xf>
    <xf numFmtId="0" fontId="19" fillId="0" borderId="0" xfId="11" quotePrefix="1" applyFont="1" applyAlignment="1">
      <alignment horizontal="left"/>
    </xf>
    <xf numFmtId="0" fontId="19" fillId="0" borderId="1" xfId="11" applyFont="1" applyBorder="1" applyAlignment="1">
      <alignment horizontal="center"/>
    </xf>
    <xf numFmtId="10" fontId="19" fillId="0" borderId="1" xfId="11" applyNumberFormat="1" applyFont="1" applyBorder="1" applyAlignment="1">
      <alignment horizontal="center"/>
    </xf>
    <xf numFmtId="43" fontId="19" fillId="0" borderId="0" xfId="11" applyNumberFormat="1" applyFont="1" applyAlignment="1">
      <alignment horizontal="center"/>
    </xf>
    <xf numFmtId="174" fontId="19" fillId="0" borderId="0" xfId="52" applyNumberFormat="1" applyFont="1" applyAlignment="1">
      <alignment horizontal="center"/>
    </xf>
    <xf numFmtId="6" fontId="19" fillId="0" borderId="0" xfId="11" applyNumberFormat="1" applyFont="1" applyAlignment="1">
      <alignment horizontal="center"/>
    </xf>
    <xf numFmtId="0" fontId="22" fillId="3" borderId="1" xfId="11" applyFont="1" applyFill="1" applyBorder="1" applyAlignment="1">
      <alignment horizontal="center"/>
    </xf>
    <xf numFmtId="0" fontId="22" fillId="3" borderId="4" xfId="11" applyFont="1" applyFill="1" applyBorder="1" applyAlignment="1">
      <alignment horizontal="center"/>
    </xf>
    <xf numFmtId="0" fontId="58" fillId="3" borderId="4" xfId="11" applyFont="1" applyFill="1" applyBorder="1" applyAlignment="1">
      <alignment horizontal="center"/>
    </xf>
    <xf numFmtId="0" fontId="58" fillId="3" borderId="1" xfId="11" applyFont="1" applyFill="1" applyBorder="1" applyAlignment="1">
      <alignment horizontal="center"/>
    </xf>
    <xf numFmtId="0" fontId="59" fillId="0" borderId="0" xfId="11" applyFont="1" applyAlignment="1">
      <alignment horizontal="right"/>
    </xf>
    <xf numFmtId="0" fontId="60" fillId="0" borderId="0" xfId="11" applyFont="1" applyAlignment="1">
      <alignment horizontal="right"/>
    </xf>
    <xf numFmtId="0" fontId="19" fillId="0" borderId="4" xfId="11" applyFont="1" applyBorder="1" applyAlignment="1">
      <alignment horizontal="center"/>
    </xf>
    <xf numFmtId="174" fontId="19" fillId="0" borderId="4" xfId="52" applyNumberFormat="1" applyFont="1" applyBorder="1" applyAlignment="1">
      <alignment horizontal="center"/>
    </xf>
    <xf numFmtId="6" fontId="19" fillId="0" borderId="4" xfId="11" applyNumberFormat="1" applyFont="1" applyBorder="1" applyAlignment="1">
      <alignment horizontal="center"/>
    </xf>
    <xf numFmtId="1" fontId="0" fillId="0" borderId="0" xfId="0" applyAlignment="1">
      <alignment horizontal="center"/>
    </xf>
    <xf numFmtId="10" fontId="61" fillId="0" borderId="0" xfId="0" applyNumberFormat="1" applyFont="1"/>
    <xf numFmtId="1" fontId="61" fillId="0" borderId="0" xfId="0" applyFont="1"/>
    <xf numFmtId="1" fontId="61" fillId="0" borderId="0" xfId="0" applyFont="1" applyFill="1"/>
    <xf numFmtId="195" fontId="34" fillId="0" borderId="0" xfId="22" applyNumberFormat="1" applyFont="1" applyBorder="1"/>
    <xf numFmtId="167" fontId="33" fillId="0" borderId="0" xfId="22" applyNumberFormat="1" applyFont="1" applyBorder="1"/>
    <xf numFmtId="195" fontId="33" fillId="0" borderId="62" xfId="22" applyNumberFormat="1" applyFont="1" applyBorder="1"/>
    <xf numFmtId="167" fontId="33" fillId="0" borderId="62" xfId="22" applyNumberFormat="1" applyFont="1" applyBorder="1"/>
    <xf numFmtId="1" fontId="33" fillId="0" borderId="62" xfId="0" applyFont="1" applyBorder="1"/>
    <xf numFmtId="167" fontId="0" fillId="0" borderId="0" xfId="22" applyNumberFormat="1" applyFont="1"/>
    <xf numFmtId="9" fontId="62" fillId="0" borderId="0" xfId="52" applyNumberFormat="1" applyFont="1"/>
    <xf numFmtId="167" fontId="62" fillId="0" borderId="0" xfId="22" applyNumberFormat="1" applyFont="1"/>
    <xf numFmtId="1" fontId="0" fillId="0" borderId="0" xfId="0" applyAlignment="1">
      <alignment horizontal="left" indent="2"/>
    </xf>
    <xf numFmtId="1" fontId="0" fillId="0" borderId="0" xfId="0" applyAlignment="1">
      <alignment horizontal="left" indent="1"/>
    </xf>
    <xf numFmtId="1" fontId="0" fillId="9" borderId="43" xfId="0" applyFill="1" applyBorder="1" applyAlignment="1">
      <alignment horizontal="center"/>
    </xf>
    <xf numFmtId="166" fontId="0" fillId="0" borderId="0" xfId="52" applyNumberFormat="1" applyFont="1"/>
    <xf numFmtId="166" fontId="62" fillId="0" borderId="0" xfId="52" applyNumberFormat="1" applyFont="1"/>
    <xf numFmtId="1" fontId="33" fillId="0" borderId="0" xfId="0" applyFont="1"/>
    <xf numFmtId="1" fontId="63" fillId="0" borderId="0" xfId="0" applyFont="1"/>
    <xf numFmtId="1" fontId="63" fillId="0" borderId="0" xfId="0" applyFont="1" applyAlignment="1">
      <alignment horizontal="center"/>
    </xf>
    <xf numFmtId="166" fontId="33" fillId="9" borderId="63" xfId="52" applyNumberFormat="1" applyFont="1" applyFill="1" applyBorder="1"/>
    <xf numFmtId="1" fontId="33" fillId="0" borderId="63" xfId="0" applyFont="1" applyBorder="1"/>
    <xf numFmtId="166" fontId="21" fillId="3" borderId="4" xfId="52" applyNumberFormat="1" applyFont="1" applyFill="1" applyBorder="1"/>
    <xf numFmtId="1" fontId="31" fillId="4" borderId="64" xfId="0" applyFont="1" applyFill="1" applyBorder="1" applyAlignment="1">
      <alignment horizontal="center"/>
    </xf>
    <xf numFmtId="1" fontId="31" fillId="4" borderId="65" xfId="0" applyFont="1" applyFill="1" applyBorder="1" applyAlignment="1">
      <alignment horizontal="center"/>
    </xf>
    <xf numFmtId="1" fontId="31" fillId="4" borderId="66" xfId="0" applyFont="1" applyFill="1" applyBorder="1" applyAlignment="1">
      <alignment horizontal="center"/>
    </xf>
    <xf numFmtId="3" fontId="0" fillId="0" borderId="67" xfId="0" applyNumberFormat="1" applyBorder="1" applyAlignment="1">
      <alignment horizontal="center"/>
    </xf>
    <xf numFmtId="196" fontId="62" fillId="9" borderId="67" xfId="0" applyNumberFormat="1" applyFont="1" applyFill="1" applyBorder="1" applyAlignment="1">
      <alignment horizontal="center"/>
    </xf>
    <xf numFmtId="3" fontId="0" fillId="0" borderId="69" xfId="0" applyNumberFormat="1" applyBorder="1" applyAlignment="1">
      <alignment horizontal="center"/>
    </xf>
    <xf numFmtId="196" fontId="0" fillId="0" borderId="69" xfId="0" applyNumberFormat="1" applyBorder="1" applyAlignment="1">
      <alignment horizontal="center"/>
    </xf>
    <xf numFmtId="3" fontId="0" fillId="0" borderId="71" xfId="0" applyNumberFormat="1" applyBorder="1" applyAlignment="1">
      <alignment horizontal="center"/>
    </xf>
    <xf numFmtId="196" fontId="0" fillId="0" borderId="71" xfId="0" applyNumberFormat="1" applyBorder="1" applyAlignment="1">
      <alignment horizontal="center"/>
    </xf>
    <xf numFmtId="1" fontId="0" fillId="0" borderId="67" xfId="0" applyBorder="1" applyAlignment="1">
      <alignment horizontal="centerContinuous"/>
    </xf>
    <xf numFmtId="44" fontId="0" fillId="0" borderId="7" xfId="0" applyNumberFormat="1" applyBorder="1"/>
    <xf numFmtId="44" fontId="0" fillId="0" borderId="72" xfId="0" applyNumberFormat="1" applyBorder="1"/>
    <xf numFmtId="1" fontId="0" fillId="0" borderId="73" xfId="0" applyBorder="1" applyAlignment="1">
      <alignment horizontal="centerContinuous"/>
    </xf>
    <xf numFmtId="44" fontId="0" fillId="0" borderId="74" xfId="0" applyNumberFormat="1" applyBorder="1"/>
    <xf numFmtId="44" fontId="0" fillId="0" borderId="75" xfId="0" applyNumberFormat="1" applyBorder="1"/>
    <xf numFmtId="1" fontId="33" fillId="0" borderId="76" xfId="0" applyFont="1" applyBorder="1" applyAlignment="1">
      <alignment horizontal="centerContinuous"/>
    </xf>
    <xf numFmtId="44" fontId="33" fillId="0" borderId="77" xfId="0" applyNumberFormat="1" applyFont="1" applyBorder="1"/>
    <xf numFmtId="44" fontId="33" fillId="0" borderId="78" xfId="0" applyNumberFormat="1" applyFont="1" applyBorder="1"/>
    <xf numFmtId="1" fontId="33" fillId="0" borderId="4" xfId="0" applyFont="1" applyBorder="1" applyAlignment="1">
      <alignment horizontal="right"/>
    </xf>
    <xf numFmtId="44" fontId="62" fillId="9" borderId="0" xfId="0" applyNumberFormat="1" applyFont="1" applyFill="1"/>
    <xf numFmtId="44" fontId="0" fillId="0" borderId="0" xfId="0" applyNumberFormat="1"/>
    <xf numFmtId="9" fontId="0" fillId="0" borderId="0" xfId="0" applyNumberFormat="1" applyAlignment="1">
      <alignment horizontal="right"/>
    </xf>
    <xf numFmtId="44" fontId="33" fillId="0" borderId="62" xfId="0" applyNumberFormat="1" applyFont="1" applyBorder="1"/>
    <xf numFmtId="44" fontId="62" fillId="9" borderId="68" xfId="0" applyNumberFormat="1" applyFont="1" applyFill="1" applyBorder="1"/>
    <xf numFmtId="43" fontId="62" fillId="9" borderId="4" xfId="0" applyNumberFormat="1" applyFont="1" applyFill="1" applyBorder="1"/>
    <xf numFmtId="43" fontId="62" fillId="9" borderId="70" xfId="0" applyNumberFormat="1" applyFont="1" applyFill="1" applyBorder="1"/>
    <xf numFmtId="43" fontId="62" fillId="9" borderId="0" xfId="0" applyNumberFormat="1" applyFont="1" applyFill="1"/>
    <xf numFmtId="43" fontId="62" fillId="9" borderId="68" xfId="0" applyNumberFormat="1" applyFont="1" applyFill="1" applyBorder="1"/>
    <xf numFmtId="1" fontId="63" fillId="19" borderId="0" xfId="0" applyFont="1" applyFill="1"/>
    <xf numFmtId="1" fontId="0" fillId="19" borderId="0" xfId="0" applyFill="1"/>
    <xf numFmtId="1" fontId="63" fillId="19" borderId="0" xfId="0" applyFont="1" applyFill="1" applyAlignment="1">
      <alignment wrapText="1"/>
    </xf>
    <xf numFmtId="0" fontId="22" fillId="0" borderId="0" xfId="75" applyFont="1" applyAlignment="1">
      <alignment horizontal="right"/>
    </xf>
    <xf numFmtId="1" fontId="31" fillId="20" borderId="4" xfId="0" applyFont="1" applyFill="1" applyBorder="1" applyAlignment="1">
      <alignment horizontal="center"/>
    </xf>
    <xf numFmtId="1" fontId="31" fillId="20" borderId="4" xfId="0" applyFont="1" applyFill="1" applyBorder="1" applyAlignment="1">
      <alignment horizontal="right"/>
    </xf>
    <xf numFmtId="43" fontId="18" fillId="21" borderId="2" xfId="4" applyFont="1" applyFill="1" applyBorder="1"/>
    <xf numFmtId="43" fontId="29" fillId="21" borderId="1" xfId="4" applyFont="1" applyFill="1" applyBorder="1"/>
    <xf numFmtId="42" fontId="29" fillId="21" borderId="1" xfId="12" applyNumberFormat="1" applyFont="1" applyFill="1" applyBorder="1"/>
    <xf numFmtId="43" fontId="18" fillId="21" borderId="1" xfId="4" applyFont="1" applyFill="1" applyBorder="1" applyAlignment="1">
      <alignment horizontal="right"/>
    </xf>
    <xf numFmtId="43" fontId="18" fillId="21" borderId="1" xfId="4" quotePrefix="1" applyFont="1" applyFill="1" applyBorder="1" applyAlignment="1">
      <alignment horizontal="right"/>
    </xf>
    <xf numFmtId="0" fontId="19" fillId="0" borderId="0" xfId="75" applyFont="1"/>
    <xf numFmtId="43" fontId="18" fillId="22" borderId="43" xfId="4" applyFont="1" applyFill="1" applyBorder="1" applyAlignment="1">
      <alignment horizontal="right"/>
    </xf>
    <xf numFmtId="43" fontId="18" fillId="22" borderId="43" xfId="4" applyFont="1" applyFill="1" applyBorder="1" applyAlignment="1">
      <alignment horizontal="center"/>
    </xf>
    <xf numFmtId="4" fontId="23" fillId="9" borderId="0" xfId="3" applyNumberFormat="1" applyFont="1" applyFill="1" applyAlignment="1">
      <alignment horizontal="center"/>
    </xf>
    <xf numFmtId="3" fontId="23" fillId="9" borderId="0" xfId="3" applyNumberFormat="1" applyFont="1" applyFill="1" applyAlignment="1">
      <alignment horizontal="right"/>
    </xf>
    <xf numFmtId="9" fontId="20" fillId="0" borderId="0" xfId="3" applyNumberFormat="1" applyFont="1" applyAlignment="1">
      <alignment horizontal="right"/>
    </xf>
    <xf numFmtId="43" fontId="64" fillId="0" borderId="0" xfId="4" applyFont="1" applyFill="1" applyBorder="1"/>
    <xf numFmtId="0" fontId="65" fillId="0" borderId="0" xfId="75" applyFont="1"/>
    <xf numFmtId="3" fontId="23" fillId="9" borderId="0" xfId="3" applyNumberFormat="1" applyFont="1" applyFill="1" applyAlignment="1">
      <alignment horizontal="center"/>
    </xf>
    <xf numFmtId="43" fontId="20" fillId="0" borderId="0" xfId="4" applyFont="1" applyFill="1" applyBorder="1" applyAlignment="1">
      <alignment horizontal="left" indent="1"/>
    </xf>
    <xf numFmtId="42" fontId="23" fillId="9" borderId="0" xfId="12" applyNumberFormat="1" applyFont="1" applyFill="1" applyBorder="1"/>
    <xf numFmtId="168" fontId="66" fillId="0" borderId="0" xfId="45" applyNumberFormat="1" applyFont="1" applyFill="1" applyBorder="1"/>
    <xf numFmtId="1" fontId="33" fillId="0" borderId="0" xfId="0" applyFont="1" applyAlignment="1">
      <alignment horizontal="right"/>
    </xf>
    <xf numFmtId="4" fontId="21" fillId="0" borderId="7" xfId="3" applyNumberFormat="1" applyFont="1" applyBorder="1" applyAlignment="1">
      <alignment horizontal="center"/>
    </xf>
    <xf numFmtId="3" fontId="21" fillId="0" borderId="7" xfId="3" applyNumberFormat="1" applyFont="1" applyBorder="1" applyAlignment="1">
      <alignment horizontal="right"/>
    </xf>
    <xf numFmtId="9" fontId="21" fillId="0" borderId="7" xfId="3" applyNumberFormat="1" applyFont="1" applyBorder="1" applyAlignment="1">
      <alignment horizontal="right"/>
    </xf>
    <xf numFmtId="41" fontId="23" fillId="9" borderId="0" xfId="12" applyNumberFormat="1" applyFont="1" applyFill="1" applyBorder="1"/>
    <xf numFmtId="197" fontId="23" fillId="9" borderId="0" xfId="3" applyNumberFormat="1" applyFont="1" applyFill="1" applyAlignment="1">
      <alignment horizontal="center"/>
    </xf>
    <xf numFmtId="198" fontId="23" fillId="9" borderId="0" xfId="3" applyNumberFormat="1" applyFont="1" applyFill="1" applyAlignment="1">
      <alignment horizontal="center"/>
    </xf>
    <xf numFmtId="41" fontId="20" fillId="0" borderId="4" xfId="12" applyNumberFormat="1" applyFont="1" applyFill="1" applyBorder="1"/>
    <xf numFmtId="43" fontId="67" fillId="0" borderId="4" xfId="4" quotePrefix="1" applyFont="1" applyFill="1" applyBorder="1" applyAlignment="1">
      <alignment horizontal="center"/>
    </xf>
    <xf numFmtId="1" fontId="0" fillId="2" borderId="0" xfId="0" applyFill="1"/>
    <xf numFmtId="43" fontId="21" fillId="23" borderId="0" xfId="4" applyFont="1" applyFill="1" applyBorder="1"/>
    <xf numFmtId="43" fontId="20" fillId="23" borderId="0" xfId="4" applyFont="1" applyFill="1" applyBorder="1"/>
    <xf numFmtId="41" fontId="20" fillId="23" borderId="0" xfId="12" applyNumberFormat="1" applyFont="1" applyFill="1" applyBorder="1"/>
    <xf numFmtId="41" fontId="24" fillId="23" borderId="0" xfId="12" applyNumberFormat="1" applyFont="1" applyFill="1" applyBorder="1"/>
    <xf numFmtId="41" fontId="21" fillId="23" borderId="0" xfId="12" applyNumberFormat="1" applyFont="1" applyFill="1" applyBorder="1"/>
    <xf numFmtId="0" fontId="65" fillId="23" borderId="0" xfId="75" applyFont="1" applyFill="1"/>
    <xf numFmtId="0" fontId="18" fillId="20" borderId="2" xfId="76" applyFont="1" applyFill="1" applyBorder="1" applyAlignment="1">
      <alignment horizontal="left"/>
    </xf>
    <xf numFmtId="0" fontId="18" fillId="20" borderId="1" xfId="76" applyFont="1" applyFill="1" applyBorder="1" applyAlignment="1">
      <alignment horizontal="center"/>
    </xf>
    <xf numFmtId="0" fontId="18" fillId="20" borderId="1" xfId="76" applyFont="1" applyFill="1" applyBorder="1" applyAlignment="1">
      <alignment horizontal="right"/>
    </xf>
    <xf numFmtId="0" fontId="18" fillId="20" borderId="11" xfId="76" applyFont="1" applyFill="1" applyBorder="1" applyAlignment="1">
      <alignment horizontal="right"/>
    </xf>
    <xf numFmtId="0" fontId="20" fillId="2" borderId="9" xfId="76" applyFont="1" applyFill="1" applyBorder="1" applyAlignment="1">
      <alignment horizontal="left"/>
    </xf>
    <xf numFmtId="42" fontId="23" fillId="9" borderId="7" xfId="12" applyNumberFormat="1" applyFont="1" applyFill="1" applyBorder="1"/>
    <xf numFmtId="42" fontId="19" fillId="2" borderId="7" xfId="76" applyNumberFormat="1" applyFont="1" applyFill="1" applyBorder="1"/>
    <xf numFmtId="42" fontId="19" fillId="2" borderId="6" xfId="76" applyNumberFormat="1" applyFont="1" applyFill="1" applyBorder="1"/>
    <xf numFmtId="42" fontId="19" fillId="2" borderId="0" xfId="76" applyNumberFormat="1" applyFont="1" applyFill="1"/>
    <xf numFmtId="41" fontId="20" fillId="2" borderId="0" xfId="76" applyNumberFormat="1" applyFont="1" applyFill="1"/>
    <xf numFmtId="41" fontId="19" fillId="2" borderId="10" xfId="76" applyNumberFormat="1" applyFont="1" applyFill="1" applyBorder="1"/>
    <xf numFmtId="0" fontId="24" fillId="9" borderId="9" xfId="76" applyFont="1" applyFill="1" applyBorder="1" applyAlignment="1">
      <alignment horizontal="left"/>
    </xf>
    <xf numFmtId="42" fontId="22" fillId="2" borderId="7" xfId="76" applyNumberFormat="1" applyFont="1" applyFill="1" applyBorder="1"/>
    <xf numFmtId="42" fontId="22" fillId="2" borderId="6" xfId="76" applyNumberFormat="1" applyFont="1" applyFill="1" applyBorder="1"/>
    <xf numFmtId="0" fontId="20" fillId="2" borderId="5" xfId="76" applyFont="1" applyFill="1" applyBorder="1" applyAlignment="1">
      <alignment horizontal="left"/>
    </xf>
    <xf numFmtId="164" fontId="20" fillId="2" borderId="4" xfId="76" applyNumberFormat="1" applyFont="1" applyFill="1" applyBorder="1" applyAlignment="1">
      <alignment horizontal="center"/>
    </xf>
    <xf numFmtId="199" fontId="20" fillId="0" borderId="0" xfId="1" applyNumberFormat="1" applyFont="1" applyBorder="1"/>
    <xf numFmtId="0" fontId="42" fillId="3" borderId="5" xfId="76" applyFont="1" applyFill="1" applyBorder="1" applyAlignment="1">
      <alignment horizontal="left"/>
    </xf>
    <xf numFmtId="164" fontId="42" fillId="3" borderId="4" xfId="76" applyNumberFormat="1" applyFont="1" applyFill="1" applyBorder="1" applyAlignment="1">
      <alignment horizontal="center"/>
    </xf>
    <xf numFmtId="42" fontId="42" fillId="3" borderId="1" xfId="76" applyNumberFormat="1" applyFont="1" applyFill="1" applyBorder="1"/>
    <xf numFmtId="42" fontId="68" fillId="3" borderId="11" xfId="76" applyNumberFormat="1" applyFont="1" applyFill="1" applyBorder="1"/>
    <xf numFmtId="0" fontId="65" fillId="0" borderId="4" xfId="75" applyFont="1" applyBorder="1"/>
    <xf numFmtId="10" fontId="19" fillId="2" borderId="0" xfId="76" applyNumberFormat="1" applyFont="1" applyFill="1" applyAlignment="1">
      <alignment horizontal="center"/>
    </xf>
    <xf numFmtId="42" fontId="19" fillId="2" borderId="10" xfId="76" applyNumberFormat="1" applyFont="1" applyFill="1" applyBorder="1"/>
    <xf numFmtId="0" fontId="20" fillId="0" borderId="0" xfId="76" applyFont="1" applyAlignment="1">
      <alignment horizontal="center"/>
    </xf>
    <xf numFmtId="1" fontId="62" fillId="9" borderId="0" xfId="0" applyFont="1" applyFill="1" applyAlignment="1">
      <alignment horizontal="center"/>
    </xf>
    <xf numFmtId="41" fontId="23" fillId="9" borderId="0" xfId="12" applyNumberFormat="1" applyFont="1" applyFill="1" applyBorder="1" applyAlignment="1">
      <alignment horizontal="center"/>
    </xf>
    <xf numFmtId="0" fontId="21" fillId="2" borderId="5" xfId="76" applyFont="1" applyFill="1" applyBorder="1" applyAlignment="1">
      <alignment horizontal="left"/>
    </xf>
    <xf numFmtId="164" fontId="21" fillId="2" borderId="4" xfId="76" applyNumberFormat="1" applyFont="1" applyFill="1" applyBorder="1" applyAlignment="1">
      <alignment horizontal="center"/>
    </xf>
    <xf numFmtId="42" fontId="21" fillId="2" borderId="1" xfId="76" applyNumberFormat="1" applyFont="1" applyFill="1" applyBorder="1"/>
    <xf numFmtId="42" fontId="22" fillId="2" borderId="11" xfId="76" applyNumberFormat="1" applyFont="1" applyFill="1" applyBorder="1"/>
    <xf numFmtId="200" fontId="20" fillId="0" borderId="0" xfId="1" applyNumberFormat="1" applyFont="1" applyBorder="1" applyAlignment="1">
      <alignment horizontal="centerContinuous"/>
    </xf>
    <xf numFmtId="0" fontId="69" fillId="0" borderId="0" xfId="75" applyFont="1"/>
    <xf numFmtId="201" fontId="20" fillId="0" borderId="0" xfId="1" applyNumberFormat="1" applyFont="1" applyBorder="1" applyAlignment="1">
      <alignment horizontal="centerContinuous"/>
    </xf>
    <xf numFmtId="1" fontId="69" fillId="0" borderId="0" xfId="0" applyFont="1"/>
    <xf numFmtId="1" fontId="66" fillId="0" borderId="0" xfId="0" applyFont="1"/>
    <xf numFmtId="1" fontId="63" fillId="5" borderId="0" xfId="0" applyFont="1" applyFill="1"/>
    <xf numFmtId="1" fontId="0" fillId="5" borderId="0" xfId="0" applyFill="1"/>
    <xf numFmtId="1" fontId="31" fillId="20" borderId="4" xfId="0" applyFont="1" applyFill="1" applyBorder="1"/>
    <xf numFmtId="174" fontId="31" fillId="20" borderId="4" xfId="0" applyNumberFormat="1" applyFont="1" applyFill="1" applyBorder="1" applyAlignment="1">
      <alignment horizontal="right"/>
    </xf>
    <xf numFmtId="1" fontId="34" fillId="2" borderId="0" xfId="0" applyFont="1" applyFill="1"/>
    <xf numFmtId="1" fontId="33" fillId="2" borderId="0" xfId="0" applyFont="1" applyFill="1"/>
    <xf numFmtId="1" fontId="33" fillId="3" borderId="0" xfId="0" applyFont="1" applyFill="1"/>
    <xf numFmtId="1" fontId="33" fillId="3" borderId="7" xfId="0" applyFont="1" applyFill="1" applyBorder="1" applyAlignment="1">
      <alignment horizontal="center"/>
    </xf>
    <xf numFmtId="42" fontId="21" fillId="3" borderId="7" xfId="12" applyNumberFormat="1" applyFont="1" applyFill="1" applyBorder="1"/>
    <xf numFmtId="1" fontId="34" fillId="2" borderId="0" xfId="0" applyFont="1" applyFill="1" applyAlignment="1">
      <alignment horizontal="center"/>
    </xf>
    <xf numFmtId="174" fontId="34" fillId="2" borderId="0" xfId="0" applyNumberFormat="1" applyFont="1" applyFill="1" applyAlignment="1">
      <alignment horizontal="center"/>
    </xf>
    <xf numFmtId="202" fontId="23" fillId="9" borderId="0" xfId="1" applyNumberFormat="1" applyFont="1" applyFill="1" applyBorder="1"/>
    <xf numFmtId="203" fontId="23" fillId="9" borderId="0" xfId="1" applyNumberFormat="1" applyFont="1" applyFill="1" applyBorder="1"/>
    <xf numFmtId="204" fontId="20" fillId="23" borderId="0" xfId="1" applyNumberFormat="1" applyFont="1" applyFill="1" applyBorder="1"/>
    <xf numFmtId="43" fontId="21" fillId="24" borderId="2" xfId="4" applyFont="1" applyFill="1" applyBorder="1" applyAlignment="1">
      <alignment vertical="center"/>
    </xf>
    <xf numFmtId="43" fontId="21" fillId="24" borderId="1" xfId="4" applyFont="1" applyFill="1" applyBorder="1" applyAlignment="1">
      <alignment vertical="center"/>
    </xf>
    <xf numFmtId="42" fontId="21" fillId="24" borderId="1" xfId="12" applyNumberFormat="1" applyFont="1" applyFill="1" applyBorder="1"/>
    <xf numFmtId="42" fontId="21" fillId="24" borderId="1" xfId="12" applyNumberFormat="1" applyFont="1" applyFill="1" applyBorder="1" applyAlignment="1">
      <alignment vertical="center"/>
    </xf>
    <xf numFmtId="42" fontId="21" fillId="24" borderId="43" xfId="12" applyNumberFormat="1" applyFont="1" applyFill="1" applyBorder="1" applyAlignment="1">
      <alignment vertical="center"/>
    </xf>
    <xf numFmtId="43" fontId="21" fillId="0" borderId="0" xfId="4" applyFont="1" applyFill="1" applyBorder="1" applyAlignment="1">
      <alignment vertical="center"/>
    </xf>
    <xf numFmtId="42" fontId="24" fillId="9" borderId="0" xfId="12" applyNumberFormat="1" applyFont="1" applyFill="1" applyBorder="1" applyAlignment="1">
      <alignment vertical="center"/>
    </xf>
    <xf numFmtId="43" fontId="21" fillId="25" borderId="2" xfId="4" applyFont="1" applyFill="1" applyBorder="1" applyAlignment="1">
      <alignment vertical="center"/>
    </xf>
    <xf numFmtId="205" fontId="20" fillId="25" borderId="1" xfId="4" applyNumberFormat="1" applyFont="1" applyFill="1" applyBorder="1" applyAlignment="1">
      <alignment horizontal="centerContinuous"/>
    </xf>
    <xf numFmtId="42" fontId="21" fillId="25" borderId="1" xfId="10" applyNumberFormat="1" applyFont="1" applyFill="1" applyBorder="1" applyAlignment="1">
      <alignment vertical="center"/>
    </xf>
    <xf numFmtId="206" fontId="20" fillId="25" borderId="1" xfId="4" applyNumberFormat="1" applyFont="1" applyFill="1" applyBorder="1" applyAlignment="1">
      <alignment horizontal="center"/>
    </xf>
    <xf numFmtId="206" fontId="20" fillId="25" borderId="11" xfId="4" applyNumberFormat="1" applyFont="1" applyFill="1" applyBorder="1" applyAlignment="1">
      <alignment horizontal="center"/>
    </xf>
    <xf numFmtId="42" fontId="21" fillId="25" borderId="43" xfId="10" applyNumberFormat="1" applyFont="1" applyFill="1" applyBorder="1" applyAlignment="1">
      <alignment vertical="center"/>
    </xf>
    <xf numFmtId="176" fontId="23" fillId="9" borderId="0" xfId="12" applyNumberFormat="1" applyFont="1" applyFill="1" applyBorder="1" applyAlignment="1">
      <alignment horizontal="center"/>
    </xf>
    <xf numFmtId="164" fontId="20" fillId="25" borderId="1" xfId="1" applyFont="1" applyFill="1" applyBorder="1"/>
    <xf numFmtId="164" fontId="20" fillId="25" borderId="43" xfId="10" applyNumberFormat="1" applyFont="1" applyFill="1" applyBorder="1" applyAlignment="1">
      <alignment vertical="center"/>
    </xf>
    <xf numFmtId="1" fontId="31" fillId="20" borderId="2" xfId="0" applyFont="1" applyFill="1" applyBorder="1" applyAlignment="1">
      <alignment horizontal="center"/>
    </xf>
    <xf numFmtId="1" fontId="31" fillId="20" borderId="11" xfId="0" applyFont="1" applyFill="1" applyBorder="1" applyAlignment="1">
      <alignment horizontal="center"/>
    </xf>
    <xf numFmtId="1" fontId="0" fillId="0" borderId="9" xfId="0" applyBorder="1" applyAlignment="1">
      <alignment horizontal="center"/>
    </xf>
    <xf numFmtId="164" fontId="20" fillId="0" borderId="10" xfId="76" applyNumberFormat="1" applyFont="1" applyBorder="1" applyAlignment="1">
      <alignment horizontal="center"/>
    </xf>
    <xf numFmtId="207" fontId="23" fillId="9" borderId="0" xfId="12" applyNumberFormat="1" applyFont="1" applyFill="1" applyBorder="1" applyAlignment="1">
      <alignment horizontal="center"/>
    </xf>
    <xf numFmtId="41" fontId="20" fillId="0" borderId="0" xfId="12" applyNumberFormat="1" applyFont="1" applyFill="1" applyBorder="1" applyAlignment="1"/>
    <xf numFmtId="176" fontId="23" fillId="9" borderId="0" xfId="12" applyNumberFormat="1" applyFont="1" applyFill="1" applyBorder="1" applyAlignment="1"/>
    <xf numFmtId="1" fontId="20" fillId="0" borderId="0" xfId="0" applyFont="1" applyAlignment="1">
      <alignment horizontal="right"/>
    </xf>
    <xf numFmtId="0" fontId="22" fillId="5" borderId="0" xfId="75" applyFont="1" applyFill="1" applyAlignment="1">
      <alignment horizontal="right"/>
    </xf>
    <xf numFmtId="1" fontId="31" fillId="20" borderId="1" xfId="0" applyFont="1" applyFill="1" applyBorder="1" applyAlignment="1">
      <alignment horizontal="center"/>
    </xf>
    <xf numFmtId="0" fontId="42" fillId="2" borderId="9" xfId="76" applyFont="1" applyFill="1" applyBorder="1" applyAlignment="1">
      <alignment horizontal="left"/>
    </xf>
    <xf numFmtId="1" fontId="61" fillId="0" borderId="0" xfId="0" applyFont="1" applyAlignment="1">
      <alignment horizontal="center"/>
    </xf>
    <xf numFmtId="42" fontId="20" fillId="0" borderId="10" xfId="12" applyNumberFormat="1" applyFont="1" applyFill="1" applyBorder="1"/>
    <xf numFmtId="1" fontId="0" fillId="0" borderId="5" xfId="0" applyBorder="1" applyAlignment="1">
      <alignment horizontal="center"/>
    </xf>
    <xf numFmtId="164" fontId="20" fillId="0" borderId="3" xfId="76" applyNumberFormat="1" applyFont="1" applyBorder="1" applyAlignment="1">
      <alignment horizontal="center"/>
    </xf>
    <xf numFmtId="208" fontId="23" fillId="9" borderId="0" xfId="76" applyNumberFormat="1" applyFont="1" applyFill="1" applyAlignment="1">
      <alignment horizontal="center"/>
    </xf>
    <xf numFmtId="41" fontId="20" fillId="2" borderId="10" xfId="76" applyNumberFormat="1" applyFont="1" applyFill="1" applyBorder="1"/>
    <xf numFmtId="0" fontId="42" fillId="2" borderId="8" xfId="76" applyFont="1" applyFill="1" applyBorder="1" applyAlignment="1">
      <alignment horizontal="left"/>
    </xf>
    <xf numFmtId="1" fontId="33" fillId="0" borderId="7" xfId="0" applyFont="1" applyBorder="1"/>
    <xf numFmtId="42" fontId="21" fillId="0" borderId="6" xfId="12" applyNumberFormat="1" applyFont="1" applyFill="1" applyBorder="1"/>
    <xf numFmtId="0" fontId="42" fillId="2" borderId="5" xfId="76" applyFont="1" applyFill="1" applyBorder="1" applyAlignment="1">
      <alignment horizontal="left"/>
    </xf>
    <xf numFmtId="1" fontId="33" fillId="0" borderId="4" xfId="0" applyFont="1" applyBorder="1"/>
    <xf numFmtId="42" fontId="21" fillId="0" borderId="4" xfId="12" applyNumberFormat="1" applyFont="1" applyFill="1" applyBorder="1"/>
    <xf numFmtId="42" fontId="21" fillId="0" borderId="3" xfId="12" applyNumberFormat="1" applyFont="1" applyFill="1" applyBorder="1"/>
    <xf numFmtId="0" fontId="20" fillId="2" borderId="0" xfId="76" applyFont="1" applyFill="1" applyAlignment="1">
      <alignment horizontal="left"/>
    </xf>
    <xf numFmtId="0" fontId="64" fillId="2" borderId="0" xfId="76" applyFont="1" applyFill="1"/>
    <xf numFmtId="0" fontId="42" fillId="3" borderId="2" xfId="76" applyFont="1" applyFill="1" applyBorder="1" applyAlignment="1">
      <alignment horizontal="left"/>
    </xf>
    <xf numFmtId="0" fontId="42" fillId="3" borderId="1" xfId="76" applyFont="1" applyFill="1" applyBorder="1"/>
    <xf numFmtId="42" fontId="42" fillId="3" borderId="1" xfId="12" applyNumberFormat="1" applyFont="1" applyFill="1" applyBorder="1"/>
    <xf numFmtId="42" fontId="42" fillId="3" borderId="11" xfId="12" applyNumberFormat="1" applyFont="1" applyFill="1" applyBorder="1"/>
    <xf numFmtId="0" fontId="42" fillId="3" borderId="79" xfId="76" applyFont="1" applyFill="1" applyBorder="1" applyAlignment="1">
      <alignment horizontal="left"/>
    </xf>
    <xf numFmtId="164" fontId="42" fillId="3" borderId="62" xfId="76" applyNumberFormat="1" applyFont="1" applyFill="1" applyBorder="1" applyAlignment="1">
      <alignment horizontal="center"/>
    </xf>
    <xf numFmtId="42" fontId="42" fillId="3" borderId="62" xfId="12" applyNumberFormat="1" applyFont="1" applyFill="1" applyBorder="1"/>
    <xf numFmtId="42" fontId="42" fillId="3" borderId="80" xfId="12" applyNumberFormat="1" applyFont="1" applyFill="1" applyBorder="1"/>
    <xf numFmtId="0" fontId="73" fillId="26" borderId="9" xfId="77" applyFont="1" applyFill="1" applyBorder="1" applyAlignment="1">
      <alignment vertical="top"/>
    </xf>
    <xf numFmtId="0" fontId="73" fillId="26" borderId="0" xfId="77" applyFont="1" applyFill="1" applyAlignment="1">
      <alignment vertical="top"/>
    </xf>
    <xf numFmtId="0" fontId="74" fillId="0" borderId="0" xfId="77" applyFont="1"/>
    <xf numFmtId="0" fontId="75" fillId="27" borderId="0" xfId="77" applyFont="1" applyFill="1"/>
    <xf numFmtId="0" fontId="74" fillId="27" borderId="0" xfId="77" applyFont="1" applyFill="1"/>
    <xf numFmtId="0" fontId="75" fillId="0" borderId="0" xfId="77" applyFont="1"/>
    <xf numFmtId="0" fontId="73" fillId="26" borderId="2" xfId="77" applyFont="1" applyFill="1" applyBorder="1" applyAlignment="1">
      <alignment horizontal="left" vertical="top" wrapText="1"/>
    </xf>
    <xf numFmtId="0" fontId="73" fillId="26" borderId="11" xfId="77" applyFont="1" applyFill="1" applyBorder="1" applyAlignment="1">
      <alignment horizontal="center" vertical="top" wrapText="1"/>
    </xf>
    <xf numFmtId="0" fontId="73" fillId="26" borderId="1" xfId="77" applyFont="1" applyFill="1" applyBorder="1" applyAlignment="1">
      <alignment horizontal="center" vertical="top" wrapText="1"/>
    </xf>
    <xf numFmtId="0" fontId="73" fillId="26" borderId="48" xfId="77" applyFont="1" applyFill="1" applyBorder="1" applyAlignment="1">
      <alignment horizontal="center" vertical="top" wrapText="1"/>
    </xf>
    <xf numFmtId="0" fontId="73" fillId="26" borderId="2" xfId="77" applyFont="1" applyFill="1" applyBorder="1" applyAlignment="1">
      <alignment horizontal="center" vertical="top" wrapText="1"/>
    </xf>
    <xf numFmtId="1" fontId="77" fillId="0" borderId="2" xfId="78" applyFont="1" applyBorder="1"/>
    <xf numFmtId="9" fontId="77" fillId="0" borderId="11" xfId="1" applyNumberFormat="1" applyFont="1" applyBorder="1" applyAlignment="1">
      <alignment horizontal="center"/>
    </xf>
    <xf numFmtId="209" fontId="77" fillId="0" borderId="2" xfId="41" applyNumberFormat="1" applyFont="1" applyFill="1" applyBorder="1" applyAlignment="1">
      <alignment horizontal="center"/>
    </xf>
    <xf numFmtId="10" fontId="77" fillId="0" borderId="43" xfId="1" applyNumberFormat="1" applyFont="1" applyBorder="1" applyAlignment="1">
      <alignment horizontal="center"/>
    </xf>
    <xf numFmtId="42" fontId="74" fillId="0" borderId="0" xfId="77" applyNumberFormat="1" applyFont="1"/>
    <xf numFmtId="10" fontId="74" fillId="0" borderId="0" xfId="77" applyNumberFormat="1" applyFont="1"/>
    <xf numFmtId="1" fontId="77" fillId="0" borderId="0" xfId="78" applyFont="1"/>
    <xf numFmtId="0" fontId="74" fillId="7" borderId="2" xfId="77" applyFont="1" applyFill="1" applyBorder="1"/>
    <xf numFmtId="1" fontId="79" fillId="7" borderId="1" xfId="78" applyFont="1" applyFill="1" applyBorder="1" applyAlignment="1">
      <alignment horizontal="right"/>
    </xf>
    <xf numFmtId="9" fontId="79" fillId="7" borderId="1" xfId="78" applyNumberFormat="1" applyFont="1" applyFill="1" applyBorder="1" applyAlignment="1">
      <alignment horizontal="right"/>
    </xf>
    <xf numFmtId="1" fontId="79" fillId="7" borderId="11" xfId="78" applyFont="1" applyFill="1" applyBorder="1" applyAlignment="1">
      <alignment horizontal="right"/>
    </xf>
    <xf numFmtId="1" fontId="73" fillId="28" borderId="1" xfId="78" applyFont="1" applyFill="1" applyBorder="1" applyAlignment="1">
      <alignment horizontal="right"/>
    </xf>
    <xf numFmtId="1" fontId="73" fillId="28" borderId="11" xfId="78" applyFont="1" applyFill="1" applyBorder="1" applyAlignment="1">
      <alignment horizontal="center"/>
    </xf>
    <xf numFmtId="1" fontId="73" fillId="28" borderId="43" xfId="78" applyFont="1" applyFill="1" applyBorder="1" applyAlignment="1">
      <alignment horizontal="right"/>
    </xf>
    <xf numFmtId="1" fontId="77" fillId="0" borderId="9" xfId="78" applyFont="1" applyBorder="1"/>
    <xf numFmtId="1" fontId="74" fillId="0" borderId="9" xfId="77" applyNumberFormat="1" applyFont="1" applyBorder="1"/>
    <xf numFmtId="174" fontId="77" fillId="0" borderId="0" xfId="78" applyNumberFormat="1" applyFont="1"/>
    <xf numFmtId="174" fontId="80" fillId="9" borderId="0" xfId="78" applyNumberFormat="1" applyFont="1" applyFill="1"/>
    <xf numFmtId="164" fontId="77" fillId="0" borderId="10" xfId="1" applyFont="1" applyBorder="1"/>
    <xf numFmtId="1" fontId="77" fillId="0" borderId="10" xfId="78" applyFont="1" applyBorder="1" applyAlignment="1">
      <alignment horizontal="center"/>
    </xf>
    <xf numFmtId="174" fontId="77" fillId="0" borderId="46" xfId="78" applyNumberFormat="1" applyFont="1" applyBorder="1"/>
    <xf numFmtId="15" fontId="81" fillId="9" borderId="10" xfId="77" applyNumberFormat="1" applyFont="1" applyFill="1" applyBorder="1" applyAlignment="1">
      <alignment horizontal="right"/>
    </xf>
    <xf numFmtId="1" fontId="74" fillId="0" borderId="5" xfId="77" applyNumberFormat="1" applyFont="1" applyBorder="1"/>
    <xf numFmtId="174" fontId="77" fillId="0" borderId="4" xfId="78" applyNumberFormat="1" applyFont="1" applyBorder="1"/>
    <xf numFmtId="174" fontId="80" fillId="9" borderId="4" xfId="78" applyNumberFormat="1" applyFont="1" applyFill="1" applyBorder="1"/>
    <xf numFmtId="164" fontId="77" fillId="0" borderId="3" xfId="1" applyFont="1" applyBorder="1"/>
    <xf numFmtId="174" fontId="77" fillId="0" borderId="5" xfId="78" applyNumberFormat="1" applyFont="1" applyBorder="1"/>
    <xf numFmtId="1" fontId="77" fillId="0" borderId="3" xfId="78" applyFont="1" applyBorder="1" applyAlignment="1">
      <alignment horizontal="center"/>
    </xf>
    <xf numFmtId="174" fontId="77" fillId="0" borderId="47" xfId="78" applyNumberFormat="1" applyFont="1" applyBorder="1"/>
    <xf numFmtId="0" fontId="81" fillId="9" borderId="10" xfId="77" applyFont="1" applyFill="1" applyBorder="1" applyAlignment="1">
      <alignment horizontal="right"/>
    </xf>
    <xf numFmtId="0" fontId="74" fillId="0" borderId="5" xfId="77" applyFont="1" applyBorder="1"/>
    <xf numFmtId="174" fontId="74" fillId="0" borderId="2" xfId="77" applyNumberFormat="1" applyFont="1" applyBorder="1"/>
    <xf numFmtId="0" fontId="74" fillId="0" borderId="11" xfId="77" applyFont="1" applyBorder="1"/>
    <xf numFmtId="174" fontId="74" fillId="0" borderId="43" xfId="77" applyNumberFormat="1" applyFont="1" applyBorder="1"/>
    <xf numFmtId="1" fontId="77" fillId="0" borderId="5" xfId="78" applyFont="1" applyBorder="1"/>
    <xf numFmtId="1" fontId="77" fillId="0" borderId="3" xfId="78" applyFont="1" applyBorder="1" applyAlignment="1">
      <alignment horizontal="right"/>
    </xf>
    <xf numFmtId="0" fontId="74" fillId="0" borderId="0" xfId="79" applyFont="1"/>
    <xf numFmtId="210" fontId="80" fillId="0" borderId="0" xfId="79" applyNumberFormat="1" applyFont="1"/>
    <xf numFmtId="1" fontId="82" fillId="0" borderId="0" xfId="78" applyFont="1"/>
    <xf numFmtId="210" fontId="83" fillId="0" borderId="0" xfId="79" applyNumberFormat="1" applyFont="1"/>
    <xf numFmtId="0" fontId="79" fillId="0" borderId="0" xfId="77" applyFont="1"/>
    <xf numFmtId="1" fontId="75" fillId="27" borderId="81" xfId="77" applyNumberFormat="1" applyFont="1" applyFill="1" applyBorder="1"/>
    <xf numFmtId="0" fontId="74" fillId="27" borderId="82" xfId="77" applyFont="1" applyFill="1" applyBorder="1"/>
    <xf numFmtId="0" fontId="74" fillId="27" borderId="83" xfId="77" applyFont="1" applyFill="1" applyBorder="1"/>
    <xf numFmtId="0" fontId="75" fillId="0" borderId="0" xfId="77" applyFont="1" applyAlignment="1">
      <alignment horizontal="center"/>
    </xf>
    <xf numFmtId="0" fontId="79" fillId="0" borderId="0" xfId="77" applyFont="1" applyAlignment="1">
      <alignment horizontal="center"/>
    </xf>
    <xf numFmtId="165" fontId="84" fillId="0" borderId="0" xfId="41" applyFont="1" applyAlignment="1">
      <alignment horizontal="right"/>
    </xf>
    <xf numFmtId="0" fontId="84" fillId="0" borderId="0" xfId="77" applyFont="1" applyAlignment="1">
      <alignment horizontal="right"/>
    </xf>
    <xf numFmtId="0" fontId="85" fillId="0" borderId="0" xfId="77" applyFont="1" applyAlignment="1">
      <alignment horizontal="right"/>
    </xf>
    <xf numFmtId="10" fontId="74" fillId="8" borderId="63" xfId="6" applyNumberFormat="1" applyFont="1" applyFill="1" applyBorder="1" applyAlignment="1">
      <alignment horizontal="center"/>
    </xf>
    <xf numFmtId="209" fontId="74" fillId="8" borderId="63" xfId="41" applyNumberFormat="1" applyFont="1" applyFill="1" applyBorder="1" applyAlignment="1">
      <alignment horizontal="center"/>
    </xf>
    <xf numFmtId="0" fontId="80" fillId="0" borderId="0" xfId="77" applyFont="1"/>
    <xf numFmtId="0" fontId="80" fillId="0" borderId="0" xfId="77" applyFont="1" applyAlignment="1">
      <alignment horizontal="right"/>
    </xf>
    <xf numFmtId="10" fontId="77" fillId="8" borderId="63" xfId="6" applyNumberFormat="1" applyFont="1" applyFill="1" applyBorder="1" applyAlignment="1">
      <alignment horizontal="center"/>
    </xf>
    <xf numFmtId="10" fontId="80" fillId="0" borderId="0" xfId="77" applyNumberFormat="1" applyFont="1" applyAlignment="1">
      <alignment horizontal="center"/>
    </xf>
    <xf numFmtId="0" fontId="74" fillId="0" borderId="0" xfId="77" applyFont="1" applyAlignment="1">
      <alignment horizontal="right"/>
    </xf>
    <xf numFmtId="43" fontId="77" fillId="0" borderId="0" xfId="4" applyFont="1" applyAlignment="1">
      <alignment horizontal="right"/>
    </xf>
    <xf numFmtId="43" fontId="74" fillId="0" borderId="0" xfId="4" applyFont="1" applyAlignment="1">
      <alignment horizontal="right"/>
    </xf>
    <xf numFmtId="0" fontId="74" fillId="0" borderId="77" xfId="4" applyNumberFormat="1" applyFont="1" applyBorder="1" applyAlignment="1">
      <alignment horizontal="center"/>
    </xf>
    <xf numFmtId="43" fontId="74" fillId="0" borderId="77" xfId="4" applyFont="1" applyBorder="1" applyAlignment="1">
      <alignment horizontal="right"/>
    </xf>
    <xf numFmtId="43" fontId="77" fillId="0" borderId="77" xfId="4" applyFont="1" applyBorder="1" applyAlignment="1">
      <alignment horizontal="right"/>
    </xf>
    <xf numFmtId="0" fontId="74" fillId="0" borderId="0" xfId="4" applyNumberFormat="1" applyFont="1" applyBorder="1" applyAlignment="1">
      <alignment horizontal="right"/>
    </xf>
    <xf numFmtId="211" fontId="74" fillId="0" borderId="0" xfId="4" applyNumberFormat="1" applyFont="1" applyBorder="1" applyAlignment="1">
      <alignment horizontal="right"/>
    </xf>
    <xf numFmtId="43" fontId="74" fillId="0" borderId="0" xfId="4" applyFont="1" applyBorder="1" applyAlignment="1">
      <alignment horizontal="right"/>
    </xf>
    <xf numFmtId="167" fontId="74" fillId="0" borderId="0" xfId="4" applyNumberFormat="1" applyFont="1"/>
    <xf numFmtId="43" fontId="77" fillId="0" borderId="0" xfId="4" applyFont="1" applyBorder="1" applyAlignment="1">
      <alignment horizontal="right"/>
    </xf>
    <xf numFmtId="167" fontId="74" fillId="3" borderId="0" xfId="4" applyNumberFormat="1" applyFont="1" applyFill="1"/>
    <xf numFmtId="0" fontId="74" fillId="0" borderId="0" xfId="77" applyFont="1" applyAlignment="1">
      <alignment horizontal="center"/>
    </xf>
    <xf numFmtId="211" fontId="74" fillId="3" borderId="0" xfId="77" applyNumberFormat="1" applyFont="1" applyFill="1"/>
    <xf numFmtId="167" fontId="76" fillId="9" borderId="0" xfId="4" applyNumberFormat="1" applyFont="1" applyFill="1"/>
    <xf numFmtId="10" fontId="77" fillId="0" borderId="0" xfId="1" applyNumberFormat="1" applyFont="1" applyAlignment="1">
      <alignment horizontal="right"/>
    </xf>
    <xf numFmtId="167" fontId="74" fillId="27" borderId="0" xfId="4" applyNumberFormat="1" applyFont="1" applyFill="1"/>
    <xf numFmtId="167" fontId="76" fillId="9" borderId="0" xfId="8" applyNumberFormat="1" applyFont="1" applyFill="1"/>
    <xf numFmtId="211" fontId="74" fillId="3" borderId="4" xfId="77" applyNumberFormat="1" applyFont="1" applyFill="1" applyBorder="1"/>
    <xf numFmtId="167" fontId="74" fillId="3" borderId="4" xfId="4" applyNumberFormat="1" applyFont="1" applyFill="1" applyBorder="1"/>
    <xf numFmtId="167" fontId="76" fillId="9" borderId="4" xfId="4" applyNumberFormat="1" applyFont="1" applyFill="1" applyBorder="1"/>
    <xf numFmtId="167" fontId="74" fillId="27" borderId="4" xfId="4" applyNumberFormat="1" applyFont="1" applyFill="1" applyBorder="1"/>
    <xf numFmtId="167" fontId="74" fillId="0" borderId="4" xfId="4" applyNumberFormat="1" applyFont="1" applyBorder="1"/>
    <xf numFmtId="167" fontId="74" fillId="0" borderId="0" xfId="77" applyNumberFormat="1" applyFont="1"/>
    <xf numFmtId="0" fontId="74" fillId="0" borderId="0" xfId="4" applyNumberFormat="1" applyFont="1" applyAlignment="1">
      <alignment horizontal="right"/>
    </xf>
    <xf numFmtId="0" fontId="79" fillId="0" borderId="1" xfId="77" applyFont="1" applyBorder="1"/>
    <xf numFmtId="167" fontId="74" fillId="0" borderId="1" xfId="77" applyNumberFormat="1" applyFont="1" applyBorder="1"/>
    <xf numFmtId="168" fontId="74" fillId="0" borderId="0" xfId="77" applyNumberFormat="1" applyFont="1"/>
    <xf numFmtId="0" fontId="74" fillId="0" borderId="1" xfId="77" applyFont="1" applyBorder="1"/>
    <xf numFmtId="0" fontId="73" fillId="26" borderId="9" xfId="79" applyFont="1" applyFill="1" applyBorder="1" applyAlignment="1">
      <alignment vertical="top"/>
    </xf>
    <xf numFmtId="0" fontId="73" fillId="26" borderId="0" xfId="79" applyFont="1" applyFill="1" applyAlignment="1">
      <alignment vertical="top"/>
    </xf>
    <xf numFmtId="0" fontId="75" fillId="27" borderId="0" xfId="79" applyFont="1" applyFill="1"/>
    <xf numFmtId="0" fontId="74" fillId="27" borderId="0" xfId="79" applyFont="1" applyFill="1"/>
    <xf numFmtId="0" fontId="73" fillId="26" borderId="43" xfId="79" applyFont="1" applyFill="1" applyBorder="1" applyAlignment="1">
      <alignment horizontal="left" vertical="top" wrapText="1"/>
    </xf>
    <xf numFmtId="0" fontId="73" fillId="26" borderId="43" xfId="79" applyFont="1" applyFill="1" applyBorder="1" applyAlignment="1">
      <alignment horizontal="center" vertical="top" wrapText="1"/>
    </xf>
    <xf numFmtId="0" fontId="73" fillId="26" borderId="1" xfId="79" applyFont="1" applyFill="1" applyBorder="1" applyAlignment="1">
      <alignment horizontal="center" vertical="top" wrapText="1"/>
    </xf>
    <xf numFmtId="0" fontId="73" fillId="26" borderId="48" xfId="79" applyFont="1" applyFill="1" applyBorder="1" applyAlignment="1">
      <alignment horizontal="center" vertical="top" wrapText="1"/>
    </xf>
    <xf numFmtId="0" fontId="73" fillId="26" borderId="2" xfId="79" applyFont="1" applyFill="1" applyBorder="1" applyAlignment="1">
      <alignment horizontal="center" vertical="top" wrapText="1"/>
    </xf>
    <xf numFmtId="1" fontId="77" fillId="0" borderId="48" xfId="78" applyFont="1" applyBorder="1"/>
    <xf numFmtId="9" fontId="77" fillId="0" borderId="48" xfId="1" applyNumberFormat="1" applyFont="1" applyBorder="1" applyAlignment="1">
      <alignment horizontal="center"/>
    </xf>
    <xf numFmtId="209" fontId="77" fillId="0" borderId="8" xfId="41" applyNumberFormat="1" applyFont="1" applyFill="1" applyBorder="1" applyAlignment="1">
      <alignment horizontal="center"/>
    </xf>
    <xf numFmtId="10" fontId="77" fillId="0" borderId="46" xfId="1" applyNumberFormat="1" applyFont="1" applyBorder="1" applyAlignment="1">
      <alignment horizontal="center"/>
    </xf>
    <xf numFmtId="1" fontId="77" fillId="0" borderId="47" xfId="78" applyFont="1" applyBorder="1"/>
    <xf numFmtId="9" fontId="77" fillId="0" borderId="47" xfId="1" applyNumberFormat="1" applyFont="1" applyBorder="1" applyAlignment="1">
      <alignment horizontal="center"/>
    </xf>
    <xf numFmtId="10" fontId="77" fillId="0" borderId="46" xfId="78" applyNumberFormat="1" applyFont="1" applyFill="1" applyBorder="1" applyAlignment="1">
      <alignment horizontal="center"/>
    </xf>
    <xf numFmtId="10" fontId="77" fillId="0" borderId="3" xfId="78" applyNumberFormat="1" applyFont="1" applyFill="1" applyBorder="1" applyAlignment="1">
      <alignment horizontal="center"/>
    </xf>
    <xf numFmtId="209" fontId="77" fillId="0" borderId="5" xfId="41" applyNumberFormat="1" applyFont="1" applyFill="1" applyBorder="1" applyAlignment="1">
      <alignment horizontal="center"/>
    </xf>
    <xf numFmtId="1" fontId="77" fillId="0" borderId="43" xfId="78" applyFont="1" applyBorder="1"/>
    <xf numFmtId="9" fontId="77" fillId="0" borderId="43" xfId="1" applyNumberFormat="1" applyFont="1" applyBorder="1" applyAlignment="1">
      <alignment horizontal="center"/>
    </xf>
    <xf numFmtId="209" fontId="79" fillId="2" borderId="11" xfId="41" applyNumberFormat="1" applyFont="1" applyFill="1" applyBorder="1"/>
    <xf numFmtId="0" fontId="74" fillId="7" borderId="2" xfId="79" applyFont="1" applyFill="1" applyBorder="1"/>
    <xf numFmtId="1" fontId="79" fillId="7" borderId="1" xfId="78" applyFont="1" applyFill="1" applyBorder="1"/>
    <xf numFmtId="9" fontId="79" fillId="7" borderId="1" xfId="78" applyNumberFormat="1" applyFont="1" applyFill="1" applyBorder="1"/>
    <xf numFmtId="1" fontId="79" fillId="7" borderId="11" xfId="78" applyFont="1" applyFill="1" applyBorder="1"/>
    <xf numFmtId="1" fontId="74" fillId="0" borderId="9" xfId="79" applyNumberFormat="1" applyFont="1" applyBorder="1"/>
    <xf numFmtId="1" fontId="74" fillId="0" borderId="5" xfId="79" applyNumberFormat="1" applyFont="1" applyBorder="1"/>
    <xf numFmtId="174" fontId="74" fillId="0" borderId="2" xfId="79" applyNumberFormat="1" applyFont="1" applyBorder="1"/>
    <xf numFmtId="209" fontId="74" fillId="0" borderId="11" xfId="79" applyNumberFormat="1" applyFont="1" applyBorder="1" applyAlignment="1">
      <alignment horizontal="center"/>
    </xf>
    <xf numFmtId="174" fontId="74" fillId="0" borderId="43" xfId="79" applyNumberFormat="1" applyFont="1" applyBorder="1"/>
    <xf numFmtId="0" fontId="79" fillId="0" borderId="0" xfId="79" applyFont="1"/>
    <xf numFmtId="0" fontId="75" fillId="27" borderId="81" xfId="79" applyFont="1" applyFill="1" applyBorder="1"/>
    <xf numFmtId="0" fontId="74" fillId="27" borderId="82" xfId="79" applyFont="1" applyFill="1" applyBorder="1"/>
    <xf numFmtId="0" fontId="74" fillId="27" borderId="83" xfId="79" applyFont="1" applyFill="1" applyBorder="1"/>
    <xf numFmtId="0" fontId="75" fillId="0" borderId="0" xfId="79" applyFont="1" applyAlignment="1">
      <alignment horizontal="center"/>
    </xf>
    <xf numFmtId="0" fontId="79" fillId="0" borderId="0" xfId="79" applyFont="1" applyAlignment="1">
      <alignment horizontal="center"/>
    </xf>
    <xf numFmtId="0" fontId="84" fillId="0" borderId="0" xfId="79" applyFont="1" applyAlignment="1">
      <alignment horizontal="right"/>
    </xf>
    <xf numFmtId="0" fontId="74" fillId="0" borderId="0" xfId="79" applyFont="1" applyAlignment="1">
      <alignment horizontal="center"/>
    </xf>
    <xf numFmtId="0" fontId="85" fillId="0" borderId="0" xfId="79" applyFont="1" applyAlignment="1">
      <alignment horizontal="right"/>
    </xf>
    <xf numFmtId="0" fontId="80" fillId="0" borderId="0" xfId="79" applyFont="1"/>
    <xf numFmtId="0" fontId="80" fillId="0" borderId="0" xfId="79" applyFont="1" applyAlignment="1">
      <alignment horizontal="right"/>
    </xf>
    <xf numFmtId="10" fontId="80" fillId="0" borderId="0" xfId="79" applyNumberFormat="1" applyFont="1" applyAlignment="1">
      <alignment horizontal="center"/>
    </xf>
    <xf numFmtId="0" fontId="74" fillId="0" borderId="0" xfId="79" applyFont="1" applyAlignment="1">
      <alignment horizontal="right"/>
    </xf>
    <xf numFmtId="10" fontId="77" fillId="0" borderId="0" xfId="79" applyNumberFormat="1" applyFont="1" applyAlignment="1">
      <alignment horizontal="center"/>
    </xf>
    <xf numFmtId="0" fontId="77" fillId="0" borderId="0" xfId="79" applyFont="1"/>
    <xf numFmtId="0" fontId="77" fillId="0" borderId="0" xfId="79" applyFont="1" applyAlignment="1">
      <alignment horizontal="right"/>
    </xf>
    <xf numFmtId="167" fontId="74" fillId="0" borderId="0" xfId="79" applyNumberFormat="1" applyFont="1"/>
    <xf numFmtId="0" fontId="74" fillId="0" borderId="0" xfId="4" applyNumberFormat="1" applyFont="1" applyFill="1" applyBorder="1" applyAlignment="1">
      <alignment horizontal="right"/>
    </xf>
    <xf numFmtId="211" fontId="74" fillId="0" borderId="0" xfId="4" applyNumberFormat="1" applyFont="1" applyFill="1" applyBorder="1" applyAlignment="1">
      <alignment horizontal="right"/>
    </xf>
    <xf numFmtId="43" fontId="74" fillId="0" borderId="0" xfId="4" applyFont="1" applyFill="1" applyBorder="1" applyAlignment="1">
      <alignment horizontal="right"/>
    </xf>
    <xf numFmtId="167" fontId="74" fillId="2" borderId="0" xfId="4" applyNumberFormat="1" applyFont="1" applyFill="1"/>
    <xf numFmtId="167" fontId="74" fillId="0" borderId="0" xfId="4" applyNumberFormat="1" applyFont="1" applyFill="1"/>
    <xf numFmtId="211" fontId="74" fillId="3" borderId="0" xfId="79" applyNumberFormat="1" applyFont="1" applyFill="1" applyAlignment="1">
      <alignment horizontal="right"/>
    </xf>
    <xf numFmtId="43" fontId="74" fillId="0" borderId="0" xfId="79" applyNumberFormat="1" applyFont="1"/>
    <xf numFmtId="167" fontId="74" fillId="8" borderId="0" xfId="79" applyNumberFormat="1" applyFont="1" applyFill="1"/>
    <xf numFmtId="0" fontId="74" fillId="8" borderId="0" xfId="79" applyFont="1" applyFill="1"/>
    <xf numFmtId="0" fontId="74" fillId="0" borderId="1" xfId="79" applyFont="1" applyBorder="1"/>
    <xf numFmtId="0" fontId="79" fillId="0" borderId="1" xfId="79" applyFont="1" applyBorder="1"/>
    <xf numFmtId="167" fontId="79" fillId="0" borderId="1" xfId="79" applyNumberFormat="1" applyFont="1" applyBorder="1"/>
    <xf numFmtId="167" fontId="75" fillId="0" borderId="1" xfId="79" applyNumberFormat="1" applyFont="1" applyBorder="1"/>
    <xf numFmtId="168" fontId="74" fillId="0" borderId="0" xfId="79" applyNumberFormat="1" applyFont="1"/>
    <xf numFmtId="167" fontId="74" fillId="0" borderId="1" xfId="79" applyNumberFormat="1" applyFont="1" applyBorder="1"/>
    <xf numFmtId="1" fontId="63" fillId="19" borderId="0" xfId="0" applyFont="1" applyFill="1" applyAlignment="1">
      <alignment vertical="center"/>
    </xf>
    <xf numFmtId="10" fontId="23" fillId="9" borderId="0" xfId="12" applyNumberFormat="1" applyFont="1" applyFill="1" applyBorder="1" applyAlignment="1">
      <alignment horizontal="center"/>
    </xf>
    <xf numFmtId="164" fontId="20" fillId="0" borderId="0" xfId="1" applyFont="1" applyBorder="1" applyAlignment="1">
      <alignment horizontal="center"/>
    </xf>
    <xf numFmtId="0" fontId="20" fillId="0" borderId="0" xfId="75" applyFont="1"/>
    <xf numFmtId="167" fontId="23" fillId="0" borderId="27" xfId="22" applyNumberFormat="1" applyFont="1" applyFill="1" applyBorder="1"/>
    <xf numFmtId="10" fontId="20" fillId="0" borderId="27" xfId="22" applyNumberFormat="1" applyFont="1" applyFill="1" applyBorder="1" applyAlignment="1">
      <alignment horizontal="center"/>
    </xf>
    <xf numFmtId="43" fontId="20" fillId="0" borderId="27" xfId="22" applyFont="1" applyFill="1" applyBorder="1"/>
    <xf numFmtId="43" fontId="20" fillId="0" borderId="40" xfId="22" applyFont="1" applyFill="1" applyBorder="1"/>
    <xf numFmtId="209" fontId="81" fillId="9" borderId="11" xfId="41" applyNumberFormat="1" applyFont="1" applyFill="1" applyBorder="1"/>
    <xf numFmtId="10" fontId="81" fillId="9" borderId="43" xfId="78" applyNumberFormat="1" applyFont="1" applyFill="1" applyBorder="1" applyAlignment="1">
      <alignment horizontal="center"/>
    </xf>
    <xf numFmtId="10" fontId="81" fillId="9" borderId="11" xfId="78" applyNumberFormat="1" applyFont="1" applyFill="1" applyBorder="1" applyAlignment="1">
      <alignment horizontal="center"/>
    </xf>
    <xf numFmtId="210" fontId="77" fillId="0" borderId="0" xfId="79" applyNumberFormat="1" applyFont="1"/>
    <xf numFmtId="210" fontId="80" fillId="9" borderId="0" xfId="79" applyNumberFormat="1" applyFont="1" applyFill="1"/>
    <xf numFmtId="10" fontId="78" fillId="2" borderId="10" xfId="78" applyNumberFormat="1" applyFont="1" applyFill="1" applyBorder="1" applyAlignment="1">
      <alignment horizontal="right"/>
    </xf>
    <xf numFmtId="10" fontId="78" fillId="0" borderId="10" xfId="78" applyNumberFormat="1" applyFont="1" applyFill="1" applyBorder="1" applyAlignment="1">
      <alignment horizontal="right"/>
    </xf>
    <xf numFmtId="209" fontId="78" fillId="0" borderId="11" xfId="41" applyNumberFormat="1" applyFont="1" applyFill="1" applyBorder="1"/>
    <xf numFmtId="10" fontId="78" fillId="0" borderId="43" xfId="78" applyNumberFormat="1" applyFont="1" applyFill="1" applyBorder="1" applyAlignment="1">
      <alignment horizontal="center"/>
    </xf>
    <xf numFmtId="10" fontId="78" fillId="0" borderId="11" xfId="78" applyNumberFormat="1" applyFont="1" applyFill="1" applyBorder="1" applyAlignment="1">
      <alignment horizontal="center"/>
    </xf>
    <xf numFmtId="209" fontId="81" fillId="9" borderId="48" xfId="41" applyNumberFormat="1" applyFont="1" applyFill="1" applyBorder="1"/>
    <xf numFmtId="209" fontId="81" fillId="9" borderId="10" xfId="41" applyNumberFormat="1" applyFont="1" applyFill="1" applyBorder="1"/>
    <xf numFmtId="10" fontId="81" fillId="9" borderId="48" xfId="1" applyNumberFormat="1" applyFont="1" applyFill="1" applyBorder="1" applyAlignment="1">
      <alignment horizontal="center"/>
    </xf>
    <xf numFmtId="15" fontId="81" fillId="9" borderId="10" xfId="79" applyNumberFormat="1" applyFont="1" applyFill="1" applyBorder="1" applyAlignment="1">
      <alignment horizontal="right"/>
    </xf>
    <xf numFmtId="0" fontId="18" fillId="4" borderId="11" xfId="11" applyFont="1" applyFill="1" applyBorder="1" applyAlignment="1">
      <alignment horizontal="right"/>
    </xf>
    <xf numFmtId="0" fontId="37" fillId="29" borderId="0" xfId="11" applyFont="1" applyFill="1"/>
    <xf numFmtId="0" fontId="19" fillId="29" borderId="0" xfId="11" applyFont="1" applyFill="1"/>
    <xf numFmtId="167" fontId="20" fillId="0" borderId="32" xfId="4" applyNumberFormat="1" applyFont="1" applyFill="1" applyBorder="1" applyAlignment="1">
      <alignment horizontal="right"/>
    </xf>
    <xf numFmtId="10" fontId="20" fillId="0" borderId="48" xfId="1" applyNumberFormat="1" applyFont="1" applyBorder="1" applyAlignment="1">
      <alignment horizontal="right"/>
    </xf>
    <xf numFmtId="9" fontId="23" fillId="0" borderId="0" xfId="0" applyNumberFormat="1" applyFont="1"/>
    <xf numFmtId="1" fontId="87" fillId="0" borderId="0" xfId="0" applyFont="1"/>
    <xf numFmtId="1" fontId="62" fillId="0" borderId="0" xfId="0" applyFont="1"/>
    <xf numFmtId="164" fontId="62" fillId="0" borderId="0" xfId="1" applyFont="1" applyBorder="1"/>
    <xf numFmtId="164" fontId="0" fillId="0" borderId="0" xfId="1" applyFont="1" applyBorder="1"/>
    <xf numFmtId="179" fontId="23" fillId="0" borderId="0" xfId="0" applyNumberFormat="1" applyFont="1" applyFill="1"/>
    <xf numFmtId="167" fontId="20" fillId="0" borderId="9" xfId="22" applyNumberFormat="1" applyFont="1" applyBorder="1" applyAlignment="1">
      <alignment horizontal="right"/>
    </xf>
    <xf numFmtId="166" fontId="21" fillId="8" borderId="2" xfId="52" applyNumberFormat="1" applyFont="1" applyFill="1" applyBorder="1" applyAlignment="1">
      <alignment horizontal="right"/>
    </xf>
    <xf numFmtId="10" fontId="20" fillId="0" borderId="9" xfId="11" applyNumberFormat="1" applyFont="1" applyBorder="1" applyAlignment="1">
      <alignment horizontal="right"/>
    </xf>
    <xf numFmtId="167" fontId="20" fillId="0" borderId="9" xfId="22" applyNumberFormat="1" applyFont="1" applyFill="1" applyBorder="1" applyAlignment="1">
      <alignment horizontal="right"/>
    </xf>
    <xf numFmtId="0" fontId="20" fillId="0" borderId="9" xfId="11" applyFont="1" applyBorder="1" applyAlignment="1">
      <alignment horizontal="right"/>
    </xf>
    <xf numFmtId="164" fontId="20" fillId="0" borderId="9" xfId="11" applyNumberFormat="1" applyFont="1" applyBorder="1" applyAlignment="1">
      <alignment horizontal="right"/>
    </xf>
    <xf numFmtId="0" fontId="31" fillId="4" borderId="0" xfId="4" applyNumberFormat="1" applyFont="1" applyFill="1" applyBorder="1" applyAlignment="1">
      <alignment horizontal="centerContinuous"/>
    </xf>
    <xf numFmtId="164" fontId="33" fillId="7" borderId="44" xfId="1" applyFont="1" applyFill="1" applyBorder="1" applyAlignment="1">
      <alignment horizontal="center"/>
    </xf>
    <xf numFmtId="164" fontId="33" fillId="7" borderId="84" xfId="1" applyFont="1" applyFill="1" applyBorder="1" applyAlignment="1">
      <alignment horizontal="center"/>
    </xf>
    <xf numFmtId="41" fontId="20" fillId="0" borderId="29" xfId="15" applyNumberFormat="1" applyFont="1" applyFill="1" applyBorder="1"/>
    <xf numFmtId="0" fontId="31" fillId="4" borderId="85" xfId="4" applyNumberFormat="1" applyFont="1" applyFill="1" applyBorder="1" applyAlignment="1">
      <alignment horizontal="left"/>
    </xf>
    <xf numFmtId="0" fontId="31" fillId="4" borderId="86" xfId="4" applyNumberFormat="1" applyFont="1" applyFill="1" applyBorder="1" applyAlignment="1">
      <alignment horizontal="center"/>
    </xf>
    <xf numFmtId="0" fontId="31" fillId="4" borderId="87" xfId="4" applyNumberFormat="1" applyFont="1" applyFill="1" applyBorder="1" applyAlignment="1">
      <alignment horizontal="center"/>
    </xf>
    <xf numFmtId="1" fontId="33" fillId="0" borderId="5" xfId="0" applyFont="1" applyBorder="1"/>
    <xf numFmtId="9" fontId="19" fillId="0" borderId="0" xfId="11" applyNumberFormat="1" applyFont="1"/>
    <xf numFmtId="212" fontId="19" fillId="0" borderId="0" xfId="11" applyNumberFormat="1" applyFont="1"/>
    <xf numFmtId="178" fontId="23" fillId="9" borderId="40" xfId="12" applyNumberFormat="1" applyFont="1" applyFill="1" applyBorder="1"/>
    <xf numFmtId="0" fontId="22" fillId="0" borderId="4" xfId="11" applyFont="1" applyBorder="1" applyAlignment="1">
      <alignment horizontal="centerContinuous"/>
    </xf>
    <xf numFmtId="44" fontId="19" fillId="0" borderId="0" xfId="11" applyNumberFormat="1" applyFont="1" applyAlignment="1">
      <alignment horizontal="right"/>
    </xf>
    <xf numFmtId="9" fontId="20" fillId="0" borderId="0" xfId="22" applyNumberFormat="1" applyFont="1" applyFill="1" applyBorder="1" applyAlignment="1"/>
    <xf numFmtId="43" fontId="35" fillId="0" borderId="0" xfId="4" applyFont="1" applyFill="1" applyBorder="1" applyAlignment="1">
      <alignment horizontal="left"/>
    </xf>
    <xf numFmtId="0" fontId="18" fillId="0" borderId="0" xfId="11" applyFont="1" applyAlignment="1">
      <alignment horizontal="right"/>
    </xf>
    <xf numFmtId="167" fontId="23" fillId="0" borderId="0" xfId="22" applyNumberFormat="1" applyFont="1" applyFill="1" applyBorder="1" applyAlignment="1">
      <alignment horizontal="right"/>
    </xf>
    <xf numFmtId="5" fontId="20" fillId="0" borderId="0" xfId="52" applyNumberFormat="1" applyFont="1" applyFill="1" applyBorder="1" applyAlignment="1">
      <alignment horizontal="right"/>
    </xf>
    <xf numFmtId="166" fontId="21" fillId="0" borderId="0" xfId="52" applyNumberFormat="1" applyFont="1" applyFill="1" applyBorder="1" applyAlignment="1">
      <alignment horizontal="right"/>
    </xf>
    <xf numFmtId="213" fontId="20" fillId="0" borderId="0" xfId="0" applyNumberFormat="1" applyFont="1" applyAlignment="1">
      <alignment horizontal="left"/>
    </xf>
    <xf numFmtId="213" fontId="23" fillId="0" borderId="10" xfId="11" applyNumberFormat="1" applyFont="1" applyBorder="1" applyAlignment="1">
      <alignment horizontal="right"/>
    </xf>
    <xf numFmtId="214" fontId="23" fillId="0" borderId="9" xfId="11" applyNumberFormat="1" applyFont="1" applyBorder="1" applyAlignment="1">
      <alignment horizontal="right"/>
    </xf>
    <xf numFmtId="214" fontId="23" fillId="0" borderId="10" xfId="11" applyNumberFormat="1" applyFont="1" applyBorder="1" applyAlignment="1">
      <alignment horizontal="right"/>
    </xf>
    <xf numFmtId="213" fontId="23" fillId="0" borderId="9" xfId="11" applyNumberFormat="1" applyFont="1" applyBorder="1" applyAlignment="1">
      <alignment horizontal="right"/>
    </xf>
    <xf numFmtId="0" fontId="18" fillId="4" borderId="85" xfId="11" applyFont="1" applyFill="1" applyBorder="1" applyAlignment="1">
      <alignment horizontal="right"/>
    </xf>
    <xf numFmtId="0" fontId="18" fillId="4" borderId="86" xfId="11" applyFont="1" applyFill="1" applyBorder="1" applyAlignment="1">
      <alignment horizontal="right"/>
    </xf>
    <xf numFmtId="0" fontId="18" fillId="4" borderId="87" xfId="11" applyFont="1" applyFill="1" applyBorder="1" applyAlignment="1">
      <alignment horizontal="right"/>
    </xf>
    <xf numFmtId="167" fontId="23" fillId="0" borderId="8" xfId="22" applyNumberFormat="1" applyFont="1" applyBorder="1" applyAlignment="1">
      <alignment horizontal="right"/>
    </xf>
    <xf numFmtId="167" fontId="23" fillId="0" borderId="7" xfId="22" applyNumberFormat="1" applyFont="1" applyBorder="1" applyAlignment="1">
      <alignment horizontal="right"/>
    </xf>
    <xf numFmtId="167" fontId="23" fillId="0" borderId="6" xfId="22" applyNumberFormat="1" applyFont="1" applyFill="1" applyBorder="1" applyAlignment="1">
      <alignment horizontal="right"/>
    </xf>
    <xf numFmtId="9" fontId="35" fillId="0" borderId="0" xfId="11" applyNumberFormat="1" applyFont="1"/>
    <xf numFmtId="213" fontId="23" fillId="0" borderId="0" xfId="11" applyNumberFormat="1" applyFont="1" applyAlignment="1">
      <alignment horizontal="right"/>
    </xf>
    <xf numFmtId="214" fontId="23" fillId="0" borderId="0" xfId="11" applyNumberFormat="1" applyFont="1" applyAlignment="1">
      <alignment horizontal="right"/>
    </xf>
    <xf numFmtId="0" fontId="20" fillId="0" borderId="10" xfId="11" applyFont="1" applyBorder="1"/>
    <xf numFmtId="0" fontId="88" fillId="0" borderId="9" xfId="11" applyFont="1" applyBorder="1" applyAlignment="1">
      <alignment horizontal="left"/>
    </xf>
    <xf numFmtId="9" fontId="35" fillId="0" borderId="9" xfId="11" applyNumberFormat="1" applyFont="1" applyBorder="1"/>
    <xf numFmtId="9" fontId="35" fillId="0" borderId="10" xfId="11" applyNumberFormat="1" applyFont="1" applyBorder="1"/>
    <xf numFmtId="0" fontId="31" fillId="4" borderId="8" xfId="4" applyNumberFormat="1" applyFont="1" applyFill="1" applyBorder="1" applyAlignment="1">
      <alignment horizontal="left"/>
    </xf>
    <xf numFmtId="0" fontId="31" fillId="4" borderId="7" xfId="4" applyNumberFormat="1" applyFont="1" applyFill="1" applyBorder="1" applyAlignment="1">
      <alignment horizontal="left"/>
    </xf>
    <xf numFmtId="0" fontId="31" fillId="4" borderId="7" xfId="4" applyNumberFormat="1" applyFont="1" applyFill="1" applyBorder="1" applyAlignment="1">
      <alignment horizontal="center"/>
    </xf>
    <xf numFmtId="0" fontId="31" fillId="4" borderId="6" xfId="4" applyNumberFormat="1" applyFont="1" applyFill="1" applyBorder="1" applyAlignment="1">
      <alignment horizontal="center"/>
    </xf>
    <xf numFmtId="1" fontId="62" fillId="0" borderId="9" xfId="0" applyFont="1" applyBorder="1"/>
    <xf numFmtId="0" fontId="62" fillId="0" borderId="0" xfId="0" applyNumberFormat="1" applyFont="1" applyAlignment="1">
      <alignment horizontal="left"/>
    </xf>
    <xf numFmtId="164" fontId="62" fillId="0" borderId="10" xfId="1" applyFont="1" applyBorder="1"/>
    <xf numFmtId="1" fontId="62" fillId="0" borderId="5" xfId="0" applyFont="1" applyBorder="1"/>
    <xf numFmtId="0" fontId="62" fillId="0" borderId="4" xfId="0" applyNumberFormat="1" applyFont="1" applyBorder="1" applyAlignment="1">
      <alignment horizontal="left"/>
    </xf>
    <xf numFmtId="164" fontId="0" fillId="0" borderId="4" xfId="1" applyFont="1" applyBorder="1"/>
    <xf numFmtId="164" fontId="62" fillId="0" borderId="4" xfId="1" applyFont="1" applyBorder="1"/>
    <xf numFmtId="164" fontId="33" fillId="7" borderId="45" xfId="1" applyFont="1" applyFill="1" applyBorder="1" applyAlignment="1">
      <alignment horizontal="center"/>
    </xf>
    <xf numFmtId="164" fontId="33" fillId="7" borderId="54" xfId="1" applyFont="1" applyFill="1" applyBorder="1" applyAlignment="1">
      <alignment horizontal="center"/>
    </xf>
    <xf numFmtId="1" fontId="62" fillId="0" borderId="9" xfId="0" applyFont="1" applyBorder="1" applyAlignment="1">
      <alignment horizontal="left"/>
    </xf>
    <xf numFmtId="181" fontId="62" fillId="0" borderId="0" xfId="0" applyNumberFormat="1" applyFont="1"/>
    <xf numFmtId="1" fontId="62" fillId="0" borderId="5" xfId="0" applyFont="1" applyBorder="1" applyAlignment="1">
      <alignment horizontal="left"/>
    </xf>
    <xf numFmtId="1" fontId="62" fillId="0" borderId="4" xfId="0" applyFont="1" applyBorder="1"/>
    <xf numFmtId="0" fontId="64" fillId="0" borderId="9" xfId="11" applyFont="1" applyBorder="1"/>
    <xf numFmtId="178" fontId="23" fillId="9" borderId="18" xfId="10" applyNumberFormat="1" applyFont="1" applyFill="1" applyBorder="1" applyAlignment="1">
      <alignment horizontal="right"/>
    </xf>
    <xf numFmtId="10" fontId="35" fillId="0" borderId="9" xfId="11" applyNumberFormat="1" applyFont="1" applyBorder="1" applyAlignment="1">
      <alignment horizontal="right"/>
    </xf>
    <xf numFmtId="10" fontId="35" fillId="0" borderId="0" xfId="11" applyNumberFormat="1" applyFont="1" applyAlignment="1">
      <alignment horizontal="right"/>
    </xf>
    <xf numFmtId="10" fontId="35" fillId="0" borderId="10" xfId="11" applyNumberFormat="1" applyFont="1" applyBorder="1" applyAlignment="1">
      <alignment horizontal="right"/>
    </xf>
    <xf numFmtId="0" fontId="30" fillId="0" borderId="0" xfId="11" applyFont="1"/>
    <xf numFmtId="42" fontId="20" fillId="0" borderId="5" xfId="52" applyNumberFormat="1" applyFont="1" applyBorder="1" applyAlignment="1">
      <alignment horizontal="right"/>
    </xf>
    <xf numFmtId="42" fontId="20" fillId="0" borderId="4" xfId="52" applyNumberFormat="1" applyFont="1" applyBorder="1" applyAlignment="1">
      <alignment horizontal="right"/>
    </xf>
    <xf numFmtId="42" fontId="20" fillId="0" borderId="3" xfId="52" applyNumberFormat="1" applyFont="1" applyFill="1" applyBorder="1" applyAlignment="1">
      <alignment horizontal="right"/>
    </xf>
    <xf numFmtId="42" fontId="20" fillId="0" borderId="3" xfId="52" applyNumberFormat="1" applyFont="1" applyBorder="1" applyAlignment="1">
      <alignment horizontal="right"/>
    </xf>
    <xf numFmtId="0" fontId="30" fillId="0" borderId="7" xfId="10" applyFont="1" applyBorder="1"/>
    <xf numFmtId="166" fontId="20" fillId="0" borderId="7" xfId="11" applyNumberFormat="1" applyFont="1" applyBorder="1"/>
    <xf numFmtId="10" fontId="20" fillId="0" borderId="6" xfId="1" applyNumberFormat="1" applyFont="1" applyBorder="1" applyAlignment="1">
      <alignment horizontal="right"/>
    </xf>
    <xf numFmtId="167" fontId="20" fillId="0" borderId="29" xfId="15" applyNumberFormat="1" applyFont="1" applyFill="1" applyBorder="1"/>
    <xf numFmtId="42" fontId="20" fillId="0" borderId="1" xfId="12" applyNumberFormat="1" applyFont="1" applyFill="1" applyBorder="1" applyAlignment="1">
      <alignment vertical="center"/>
    </xf>
    <xf numFmtId="10" fontId="20" fillId="0" borderId="11" xfId="1" applyNumberFormat="1" applyFont="1" applyBorder="1" applyAlignment="1">
      <alignment horizontal="right"/>
    </xf>
    <xf numFmtId="0" fontId="23" fillId="9" borderId="28" xfId="11" applyFont="1" applyFill="1" applyBorder="1"/>
    <xf numFmtId="43" fontId="21" fillId="0" borderId="9" xfId="4" applyFont="1" applyFill="1" applyBorder="1"/>
    <xf numFmtId="167" fontId="20" fillId="0" borderId="8" xfId="4" applyNumberFormat="1" applyFont="1" applyFill="1" applyBorder="1"/>
    <xf numFmtId="42" fontId="20" fillId="0" borderId="7" xfId="11" applyNumberFormat="1" applyFont="1" applyBorder="1"/>
    <xf numFmtId="167" fontId="20" fillId="0" borderId="9" xfId="4" applyNumberFormat="1" applyFont="1" applyFill="1" applyBorder="1"/>
    <xf numFmtId="10" fontId="30" fillId="0" borderId="0" xfId="1" quotePrefix="1" applyNumberFormat="1" applyFont="1" applyBorder="1"/>
    <xf numFmtId="41" fontId="20" fillId="0" borderId="0" xfId="15" applyNumberFormat="1" applyFont="1" applyFill="1" applyBorder="1"/>
    <xf numFmtId="10" fontId="20" fillId="0" borderId="10" xfId="1" applyNumberFormat="1" applyFont="1" applyBorder="1" applyAlignment="1">
      <alignment horizontal="right"/>
    </xf>
    <xf numFmtId="0" fontId="30" fillId="0" borderId="0" xfId="10" applyFont="1"/>
    <xf numFmtId="41" fontId="23" fillId="9" borderId="42" xfId="12" applyNumberFormat="1" applyFont="1" applyFill="1" applyBorder="1" applyAlignment="1">
      <alignment horizontal="right"/>
    </xf>
    <xf numFmtId="41" fontId="21" fillId="0" borderId="0" xfId="10" applyNumberFormat="1" applyFont="1" applyAlignment="1">
      <alignment horizontal="right"/>
    </xf>
    <xf numFmtId="0" fontId="32" fillId="0" borderId="0" xfId="11" applyFont="1"/>
    <xf numFmtId="10" fontId="23" fillId="9" borderId="0" xfId="10" applyNumberFormat="1" applyFont="1" applyFill="1" applyAlignment="1">
      <alignment horizontal="center"/>
    </xf>
    <xf numFmtId="0" fontId="21" fillId="0" borderId="0" xfId="10" applyFont="1" applyAlignment="1">
      <alignment horizontal="center"/>
    </xf>
    <xf numFmtId="44" fontId="20" fillId="0" borderId="10" xfId="12" applyFont="1" applyBorder="1"/>
    <xf numFmtId="3" fontId="20" fillId="0" borderId="4" xfId="3" applyNumberFormat="1" applyFont="1" applyBorder="1" applyAlignment="1">
      <alignment horizontal="center"/>
    </xf>
    <xf numFmtId="167" fontId="20" fillId="0" borderId="4" xfId="22" applyNumberFormat="1" applyFont="1" applyFill="1" applyBorder="1"/>
    <xf numFmtId="167" fontId="20" fillId="0" borderId="4" xfId="4" applyNumberFormat="1" applyFont="1" applyFill="1" applyBorder="1" applyAlignment="1">
      <alignment horizontal="right"/>
    </xf>
    <xf numFmtId="5" fontId="23" fillId="0" borderId="7" xfId="52" applyNumberFormat="1" applyFont="1" applyBorder="1" applyAlignment="1">
      <alignment horizontal="right"/>
    </xf>
    <xf numFmtId="5" fontId="23" fillId="0" borderId="6" xfId="52" applyNumberFormat="1" applyFont="1" applyBorder="1" applyAlignment="1">
      <alignment horizontal="right"/>
    </xf>
    <xf numFmtId="0" fontId="35" fillId="0" borderId="0" xfId="11" applyFont="1" applyAlignment="1">
      <alignment horizontal="right"/>
    </xf>
    <xf numFmtId="0" fontId="35" fillId="0" borderId="10" xfId="11" applyFont="1" applyBorder="1" applyAlignment="1">
      <alignment horizontal="right"/>
    </xf>
    <xf numFmtId="0" fontId="37" fillId="0" borderId="46" xfId="11" applyFont="1" applyBorder="1" applyAlignment="1">
      <alignment horizontal="left"/>
    </xf>
    <xf numFmtId="215" fontId="20" fillId="0" borderId="0" xfId="13" applyNumberFormat="1" applyFont="1" applyFill="1" applyBorder="1" applyAlignment="1">
      <alignment horizontal="right"/>
    </xf>
    <xf numFmtId="215" fontId="20" fillId="0" borderId="0" xfId="10" applyNumberFormat="1" applyFont="1" applyAlignment="1">
      <alignment horizontal="right" vertical="center" wrapText="1"/>
    </xf>
    <xf numFmtId="215" fontId="20" fillId="2" borderId="9" xfId="11" applyNumberFormat="1" applyFont="1" applyFill="1" applyBorder="1" applyAlignment="1">
      <alignment horizontal="right"/>
    </xf>
    <xf numFmtId="215" fontId="20" fillId="2" borderId="0" xfId="11" applyNumberFormat="1" applyFont="1" applyFill="1" applyAlignment="1">
      <alignment horizontal="right"/>
    </xf>
    <xf numFmtId="215" fontId="20" fillId="2" borderId="10" xfId="11" applyNumberFormat="1" applyFont="1" applyFill="1" applyBorder="1" applyAlignment="1">
      <alignment horizontal="right"/>
    </xf>
    <xf numFmtId="215" fontId="20" fillId="0" borderId="0" xfId="11" applyNumberFormat="1" applyFont="1" applyAlignment="1">
      <alignment horizontal="right"/>
    </xf>
    <xf numFmtId="215" fontId="20" fillId="0" borderId="10" xfId="11" applyNumberFormat="1" applyFont="1" applyBorder="1" applyAlignment="1">
      <alignment horizontal="right"/>
    </xf>
    <xf numFmtId="215" fontId="20" fillId="0" borderId="9" xfId="11" applyNumberFormat="1" applyFont="1" applyBorder="1" applyAlignment="1">
      <alignment horizontal="right"/>
    </xf>
    <xf numFmtId="215" fontId="20" fillId="0" borderId="10" xfId="10" applyNumberFormat="1" applyFont="1" applyBorder="1" applyAlignment="1">
      <alignment horizontal="center" vertical="center" wrapText="1"/>
    </xf>
    <xf numFmtId="215" fontId="20" fillId="17" borderId="10" xfId="10" applyNumberFormat="1" applyFont="1" applyFill="1" applyBorder="1" applyAlignment="1">
      <alignment horizontal="center" vertical="center" wrapText="1"/>
    </xf>
    <xf numFmtId="215" fontId="20" fillId="0" borderId="3" xfId="10" applyNumberFormat="1" applyFont="1" applyBorder="1" applyAlignment="1">
      <alignment horizontal="center" vertical="center" wrapText="1"/>
    </xf>
    <xf numFmtId="216" fontId="19" fillId="0" borderId="0" xfId="11" applyNumberFormat="1" applyFont="1" applyAlignment="1">
      <alignment horizontal="left"/>
    </xf>
    <xf numFmtId="217" fontId="19" fillId="0" borderId="0" xfId="11" applyNumberFormat="1" applyFont="1" applyAlignment="1">
      <alignment horizontal="left"/>
    </xf>
    <xf numFmtId="0" fontId="31" fillId="4" borderId="2" xfId="4" applyNumberFormat="1" applyFont="1" applyFill="1" applyBorder="1" applyAlignment="1">
      <alignment horizontal="left"/>
    </xf>
    <xf numFmtId="0" fontId="31" fillId="4" borderId="1" xfId="4" applyNumberFormat="1" applyFont="1" applyFill="1" applyBorder="1" applyAlignment="1">
      <alignment horizontal="left"/>
    </xf>
    <xf numFmtId="0" fontId="31" fillId="4" borderId="1" xfId="4" applyNumberFormat="1" applyFont="1" applyFill="1" applyBorder="1" applyAlignment="1">
      <alignment horizontal="center"/>
    </xf>
    <xf numFmtId="0" fontId="31" fillId="4" borderId="11" xfId="4" applyNumberFormat="1" applyFont="1" applyFill="1" applyBorder="1" applyAlignment="1">
      <alignment horizontal="center"/>
    </xf>
    <xf numFmtId="218" fontId="20" fillId="0" borderId="0" xfId="10" applyNumberFormat="1" applyFont="1" applyAlignment="1">
      <alignment horizontal="right" vertical="center" wrapText="1"/>
    </xf>
    <xf numFmtId="10" fontId="89" fillId="8" borderId="1" xfId="1" quotePrefix="1" applyNumberFormat="1" applyFont="1" applyFill="1" applyBorder="1"/>
    <xf numFmtId="10" fontId="89" fillId="8" borderId="11" xfId="1" applyNumberFormat="1" applyFont="1" applyFill="1" applyBorder="1"/>
    <xf numFmtId="10" fontId="62" fillId="9" borderId="10" xfId="1" applyNumberFormat="1" applyFont="1" applyFill="1" applyBorder="1"/>
    <xf numFmtId="1" fontId="0" fillId="0" borderId="8" xfId="0" applyBorder="1"/>
    <xf numFmtId="1" fontId="0" fillId="0" borderId="7" xfId="0" applyBorder="1"/>
    <xf numFmtId="1" fontId="0" fillId="0" borderId="9" xfId="0" applyBorder="1"/>
    <xf numFmtId="1" fontId="0" fillId="0" borderId="10" xfId="0" applyBorder="1" applyAlignment="1">
      <alignment horizontal="right"/>
    </xf>
    <xf numFmtId="1" fontId="0" fillId="0" borderId="9" xfId="0" applyFill="1" applyBorder="1"/>
    <xf numFmtId="1" fontId="0" fillId="0" borderId="4" xfId="0" applyBorder="1"/>
    <xf numFmtId="1" fontId="0" fillId="0" borderId="3" xfId="0" applyBorder="1"/>
    <xf numFmtId="1" fontId="0" fillId="0" borderId="88" xfId="0" applyBorder="1"/>
    <xf numFmtId="10" fontId="33" fillId="9" borderId="89" xfId="1" applyNumberFormat="1" applyFont="1" applyFill="1" applyBorder="1"/>
    <xf numFmtId="0" fontId="0" fillId="0" borderId="0" xfId="0" applyNumberFormat="1" applyAlignment="1">
      <alignment horizontal="left"/>
    </xf>
    <xf numFmtId="1" fontId="0" fillId="0" borderId="44" xfId="0" applyBorder="1"/>
    <xf numFmtId="1" fontId="0" fillId="0" borderId="84" xfId="0" applyBorder="1"/>
    <xf numFmtId="10" fontId="62" fillId="0" borderId="10" xfId="1" applyNumberFormat="1" applyFont="1" applyBorder="1"/>
    <xf numFmtId="1" fontId="0" fillId="0" borderId="88" xfId="0" applyFill="1" applyBorder="1"/>
    <xf numFmtId="9" fontId="90" fillId="9" borderId="89" xfId="1" applyNumberFormat="1" applyFont="1" applyFill="1" applyBorder="1"/>
    <xf numFmtId="1" fontId="0" fillId="0" borderId="90" xfId="0" applyBorder="1"/>
    <xf numFmtId="1" fontId="0" fillId="0" borderId="91" xfId="0" applyBorder="1"/>
    <xf numFmtId="10" fontId="33" fillId="9" borderId="92" xfId="1" applyNumberFormat="1" applyFont="1" applyFill="1" applyBorder="1"/>
    <xf numFmtId="9" fontId="62" fillId="9" borderId="10" xfId="1" applyNumberFormat="1" applyFont="1" applyFill="1" applyBorder="1"/>
    <xf numFmtId="9" fontId="62" fillId="9" borderId="3" xfId="1" applyNumberFormat="1" applyFont="1" applyFill="1" applyBorder="1"/>
    <xf numFmtId="10" fontId="62" fillId="9" borderId="3" xfId="1" applyNumberFormat="1" applyFont="1" applyFill="1" applyBorder="1"/>
    <xf numFmtId="10" fontId="62" fillId="0" borderId="0" xfId="1" applyNumberFormat="1" applyFont="1" applyBorder="1"/>
    <xf numFmtId="1" fontId="0" fillId="0" borderId="0" xfId="0" applyAlignment="1">
      <alignment horizontal="left"/>
    </xf>
    <xf numFmtId="43" fontId="31" fillId="4" borderId="6" xfId="4" applyFont="1" applyFill="1" applyBorder="1" applyAlignment="1">
      <alignment horizontal="center"/>
    </xf>
    <xf numFmtId="1" fontId="62" fillId="0" borderId="9" xfId="0" applyFont="1" applyBorder="1" applyAlignment="1">
      <alignment horizontal="center"/>
    </xf>
    <xf numFmtId="9" fontId="62" fillId="0" borderId="10" xfId="0" applyNumberFormat="1" applyFont="1" applyBorder="1"/>
    <xf numFmtId="1" fontId="62" fillId="0" borderId="5" xfId="0" applyFont="1" applyBorder="1" applyAlignment="1">
      <alignment horizontal="center"/>
    </xf>
    <xf numFmtId="9" fontId="62" fillId="0" borderId="3" xfId="0" applyNumberFormat="1" applyFont="1" applyBorder="1"/>
    <xf numFmtId="0" fontId="61" fillId="0" borderId="9" xfId="0" applyNumberFormat="1" applyFont="1" applyBorder="1"/>
    <xf numFmtId="0" fontId="62" fillId="0" borderId="0" xfId="0" applyNumberFormat="1" applyFont="1"/>
    <xf numFmtId="218" fontId="62" fillId="0" borderId="0" xfId="0" applyNumberFormat="1" applyFont="1" applyAlignment="1">
      <alignment horizontal="center"/>
    </xf>
    <xf numFmtId="218" fontId="62" fillId="0" borderId="10" xfId="0" applyNumberFormat="1" applyFont="1" applyFill="1" applyBorder="1" applyAlignment="1">
      <alignment horizontal="center"/>
    </xf>
    <xf numFmtId="218" fontId="62" fillId="0" borderId="0" xfId="0" applyNumberFormat="1" applyFont="1" applyFill="1" applyAlignment="1">
      <alignment horizontal="center"/>
    </xf>
    <xf numFmtId="0" fontId="61" fillId="0" borderId="8" xfId="0" applyNumberFormat="1" applyFont="1" applyBorder="1"/>
    <xf numFmtId="0" fontId="62" fillId="0" borderId="7" xfId="0" applyNumberFormat="1" applyFont="1" applyBorder="1"/>
    <xf numFmtId="218" fontId="62" fillId="0" borderId="7" xfId="0" applyNumberFormat="1" applyFont="1" applyFill="1" applyBorder="1" applyAlignment="1">
      <alignment horizontal="center"/>
    </xf>
    <xf numFmtId="218" fontId="62" fillId="0" borderId="6" xfId="0" applyNumberFormat="1" applyFont="1" applyFill="1" applyBorder="1" applyAlignment="1">
      <alignment horizontal="center"/>
    </xf>
    <xf numFmtId="0" fontId="61" fillId="0" borderId="5" xfId="0" applyNumberFormat="1" applyFont="1" applyBorder="1"/>
    <xf numFmtId="0" fontId="62" fillId="0" borderId="4" xfId="0" applyNumberFormat="1" applyFont="1" applyBorder="1"/>
    <xf numFmtId="218" fontId="62" fillId="0" borderId="4" xfId="0" applyNumberFormat="1" applyFont="1" applyFill="1" applyBorder="1" applyAlignment="1">
      <alignment horizontal="center"/>
    </xf>
    <xf numFmtId="218" fontId="62" fillId="0" borderId="3" xfId="0" applyNumberFormat="1" applyFont="1" applyFill="1" applyBorder="1" applyAlignment="1">
      <alignment horizontal="center"/>
    </xf>
    <xf numFmtId="43" fontId="31" fillId="4" borderId="8" xfId="4" applyFont="1" applyFill="1" applyBorder="1" applyAlignment="1">
      <alignment horizontal="center"/>
    </xf>
    <xf numFmtId="43" fontId="31" fillId="4" borderId="5" xfId="4" applyFont="1" applyFill="1" applyBorder="1" applyAlignment="1">
      <alignment horizontal="center"/>
    </xf>
    <xf numFmtId="43" fontId="31" fillId="4" borderId="3" xfId="4" applyFont="1" applyFill="1" applyBorder="1" applyAlignment="1">
      <alignment horizontal="center"/>
    </xf>
    <xf numFmtId="0" fontId="23" fillId="9" borderId="37" xfId="11" applyFont="1" applyFill="1" applyBorder="1"/>
    <xf numFmtId="0" fontId="19" fillId="9" borderId="37" xfId="11" applyFont="1" applyFill="1" applyBorder="1"/>
    <xf numFmtId="0" fontId="23" fillId="9" borderId="36" xfId="11" applyFont="1" applyFill="1" applyBorder="1"/>
    <xf numFmtId="0" fontId="19" fillId="9" borderId="36" xfId="11" applyFont="1" applyFill="1" applyBorder="1"/>
    <xf numFmtId="0" fontId="0" fillId="8" borderId="0" xfId="0" applyNumberFormat="1" applyFill="1"/>
    <xf numFmtId="0" fontId="0" fillId="8" borderId="4" xfId="0" applyNumberFormat="1" applyFill="1" applyBorder="1"/>
    <xf numFmtId="0" fontId="19" fillId="9" borderId="93" xfId="11" applyFont="1" applyFill="1" applyBorder="1"/>
    <xf numFmtId="0" fontId="19" fillId="9" borderId="57" xfId="11" applyFont="1" applyFill="1" applyBorder="1"/>
    <xf numFmtId="0" fontId="0" fillId="0" borderId="10" xfId="0" applyNumberFormat="1" applyFill="1" applyBorder="1" applyAlignment="1">
      <alignment horizontal="right"/>
    </xf>
    <xf numFmtId="1" fontId="0" fillId="0" borderId="6" xfId="0" applyBorder="1" applyAlignment="1">
      <alignment horizontal="right"/>
    </xf>
    <xf numFmtId="164" fontId="0" fillId="0" borderId="10" xfId="1" applyFont="1" applyBorder="1" applyAlignment="1">
      <alignment horizontal="right"/>
    </xf>
    <xf numFmtId="42" fontId="20" fillId="0" borderId="29" xfId="12" applyNumberFormat="1" applyFont="1" applyFill="1" applyBorder="1" applyAlignment="1">
      <alignment horizontal="center"/>
    </xf>
    <xf numFmtId="167" fontId="19" fillId="0" borderId="4" xfId="22" applyNumberFormat="1" applyFont="1" applyBorder="1" applyAlignment="1">
      <alignment horizontal="center"/>
    </xf>
    <xf numFmtId="42" fontId="19" fillId="0" borderId="7" xfId="11" applyNumberFormat="1" applyFont="1" applyBorder="1" applyAlignment="1">
      <alignment horizontal="center"/>
    </xf>
    <xf numFmtId="42" fontId="22" fillId="8" borderId="1" xfId="11" applyNumberFormat="1" applyFont="1" applyFill="1" applyBorder="1"/>
    <xf numFmtId="42" fontId="22" fillId="8" borderId="1" xfId="11" applyNumberFormat="1" applyFont="1" applyFill="1" applyBorder="1" applyAlignment="1">
      <alignment horizontal="center"/>
    </xf>
    <xf numFmtId="1" fontId="21" fillId="11" borderId="8" xfId="0" applyFont="1" applyFill="1" applyBorder="1" applyAlignment="1">
      <alignment horizontal="center"/>
    </xf>
    <xf numFmtId="1" fontId="21" fillId="11" borderId="7" xfId="0" applyFont="1" applyFill="1" applyBorder="1" applyAlignment="1">
      <alignment horizontal="center"/>
    </xf>
    <xf numFmtId="1" fontId="21" fillId="11" borderId="6" xfId="0" applyFont="1" applyFill="1" applyBorder="1" applyAlignment="1">
      <alignment horizontal="center"/>
    </xf>
    <xf numFmtId="1" fontId="21" fillId="12" borderId="7" xfId="0" applyFont="1" applyFill="1" applyBorder="1" applyAlignment="1">
      <alignment horizontal="center"/>
    </xf>
    <xf numFmtId="1" fontId="21" fillId="12" borderId="6" xfId="0" applyFont="1" applyFill="1" applyBorder="1" applyAlignment="1">
      <alignment horizontal="center"/>
    </xf>
    <xf numFmtId="1" fontId="21" fillId="13" borderId="7" xfId="0" applyFont="1" applyFill="1" applyBorder="1" applyAlignment="1">
      <alignment horizontal="center"/>
    </xf>
    <xf numFmtId="1" fontId="21" fillId="13" borderId="6" xfId="0" applyFont="1" applyFill="1" applyBorder="1" applyAlignment="1">
      <alignment horizontal="center"/>
    </xf>
    <xf numFmtId="0" fontId="19" fillId="2" borderId="48" xfId="57" applyFont="1" applyFill="1" applyBorder="1" applyAlignment="1">
      <alignment horizontal="left" vertical="top" wrapText="1"/>
    </xf>
    <xf numFmtId="0" fontId="19" fillId="2" borderId="46" xfId="57" applyFont="1" applyFill="1" applyBorder="1" applyAlignment="1">
      <alignment horizontal="left" vertical="top" wrapText="1"/>
    </xf>
    <xf numFmtId="0" fontId="19" fillId="2" borderId="47" xfId="57" applyFont="1" applyFill="1" applyBorder="1" applyAlignment="1">
      <alignment horizontal="left" vertical="top" wrapText="1"/>
    </xf>
    <xf numFmtId="0" fontId="75" fillId="27" borderId="2" xfId="77" applyFont="1" applyFill="1" applyBorder="1" applyAlignment="1">
      <alignment horizontal="center"/>
    </xf>
    <xf numFmtId="0" fontId="75" fillId="27" borderId="1" xfId="77" applyFont="1" applyFill="1" applyBorder="1" applyAlignment="1">
      <alignment horizontal="center"/>
    </xf>
    <xf numFmtId="0" fontId="75" fillId="27" borderId="11" xfId="77" applyFont="1" applyFill="1" applyBorder="1" applyAlignment="1">
      <alignment horizontal="center"/>
    </xf>
    <xf numFmtId="0" fontId="75" fillId="27" borderId="2" xfId="79" applyFont="1" applyFill="1" applyBorder="1" applyAlignment="1">
      <alignment horizontal="center"/>
    </xf>
    <xf numFmtId="0" fontId="75" fillId="27" borderId="1" xfId="79" applyFont="1" applyFill="1" applyBorder="1" applyAlignment="1">
      <alignment horizontal="center"/>
    </xf>
    <xf numFmtId="0" fontId="75" fillId="27" borderId="11" xfId="79" applyFont="1" applyFill="1" applyBorder="1" applyAlignment="1">
      <alignment horizontal="center"/>
    </xf>
  </cellXfs>
  <cellStyles count="80">
    <cellStyle name="Comma" xfId="22" builtinId="3"/>
    <cellStyle name="Comma 10" xfId="73" xr:uid="{B032320F-E81A-4308-9A3F-7653A514F791}"/>
    <cellStyle name="Comma 11" xfId="45" xr:uid="{27659C27-F493-4220-A427-3AB3E8F9338A}"/>
    <cellStyle name="Comma 2" xfId="15" xr:uid="{00000000-0005-0000-0000-000001000000}"/>
    <cellStyle name="Comma 2 2" xfId="4" xr:uid="{00000000-0005-0000-0000-000002000000}"/>
    <cellStyle name="Comma 2 2 2" xfId="47" xr:uid="{E9DADF6E-BA16-46A5-8CD0-7F24CCF7D3BA}"/>
    <cellStyle name="Comma 2 2 2 2" xfId="8" xr:uid="{00000000-0005-0000-0000-000003000000}"/>
    <cellStyle name="Comma 2 2 3" xfId="50" xr:uid="{3BA5249D-810C-47E9-9BB3-8A4D6C109989}"/>
    <cellStyle name="Comma 2 3 3" xfId="5" xr:uid="{00000000-0005-0000-0000-000004000000}"/>
    <cellStyle name="Comma 2 3 3 2" xfId="18" xr:uid="{D778C9E8-2C8E-4C18-B415-55561D24A5D6}"/>
    <cellStyle name="Comma 2 5" xfId="38" xr:uid="{E0CD0EBB-10FB-46E1-A213-135D081A540C}"/>
    <cellStyle name="Comma 3" xfId="24" xr:uid="{F087E0E3-C49F-49A3-9AB2-8A4D6E380E86}"/>
    <cellStyle name="Comma 3 2" xfId="30" xr:uid="{81DC52B2-1B67-4075-9071-DA6709084285}"/>
    <cellStyle name="Comma 4" xfId="32" xr:uid="{894CAA66-B544-426E-B62E-319C7256FBF8}"/>
    <cellStyle name="Comma 4 2" xfId="68" xr:uid="{B792C2FD-937E-4C7B-92E8-A96FF25FC57F}"/>
    <cellStyle name="Comma 5" xfId="51" xr:uid="{B0FBE074-C693-4632-877E-526485C3C4B2}"/>
    <cellStyle name="Comma 6" xfId="55" xr:uid="{0E715D81-791C-4543-B9D2-527A220E9388}"/>
    <cellStyle name="Comma 6 2" xfId="70" xr:uid="{FA8A9411-4538-4431-AAED-C4F4599795E1}"/>
    <cellStyle name="Comma 7" xfId="64" xr:uid="{46C7E1A0-4D9F-4EB6-AA2C-A71BA6DBDE2E}"/>
    <cellStyle name="Comma 8" xfId="60" xr:uid="{451EDFED-35E6-4E6F-A46F-8B64AB539CF2}"/>
    <cellStyle name="Comma 9" xfId="49" xr:uid="{2F33631B-3815-4614-B239-ADE038EF82BF}"/>
    <cellStyle name="Currency" xfId="52" builtinId="4"/>
    <cellStyle name="Currency 2" xfId="12" xr:uid="{00000000-0005-0000-0000-000006000000}"/>
    <cellStyle name="Currency 2 2" xfId="72" xr:uid="{A944A426-CE0B-4F3E-A2CE-0578BEEF5AF3}"/>
    <cellStyle name="Currency 3" xfId="16" xr:uid="{00000000-0005-0000-0000-000007000000}"/>
    <cellStyle name="Currency 4" xfId="26" xr:uid="{F3C59F93-6727-4C1F-91F9-C0C06954DFA8}"/>
    <cellStyle name="Currency 4 2" xfId="29" xr:uid="{9D1DB9D5-BD0A-43FD-9C21-7354A3A89A43}"/>
    <cellStyle name="Currency 4 3" xfId="41" xr:uid="{BBE43462-B21E-4DF8-8D4A-B179AEC704A6}"/>
    <cellStyle name="Currency 5" xfId="43" xr:uid="{1221BD25-0069-4DDA-A116-22C4B67FEAEE}"/>
    <cellStyle name="Currency 6" xfId="56" xr:uid="{8FAD5D11-0AD8-4C94-80EA-649D4AA50050}"/>
    <cellStyle name="Currency 7" xfId="63" xr:uid="{CF0185FB-C675-4D53-98C4-00363EDDE4E4}"/>
    <cellStyle name="Currency 7 2" xfId="69" xr:uid="{62B03EC0-DEA5-469C-8F9C-A4CC12E2CE5F}"/>
    <cellStyle name="Currency 8" xfId="61" xr:uid="{CEDA70E3-216C-4312-8E65-DA80E1D8925D}"/>
    <cellStyle name="Hyperlink" xfId="74" builtinId="8" customBuiltin="1"/>
    <cellStyle name="Normal" xfId="0" builtinId="0" customBuiltin="1"/>
    <cellStyle name="Normal - Style1 2" xfId="48" xr:uid="{AAB77B77-DAD7-4470-B3D2-FBF1B6D417C1}"/>
    <cellStyle name="Normal 10" xfId="57" xr:uid="{17F316A8-7BA9-4BC5-A2BB-DE088D694D45}"/>
    <cellStyle name="Normal 11" xfId="10" xr:uid="{00000000-0005-0000-0000-000009000000}"/>
    <cellStyle name="Normal 11 4" xfId="33" xr:uid="{6D373B33-D387-452E-8811-47EBFB215D98}"/>
    <cellStyle name="Normal 12" xfId="59" xr:uid="{061DA2B2-30EA-4829-BEFF-5260461AA20F}"/>
    <cellStyle name="Normal 13" xfId="62" xr:uid="{0B9C8F01-E11B-4DD0-913B-141DA2054CF7}"/>
    <cellStyle name="Normal 14" xfId="71" xr:uid="{C38F4CAF-CCA5-4743-86BA-432346453D6F}"/>
    <cellStyle name="Normal 15" xfId="78" xr:uid="{7CEB06F1-A1F7-4C3C-BCB1-6FA4335B476E}"/>
    <cellStyle name="Normal 2" xfId="11" xr:uid="{00000000-0005-0000-0000-00000A000000}"/>
    <cellStyle name="Normal 2 2 2" xfId="2" xr:uid="{00000000-0005-0000-0000-00000B000000}"/>
    <cellStyle name="Normal 2 2 2 2" xfId="17" xr:uid="{DEEBA244-7778-4C03-BB71-1E4EB50F9A7D}"/>
    <cellStyle name="Normal 2 2 2 2 2" xfId="35" xr:uid="{14FDBEF6-7061-4DB7-A6CE-01BC2D3C32D3}"/>
    <cellStyle name="Normal 2 2 2 2 2 2" xfId="40" xr:uid="{56D62543-792E-416C-B50C-623C0AB2033E}"/>
    <cellStyle name="Normal 2 2 2 2 2 3" xfId="79" xr:uid="{D70647C9-49F7-412E-AC6A-EE425AD16951}"/>
    <cellStyle name="Normal 2 2 2 2 3" xfId="77" xr:uid="{5B533E6C-129E-4743-967F-CB36EBA14070}"/>
    <cellStyle name="Normal 2 2 6" xfId="9" xr:uid="{00000000-0005-0000-0000-00000C000000}"/>
    <cellStyle name="Normal 2 3" xfId="34" xr:uid="{E9506E73-685F-4932-BF4D-BA39C3759CBD}"/>
    <cellStyle name="Normal 2 3 2" xfId="75" xr:uid="{72836C84-73E0-4040-9823-C1C8E6DC984F}"/>
    <cellStyle name="Normal 2 5" xfId="36" xr:uid="{CADF19A3-CC37-4588-ACA0-3B75676A5B72}"/>
    <cellStyle name="Normal 2 7" xfId="76" xr:uid="{EFAAD830-38DB-48C9-AF49-6946B210381F}"/>
    <cellStyle name="Normal 3" xfId="23" xr:uid="{595E1667-9C9C-4C1A-B371-0091F11EFA6A}"/>
    <cellStyle name="Normal 3 2" xfId="31" xr:uid="{4F877837-9A5E-44AA-AC16-AA1428330ABB}"/>
    <cellStyle name="Normal 4" xfId="25" xr:uid="{E772725A-A820-42F9-A66D-A48CC0108A01}"/>
    <cellStyle name="Normal 4 2" xfId="3" xr:uid="{00000000-0005-0000-0000-00000D000000}"/>
    <cellStyle name="Normal 4 3" xfId="28" xr:uid="{898DA783-B421-445F-B044-6067289E30B0}"/>
    <cellStyle name="Normal 5" xfId="27" xr:uid="{EC6C6414-081B-4A80-917C-B83541214A9A}"/>
    <cellStyle name="Normal 6" xfId="20" xr:uid="{AB3AB714-A554-4F3D-85CB-0FDBB5B2428B}"/>
    <cellStyle name="Normal 6 2" xfId="37" xr:uid="{45F22950-B240-4989-B060-78F4FE6464A4}"/>
    <cellStyle name="Normal 7" xfId="44" xr:uid="{BB1B64B2-4E84-4917-B1E8-D0A7672FCE99}"/>
    <cellStyle name="Normal 7 2" xfId="46" xr:uid="{29613D65-DDCE-45FC-9EDA-D949636EA8B7}"/>
    <cellStyle name="Normal 8" xfId="21" xr:uid="{2263DCB4-71CD-4F84-9AA0-E353A89EC297}"/>
    <cellStyle name="Normal 9" xfId="53" xr:uid="{D7193E2A-A693-4A23-9569-CFF7645E2A4C}"/>
    <cellStyle name="Percent" xfId="1" builtinId="5"/>
    <cellStyle name="Percent 2" xfId="6" xr:uid="{00000000-0005-0000-0000-00000F000000}"/>
    <cellStyle name="Percent 2 2" xfId="13" xr:uid="{00000000-0005-0000-0000-000010000000}"/>
    <cellStyle name="Percent 2 3" xfId="66" xr:uid="{4258C94D-18A8-4AAE-90E0-5CDDE6C7BACF}"/>
    <cellStyle name="Percent 2 3 3" xfId="7" xr:uid="{00000000-0005-0000-0000-000011000000}"/>
    <cellStyle name="Percent 2 3 3 2" xfId="19" xr:uid="{9139D730-8FCC-476A-8C36-7D19AB3887C3}"/>
    <cellStyle name="Percent 3" xfId="14" xr:uid="{00000000-0005-0000-0000-000012000000}"/>
    <cellStyle name="Percent 4" xfId="42" xr:uid="{5A6CF254-34A9-4238-BEA6-2608F1511AF2}"/>
    <cellStyle name="Percent 5" xfId="54" xr:uid="{D6F20FFC-F2EB-4369-9DF8-6F145AB38AAD}"/>
    <cellStyle name="Percent 6" xfId="58" xr:uid="{94A97C91-0F7F-44D1-BEBD-123878CFBD87}"/>
    <cellStyle name="Percent 7" xfId="39" xr:uid="{287CD88E-BAA6-40CD-9444-593330A4CE37}"/>
    <cellStyle name="Percent 8" xfId="65" xr:uid="{7777CA82-862D-4268-95E2-651D5A1CB0DF}"/>
    <cellStyle name="Percent 8 2" xfId="67" xr:uid="{D0433E2E-970E-4E6D-BEB1-D0D8BEAB7F39}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39994506668294322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/>
        <horizontal/>
      </border>
    </dxf>
    <dxf>
      <font>
        <color rgb="FFC00000"/>
      </font>
      <fill>
        <patternFill>
          <bgColor rgb="FFFF7171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AD9D8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99"/>
      <color rgb="FF008000"/>
      <color rgb="FFFAD9D8"/>
      <color rgb="FFF2E4E0"/>
      <color rgb="FF44546A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838200</xdr:colOff>
          <xdr:row>16</xdr:row>
          <xdr:rowOff>123825</xdr:rowOff>
        </xdr:from>
        <xdr:to>
          <xdr:col>8</xdr:col>
          <xdr:colOff>9525</xdr:colOff>
          <xdr:row>18</xdr:row>
          <xdr:rowOff>57150</xdr:rowOff>
        </xdr:to>
        <xdr:sp macro="" textlink="">
          <xdr:nvSpPr>
            <xdr:cNvPr id="13313" name="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D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Run Int Reserve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1009650</xdr:colOff>
          <xdr:row>16</xdr:row>
          <xdr:rowOff>133350</xdr:rowOff>
        </xdr:from>
        <xdr:to>
          <xdr:col>8</xdr:col>
          <xdr:colOff>0</xdr:colOff>
          <xdr:row>18</xdr:row>
          <xdr:rowOff>66675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E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Run Int Reserve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1009650</xdr:colOff>
          <xdr:row>16</xdr:row>
          <xdr:rowOff>133350</xdr:rowOff>
        </xdr:from>
        <xdr:to>
          <xdr:col>8</xdr:col>
          <xdr:colOff>9525</xdr:colOff>
          <xdr:row>18</xdr:row>
          <xdr:rowOff>66675</xdr:rowOff>
        </xdr:to>
        <xdr:sp macro="" textlink="">
          <xdr:nvSpPr>
            <xdr:cNvPr id="14338" name="Button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E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Run Int Reserve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wtor6/re/ACCOUNTG/Finstmts/Bud2003/pw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nect.kingsettcapital.com/RIAZ%20MAMDANI/Duggan%20Shopping%20Centre/Loan%20Summary/Yield%20Maintenance%20-%20Circle%20Squar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P/Files/Investment%20Team/2007%20Deal%20Directory/2007%20Mixed/Standard%20Life%20JV/2.%20Skyway%20Business%20Park/2.%20Analysis/165%20Attwell%20(VM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wtor6/re/ACCOUNTG/Finstmts/Bud2002/PW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chang/My%20Documents/Copy%20of%2001.%20Chilliwack%20Mall%20(VM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uce%20Williams/FINMDRD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ccounting\2003\Monthend%20Mgmt%20Reports\Mar%202003\LPP1%20Mgmt%20Repor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smith/Desktop/Templates/amortization%20calcul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WP/Files/Investment%20Team/2007%20Deal%20Directory/2007%20Retail/R07_28_Frontier%20Mall/Valuation/Tenancy/NBattleford_Tenancy%20Analysis%20A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pfrimmer/Desktop/Personal/GPM_June_2010_-_Cashflows_v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ADMINISTRATION%20FILES/Links/Finance/4.%20Construction/Commitment%20Letter/Phasing%20Amendment/Dominion%20-%20Proforma%20for%20Construction%20Financing%202008-02-15%20(Revised%20Phasing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heet1"/>
      <sheetName val="YTD"/>
      <sheetName val="OCCUP"/>
      <sheetName val="RENT"/>
      <sheetName val="FOOD2"/>
      <sheetName val="HOURS"/>
      <sheetName val="RATES"/>
      <sheetName val="EMP"/>
      <sheetName val="GRID"/>
      <sheetName val="SICK"/>
      <sheetName val="BENEFITS"/>
      <sheetName val="Market"/>
      <sheetName val="Capital"/>
      <sheetName val="Hydro"/>
      <sheetName val="Gas"/>
      <sheetName val="water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M Tranche 1"/>
      <sheetName val="YM Tranche 2"/>
      <sheetName val="Data (Do Not Delete)"/>
      <sheetName val="Drop Downs"/>
      <sheetName val="Yield Maintenance - Circle Squa"/>
    </sheetNames>
    <sheetDataSet>
      <sheetData sheetId="0"/>
      <sheetData sheetId="1">
        <row r="5">
          <cell r="F5">
            <v>5.6000000000000001E-2</v>
          </cell>
        </row>
        <row r="7">
          <cell r="F7">
            <v>8.9899999999999997E-3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udget Rec"/>
      <sheetName val="Amortization Schedule"/>
      <sheetName val="Cash Flow"/>
      <sheetName val="CF Summary"/>
      <sheetName val="DCF"/>
      <sheetName val="Financing"/>
      <sheetName val="Financing CF "/>
      <sheetName val="Mk-to-Mkt"/>
      <sheetName val="Mtg."/>
      <sheetName val="NER Calc"/>
      <sheetName val="Assumptions"/>
      <sheetName val="STC Expiration"/>
      <sheetName val="Tenant Profile"/>
    </sheetNames>
    <sheetDataSet>
      <sheetData sheetId="0"/>
      <sheetData sheetId="1"/>
      <sheetData sheetId="2"/>
      <sheetData sheetId="3">
        <row r="14">
          <cell r="A14" t="str">
            <v>LineItem</v>
          </cell>
          <cell r="B14" t="str">
            <v>AcctCode</v>
          </cell>
          <cell r="C14">
            <v>1</v>
          </cell>
          <cell r="D14">
            <v>2</v>
          </cell>
          <cell r="E14">
            <v>3</v>
          </cell>
          <cell r="F14">
            <v>4</v>
          </cell>
          <cell r="G14">
            <v>5</v>
          </cell>
          <cell r="H14">
            <v>6</v>
          </cell>
          <cell r="I14">
            <v>7</v>
          </cell>
          <cell r="J14">
            <v>8</v>
          </cell>
          <cell r="K14">
            <v>9</v>
          </cell>
          <cell r="L14">
            <v>10</v>
          </cell>
          <cell r="M14">
            <v>11</v>
          </cell>
          <cell r="N14">
            <v>12</v>
          </cell>
          <cell r="O14">
            <v>13</v>
          </cell>
          <cell r="P14">
            <v>14</v>
          </cell>
          <cell r="Q14">
            <v>15</v>
          </cell>
          <cell r="R14">
            <v>16</v>
          </cell>
          <cell r="S14">
            <v>17</v>
          </cell>
          <cell r="T14">
            <v>18</v>
          </cell>
          <cell r="U14">
            <v>19</v>
          </cell>
          <cell r="V14">
            <v>20</v>
          </cell>
          <cell r="W14">
            <v>21</v>
          </cell>
        </row>
        <row r="15">
          <cell r="A15" t="str">
            <v xml:space="preserve">Software      </v>
          </cell>
          <cell r="B15" t="str">
            <v xml:space="preserve">: ARGUS  Ver. ARGUS 2007 (Build: 13000-F)    </v>
          </cell>
          <cell r="C15" t="str">
            <v xml:space="preserve">                                                               165 Attwell                                                                 </v>
          </cell>
          <cell r="D15"/>
          <cell r="E15" t="str">
            <v xml:space="preserve">Date   </v>
          </cell>
          <cell r="F15" t="str">
            <v xml:space="preserve">: 11/12/07 </v>
          </cell>
        </row>
        <row r="16">
          <cell r="A16" t="str">
            <v xml:space="preserve">File          </v>
          </cell>
          <cell r="B16" t="str">
            <v xml:space="preserve">: 165 Attwell Drive                          </v>
          </cell>
          <cell r="C16" t="str">
            <v xml:space="preserve">                                                           Etobicoke</v>
          </cell>
          <cell r="D16" t="str">
            <v xml:space="preserve"> Ontario                                                              </v>
          </cell>
          <cell r="E16"/>
          <cell r="F16" t="str">
            <v xml:space="preserve">Time   </v>
          </cell>
          <cell r="G16" t="str">
            <v xml:space="preserve">: 17:48    </v>
          </cell>
        </row>
        <row r="17">
          <cell r="A17" t="str">
            <v xml:space="preserve">Property Type </v>
          </cell>
          <cell r="B17" t="str">
            <v xml:space="preserve">: Office/Industrial                          </v>
          </cell>
          <cell r="C17"/>
          <cell r="D17"/>
          <cell r="E17" t="str">
            <v xml:space="preserve">Ref#   </v>
          </cell>
          <cell r="F17" t="str">
            <v xml:space="preserve">: ABZ      </v>
          </cell>
        </row>
        <row r="18">
          <cell r="A18" t="str">
            <v xml:space="preserve">Portfolio     </v>
          </cell>
          <cell r="B18" t="str">
            <v xml:space="preserve">:                                            </v>
          </cell>
          <cell r="C18"/>
          <cell r="D18"/>
          <cell r="E18" t="str">
            <v xml:space="preserve">Page   </v>
          </cell>
          <cell r="F18" t="str">
            <v xml:space="preserve">: 1        </v>
          </cell>
        </row>
        <row r="19">
          <cell r="A19" t="str">
            <v xml:space="preserve">                                                                                                               Schedule Of Prospective Cash Flow</v>
          </cell>
        </row>
        <row r="20">
          <cell r="A20" t="str">
            <v xml:space="preserve">                                                                                                  In Inflated Dollars for the Fiscal Year Beginning 1/1/2008</v>
          </cell>
        </row>
        <row r="21">
          <cell r="A21"/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</row>
        <row r="22">
          <cell r="A22"/>
          <cell r="B22"/>
          <cell r="C22" t="str">
            <v xml:space="preserve">    Year  1 </v>
          </cell>
          <cell r="D22" t="str">
            <v xml:space="preserve">    Year  2 </v>
          </cell>
          <cell r="E22" t="str">
            <v xml:space="preserve">    Year  3 </v>
          </cell>
          <cell r="F22" t="str">
            <v xml:space="preserve">    Year  4 </v>
          </cell>
          <cell r="G22" t="str">
            <v xml:space="preserve">    Year  5 </v>
          </cell>
          <cell r="H22" t="str">
            <v xml:space="preserve">    Year  6 </v>
          </cell>
          <cell r="I22" t="str">
            <v xml:space="preserve">    Year  7 </v>
          </cell>
          <cell r="J22" t="str">
            <v xml:space="preserve">    Year  8 </v>
          </cell>
          <cell r="K22" t="str">
            <v xml:space="preserve">    Year  9 </v>
          </cell>
          <cell r="L22" t="str">
            <v xml:space="preserve">    Year 10 </v>
          </cell>
          <cell r="M22" t="str">
            <v xml:space="preserve">    Year 11</v>
          </cell>
        </row>
        <row r="23">
          <cell r="A23" t="str">
            <v xml:space="preserve">For the Years Ending             </v>
          </cell>
          <cell r="B23" t="str">
            <v xml:space="preserve">   Acct Code</v>
          </cell>
          <cell r="C23" t="str">
            <v xml:space="preserve">   Dec-2008 </v>
          </cell>
          <cell r="D23" t="str">
            <v xml:space="preserve">   Dec-2009 </v>
          </cell>
          <cell r="E23" t="str">
            <v xml:space="preserve">   Dec-2010 </v>
          </cell>
          <cell r="F23" t="str">
            <v xml:space="preserve">   Dec-2011 </v>
          </cell>
          <cell r="G23" t="str">
            <v xml:space="preserve">   Dec-2012 </v>
          </cell>
          <cell r="H23" t="str">
            <v xml:space="preserve">   Dec-2013 </v>
          </cell>
          <cell r="I23" t="str">
            <v xml:space="preserve">   Dec-2014 </v>
          </cell>
          <cell r="J23" t="str">
            <v xml:space="preserve">   Dec-2015 </v>
          </cell>
          <cell r="K23" t="str">
            <v xml:space="preserve">   Dec-2016 </v>
          </cell>
          <cell r="L23" t="str">
            <v xml:space="preserve">   Dec-2017 </v>
          </cell>
          <cell r="M23" t="str">
            <v xml:space="preserve">   Dec-2018</v>
          </cell>
        </row>
        <row r="24">
          <cell r="A24"/>
          <cell r="B24" t="str">
            <v>____________</v>
          </cell>
          <cell r="C24" t="str">
            <v xml:space="preserve"> __________ </v>
          </cell>
          <cell r="D24" t="str">
            <v xml:space="preserve"> __________ </v>
          </cell>
          <cell r="E24" t="str">
            <v xml:space="preserve"> __________ </v>
          </cell>
          <cell r="F24" t="str">
            <v xml:space="preserve"> __________ </v>
          </cell>
          <cell r="G24" t="str">
            <v xml:space="preserve"> __________ </v>
          </cell>
          <cell r="H24" t="str">
            <v xml:space="preserve"> __________ </v>
          </cell>
          <cell r="I24" t="str">
            <v xml:space="preserve"> __________ </v>
          </cell>
          <cell r="J24" t="str">
            <v xml:space="preserve"> __________ </v>
          </cell>
          <cell r="K24" t="str">
            <v xml:space="preserve"> __________ </v>
          </cell>
          <cell r="L24" t="str">
            <v xml:space="preserve"> __________ </v>
          </cell>
          <cell r="M24" t="str">
            <v xml:space="preserve"> __________</v>
          </cell>
        </row>
        <row r="25">
          <cell r="A25" t="str">
            <v xml:space="preserve">Potential Gross Revenue                      </v>
          </cell>
        </row>
        <row r="26">
          <cell r="A26" t="str">
            <v xml:space="preserve">Base Rental Revenue              </v>
          </cell>
          <cell r="B26"/>
          <cell r="C26">
            <v>356884</v>
          </cell>
          <cell r="D26">
            <v>356884</v>
          </cell>
          <cell r="E26">
            <v>358390</v>
          </cell>
          <cell r="F26">
            <v>384325</v>
          </cell>
          <cell r="G26">
            <v>384325</v>
          </cell>
          <cell r="H26">
            <v>384325</v>
          </cell>
          <cell r="I26">
            <v>384325</v>
          </cell>
          <cell r="J26">
            <v>384325</v>
          </cell>
          <cell r="K26">
            <v>430619</v>
          </cell>
          <cell r="L26">
            <v>434828</v>
          </cell>
          <cell r="M26">
            <v>434828</v>
          </cell>
        </row>
        <row r="27">
          <cell r="A27" t="str">
            <v xml:space="preserve">Absorption &amp; Turnover Vacancy    </v>
          </cell>
          <cell r="B27"/>
          <cell r="C27">
            <v>0</v>
          </cell>
          <cell r="D27">
            <v>0</v>
          </cell>
          <cell r="E27">
            <v>-31246</v>
          </cell>
          <cell r="F27">
            <v>-32027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-72471</v>
          </cell>
          <cell r="L27">
            <v>0</v>
          </cell>
          <cell r="M27">
            <v>0</v>
          </cell>
        </row>
        <row r="28">
          <cell r="A28"/>
          <cell r="B28"/>
          <cell r="C28" t="str">
            <v xml:space="preserve"> __________ </v>
          </cell>
          <cell r="D28" t="str">
            <v xml:space="preserve"> __________ </v>
          </cell>
          <cell r="E28" t="str">
            <v xml:space="preserve"> __________ </v>
          </cell>
          <cell r="F28" t="str">
            <v xml:space="preserve"> __________ </v>
          </cell>
          <cell r="G28" t="str">
            <v xml:space="preserve"> __________ </v>
          </cell>
          <cell r="H28" t="str">
            <v xml:space="preserve"> __________ </v>
          </cell>
          <cell r="I28" t="str">
            <v xml:space="preserve"> __________ </v>
          </cell>
          <cell r="J28" t="str">
            <v xml:space="preserve"> __________ </v>
          </cell>
          <cell r="K28" t="str">
            <v xml:space="preserve"> __________ </v>
          </cell>
          <cell r="L28" t="str">
            <v xml:space="preserve"> __________ </v>
          </cell>
          <cell r="M28" t="str">
            <v xml:space="preserve"> __________</v>
          </cell>
        </row>
        <row r="29">
          <cell r="A29" t="str">
            <v xml:space="preserve">Scheduled Base Rental Revenue    </v>
          </cell>
          <cell r="B29"/>
          <cell r="C29">
            <v>356884</v>
          </cell>
          <cell r="D29">
            <v>356884</v>
          </cell>
          <cell r="E29">
            <v>327144</v>
          </cell>
          <cell r="F29">
            <v>352298</v>
          </cell>
          <cell r="G29">
            <v>384325</v>
          </cell>
          <cell r="H29">
            <v>384325</v>
          </cell>
          <cell r="I29">
            <v>384325</v>
          </cell>
          <cell r="J29">
            <v>384325</v>
          </cell>
          <cell r="K29">
            <v>358148</v>
          </cell>
          <cell r="L29">
            <v>434828</v>
          </cell>
          <cell r="M29">
            <v>434828</v>
          </cell>
        </row>
        <row r="31">
          <cell r="A31" t="str">
            <v xml:space="preserve">Expense Reimbursement Revenue      </v>
          </cell>
        </row>
        <row r="32">
          <cell r="A32" t="str">
            <v xml:space="preserve">Operating Cost                   </v>
          </cell>
          <cell r="B32"/>
          <cell r="C32">
            <v>159517</v>
          </cell>
          <cell r="D32">
            <v>163505</v>
          </cell>
          <cell r="E32">
            <v>153627</v>
          </cell>
          <cell r="F32">
            <v>157467</v>
          </cell>
          <cell r="G32">
            <v>176077</v>
          </cell>
          <cell r="H32">
            <v>180479</v>
          </cell>
          <cell r="I32">
            <v>184991</v>
          </cell>
          <cell r="J32">
            <v>189616</v>
          </cell>
          <cell r="K32">
            <v>161963</v>
          </cell>
          <cell r="L32">
            <v>199215</v>
          </cell>
          <cell r="M32">
            <v>204195</v>
          </cell>
        </row>
        <row r="33">
          <cell r="A33" t="str">
            <v xml:space="preserve">Realty Tax                       </v>
          </cell>
          <cell r="B33"/>
          <cell r="C33">
            <v>143400</v>
          </cell>
          <cell r="D33">
            <v>146985</v>
          </cell>
          <cell r="E33">
            <v>138105</v>
          </cell>
          <cell r="F33">
            <v>141557</v>
          </cell>
          <cell r="G33">
            <v>158287</v>
          </cell>
          <cell r="H33">
            <v>162244</v>
          </cell>
          <cell r="I33">
            <v>166300</v>
          </cell>
          <cell r="J33">
            <v>170458</v>
          </cell>
          <cell r="K33">
            <v>145599</v>
          </cell>
          <cell r="L33">
            <v>179087</v>
          </cell>
          <cell r="M33">
            <v>183564</v>
          </cell>
        </row>
        <row r="34">
          <cell r="A34" t="str">
            <v xml:space="preserve">Admin                            </v>
          </cell>
          <cell r="B34"/>
          <cell r="C34">
            <v>23257</v>
          </cell>
          <cell r="D34">
            <v>23525</v>
          </cell>
          <cell r="E34">
            <v>20583</v>
          </cell>
          <cell r="F34">
            <v>21660</v>
          </cell>
          <cell r="G34">
            <v>25334</v>
          </cell>
          <cell r="H34">
            <v>25629</v>
          </cell>
          <cell r="I34">
            <v>25932</v>
          </cell>
          <cell r="J34">
            <v>26243</v>
          </cell>
          <cell r="K34">
            <v>20073</v>
          </cell>
          <cell r="L34">
            <v>28663</v>
          </cell>
          <cell r="M34">
            <v>28997</v>
          </cell>
        </row>
        <row r="35">
          <cell r="A35"/>
          <cell r="B35"/>
          <cell r="C35" t="str">
            <v xml:space="preserve"> __________ </v>
          </cell>
          <cell r="D35" t="str">
            <v xml:space="preserve"> __________ </v>
          </cell>
          <cell r="E35" t="str">
            <v xml:space="preserve"> __________ </v>
          </cell>
          <cell r="F35" t="str">
            <v xml:space="preserve"> __________ </v>
          </cell>
          <cell r="G35" t="str">
            <v xml:space="preserve"> __________ </v>
          </cell>
          <cell r="H35" t="str">
            <v xml:space="preserve"> __________ </v>
          </cell>
          <cell r="I35" t="str">
            <v xml:space="preserve"> __________ </v>
          </cell>
          <cell r="J35" t="str">
            <v xml:space="preserve"> __________ </v>
          </cell>
          <cell r="K35" t="str">
            <v xml:space="preserve"> __________ </v>
          </cell>
          <cell r="L35" t="str">
            <v xml:space="preserve"> __________ </v>
          </cell>
          <cell r="M35" t="str">
            <v xml:space="preserve"> __________</v>
          </cell>
        </row>
        <row r="36">
          <cell r="A36" t="str">
            <v xml:space="preserve">Total Reimbursement Revenue      </v>
          </cell>
          <cell r="B36"/>
          <cell r="C36">
            <v>326174</v>
          </cell>
          <cell r="D36">
            <v>334015</v>
          </cell>
          <cell r="E36">
            <v>312315</v>
          </cell>
          <cell r="F36">
            <v>320684</v>
          </cell>
          <cell r="G36">
            <v>359698</v>
          </cell>
          <cell r="H36">
            <v>368352</v>
          </cell>
          <cell r="I36">
            <v>377223</v>
          </cell>
          <cell r="J36">
            <v>386317</v>
          </cell>
          <cell r="K36">
            <v>327635</v>
          </cell>
          <cell r="L36">
            <v>406965</v>
          </cell>
          <cell r="M36">
            <v>416756</v>
          </cell>
        </row>
        <row r="38">
          <cell r="A38" t="str">
            <v xml:space="preserve">other income                     </v>
          </cell>
          <cell r="B38"/>
          <cell r="C38">
            <v>2000</v>
          </cell>
          <cell r="D38">
            <v>2050</v>
          </cell>
          <cell r="E38">
            <v>2101</v>
          </cell>
          <cell r="F38">
            <v>2154</v>
          </cell>
          <cell r="G38">
            <v>2208</v>
          </cell>
          <cell r="H38">
            <v>2263</v>
          </cell>
          <cell r="I38">
            <v>2319</v>
          </cell>
          <cell r="J38">
            <v>2377</v>
          </cell>
          <cell r="K38">
            <v>2437</v>
          </cell>
          <cell r="L38">
            <v>2498</v>
          </cell>
          <cell r="M38">
            <v>2560</v>
          </cell>
        </row>
        <row r="39">
          <cell r="A39"/>
          <cell r="B39"/>
          <cell r="C39" t="str">
            <v xml:space="preserve"> __________ </v>
          </cell>
          <cell r="D39" t="str">
            <v xml:space="preserve"> __________ </v>
          </cell>
          <cell r="E39" t="str">
            <v xml:space="preserve"> __________ </v>
          </cell>
          <cell r="F39" t="str">
            <v xml:space="preserve"> __________ </v>
          </cell>
          <cell r="G39" t="str">
            <v xml:space="preserve"> __________ </v>
          </cell>
          <cell r="H39" t="str">
            <v xml:space="preserve"> __________ </v>
          </cell>
          <cell r="I39" t="str">
            <v xml:space="preserve"> __________ </v>
          </cell>
          <cell r="J39" t="str">
            <v xml:space="preserve"> __________ </v>
          </cell>
          <cell r="K39" t="str">
            <v xml:space="preserve"> __________ </v>
          </cell>
          <cell r="L39" t="str">
            <v xml:space="preserve"> __________ </v>
          </cell>
          <cell r="M39" t="str">
            <v xml:space="preserve"> __________</v>
          </cell>
        </row>
        <row r="40">
          <cell r="A40" t="str">
            <v xml:space="preserve">Total Potential Gross Revenue    </v>
          </cell>
          <cell r="B40"/>
          <cell r="C40">
            <v>685058</v>
          </cell>
          <cell r="D40">
            <v>692949</v>
          </cell>
          <cell r="E40">
            <v>641560</v>
          </cell>
          <cell r="F40">
            <v>675136</v>
          </cell>
          <cell r="G40">
            <v>746231</v>
          </cell>
          <cell r="H40">
            <v>754940</v>
          </cell>
          <cell r="I40">
            <v>763867</v>
          </cell>
          <cell r="J40">
            <v>773019</v>
          </cell>
          <cell r="K40">
            <v>688220</v>
          </cell>
          <cell r="L40">
            <v>844291</v>
          </cell>
          <cell r="M40">
            <v>854144</v>
          </cell>
        </row>
        <row r="41">
          <cell r="A41" t="str">
            <v xml:space="preserve">General Vacancy                  </v>
          </cell>
          <cell r="B41"/>
          <cell r="C41">
            <v>-20552</v>
          </cell>
          <cell r="D41">
            <v>-20788</v>
          </cell>
          <cell r="E41">
            <v>0</v>
          </cell>
          <cell r="F41">
            <v>0</v>
          </cell>
          <cell r="G41">
            <v>-22387</v>
          </cell>
          <cell r="H41">
            <v>-22648</v>
          </cell>
          <cell r="I41">
            <v>-22916</v>
          </cell>
          <cell r="J41">
            <v>-23191</v>
          </cell>
          <cell r="K41">
            <v>0</v>
          </cell>
          <cell r="L41">
            <v>-25329</v>
          </cell>
          <cell r="M41">
            <v>-25624</v>
          </cell>
        </row>
        <row r="42">
          <cell r="A42"/>
          <cell r="B42"/>
          <cell r="C42" t="str">
            <v xml:space="preserve"> __________ </v>
          </cell>
          <cell r="D42" t="str">
            <v xml:space="preserve"> __________ </v>
          </cell>
          <cell r="E42" t="str">
            <v xml:space="preserve"> __________ </v>
          </cell>
          <cell r="F42" t="str">
            <v xml:space="preserve"> __________ </v>
          </cell>
          <cell r="G42" t="str">
            <v xml:space="preserve"> __________ </v>
          </cell>
          <cell r="H42" t="str">
            <v xml:space="preserve"> __________ </v>
          </cell>
          <cell r="I42" t="str">
            <v xml:space="preserve"> __________ </v>
          </cell>
          <cell r="J42" t="str">
            <v xml:space="preserve"> __________ </v>
          </cell>
          <cell r="K42" t="str">
            <v xml:space="preserve"> __________ </v>
          </cell>
          <cell r="L42" t="str">
            <v xml:space="preserve"> __________ </v>
          </cell>
          <cell r="M42" t="str">
            <v xml:space="preserve"> __________</v>
          </cell>
        </row>
        <row r="43">
          <cell r="A43" t="str">
            <v xml:space="preserve">Effective Gross Revenue          </v>
          </cell>
          <cell r="B43"/>
          <cell r="C43">
            <v>664506</v>
          </cell>
          <cell r="D43">
            <v>672161</v>
          </cell>
          <cell r="E43">
            <v>641560</v>
          </cell>
          <cell r="F43">
            <v>675136</v>
          </cell>
          <cell r="G43">
            <v>723844</v>
          </cell>
          <cell r="H43">
            <v>732292</v>
          </cell>
          <cell r="I43">
            <v>740951</v>
          </cell>
          <cell r="J43">
            <v>749828</v>
          </cell>
          <cell r="K43">
            <v>688220</v>
          </cell>
          <cell r="L43">
            <v>818962</v>
          </cell>
          <cell r="M43">
            <v>828520</v>
          </cell>
        </row>
        <row r="44">
          <cell r="A44"/>
          <cell r="B44"/>
          <cell r="C44" t="str">
            <v xml:space="preserve"> __________ </v>
          </cell>
          <cell r="D44" t="str">
            <v xml:space="preserve"> __________ </v>
          </cell>
          <cell r="E44" t="str">
            <v xml:space="preserve"> __________ </v>
          </cell>
          <cell r="F44" t="str">
            <v xml:space="preserve"> __________ </v>
          </cell>
          <cell r="G44" t="str">
            <v xml:space="preserve"> __________ </v>
          </cell>
          <cell r="H44" t="str">
            <v xml:space="preserve"> __________ </v>
          </cell>
          <cell r="I44" t="str">
            <v xml:space="preserve"> __________ </v>
          </cell>
          <cell r="J44" t="str">
            <v xml:space="preserve"> __________ </v>
          </cell>
          <cell r="K44" t="str">
            <v xml:space="preserve"> __________ </v>
          </cell>
          <cell r="L44" t="str">
            <v xml:space="preserve"> __________ </v>
          </cell>
          <cell r="M44" t="str">
            <v xml:space="preserve"> __________</v>
          </cell>
        </row>
        <row r="45">
          <cell r="A45" t="str">
            <v xml:space="preserve">Operating Expenses                           </v>
          </cell>
        </row>
        <row r="46">
          <cell r="A46" t="str">
            <v xml:space="preserve">Operating Cost                   </v>
          </cell>
          <cell r="B46">
            <v>1</v>
          </cell>
          <cell r="C46">
            <v>159517</v>
          </cell>
          <cell r="D46">
            <v>163505</v>
          </cell>
          <cell r="E46">
            <v>167593</v>
          </cell>
          <cell r="F46">
            <v>171782</v>
          </cell>
          <cell r="G46">
            <v>176077</v>
          </cell>
          <cell r="H46">
            <v>180479</v>
          </cell>
          <cell r="I46">
            <v>184991</v>
          </cell>
          <cell r="J46">
            <v>189616</v>
          </cell>
          <cell r="K46">
            <v>194356</v>
          </cell>
          <cell r="L46">
            <v>199215</v>
          </cell>
          <cell r="M46">
            <v>204195</v>
          </cell>
        </row>
        <row r="47">
          <cell r="A47" t="str">
            <v xml:space="preserve">Realty Tax                       </v>
          </cell>
          <cell r="B47">
            <v>2</v>
          </cell>
          <cell r="C47">
            <v>143400</v>
          </cell>
          <cell r="D47">
            <v>146985</v>
          </cell>
          <cell r="E47">
            <v>150660</v>
          </cell>
          <cell r="F47">
            <v>154426</v>
          </cell>
          <cell r="G47">
            <v>158287</v>
          </cell>
          <cell r="H47">
            <v>162244</v>
          </cell>
          <cell r="I47">
            <v>166300</v>
          </cell>
          <cell r="J47">
            <v>170458</v>
          </cell>
          <cell r="K47">
            <v>174719</v>
          </cell>
          <cell r="L47">
            <v>179087</v>
          </cell>
          <cell r="M47">
            <v>183564</v>
          </cell>
        </row>
        <row r="48">
          <cell r="A48" t="str">
            <v xml:space="preserve">Managemnt Fee                    </v>
          </cell>
          <cell r="B48">
            <v>4</v>
          </cell>
          <cell r="C48">
            <v>23258</v>
          </cell>
          <cell r="D48">
            <v>23526</v>
          </cell>
          <cell r="E48">
            <v>22455</v>
          </cell>
          <cell r="F48">
            <v>23630</v>
          </cell>
          <cell r="G48">
            <v>25335</v>
          </cell>
          <cell r="H48">
            <v>25630</v>
          </cell>
          <cell r="I48">
            <v>25933</v>
          </cell>
          <cell r="J48">
            <v>26244</v>
          </cell>
          <cell r="K48">
            <v>24088</v>
          </cell>
          <cell r="L48">
            <v>28664</v>
          </cell>
          <cell r="M48">
            <v>28998</v>
          </cell>
        </row>
        <row r="49">
          <cell r="A49"/>
          <cell r="B49"/>
          <cell r="C49" t="str">
            <v xml:space="preserve"> __________ </v>
          </cell>
          <cell r="D49" t="str">
            <v xml:space="preserve"> __________ </v>
          </cell>
          <cell r="E49" t="str">
            <v xml:space="preserve"> __________ </v>
          </cell>
          <cell r="F49" t="str">
            <v xml:space="preserve"> __________ </v>
          </cell>
          <cell r="G49" t="str">
            <v xml:space="preserve"> __________ </v>
          </cell>
          <cell r="H49" t="str">
            <v xml:space="preserve"> __________ </v>
          </cell>
          <cell r="I49" t="str">
            <v xml:space="preserve"> __________ </v>
          </cell>
          <cell r="J49" t="str">
            <v xml:space="preserve"> __________ </v>
          </cell>
          <cell r="K49" t="str">
            <v xml:space="preserve"> __________ </v>
          </cell>
          <cell r="L49" t="str">
            <v xml:space="preserve"> __________ </v>
          </cell>
          <cell r="M49" t="str">
            <v xml:space="preserve"> __________</v>
          </cell>
        </row>
        <row r="50">
          <cell r="A50" t="str">
            <v xml:space="preserve">Total Operating Expenses         </v>
          </cell>
          <cell r="B50"/>
          <cell r="C50">
            <v>326175</v>
          </cell>
          <cell r="D50">
            <v>334016</v>
          </cell>
          <cell r="E50">
            <v>340708</v>
          </cell>
          <cell r="F50">
            <v>349838</v>
          </cell>
          <cell r="G50">
            <v>359699</v>
          </cell>
          <cell r="H50">
            <v>368353</v>
          </cell>
          <cell r="I50">
            <v>377224</v>
          </cell>
          <cell r="J50">
            <v>386318</v>
          </cell>
          <cell r="K50">
            <v>393163</v>
          </cell>
          <cell r="L50">
            <v>406966</v>
          </cell>
          <cell r="M50">
            <v>416757</v>
          </cell>
        </row>
        <row r="51">
          <cell r="A51"/>
          <cell r="B51"/>
          <cell r="C51" t="str">
            <v xml:space="preserve"> __________ </v>
          </cell>
          <cell r="D51" t="str">
            <v xml:space="preserve"> __________ </v>
          </cell>
          <cell r="E51" t="str">
            <v xml:space="preserve"> __________ </v>
          </cell>
          <cell r="F51" t="str">
            <v xml:space="preserve"> __________ </v>
          </cell>
          <cell r="G51" t="str">
            <v xml:space="preserve"> __________ </v>
          </cell>
          <cell r="H51" t="str">
            <v xml:space="preserve"> __________ </v>
          </cell>
          <cell r="I51" t="str">
            <v xml:space="preserve"> __________ </v>
          </cell>
          <cell r="J51" t="str">
            <v xml:space="preserve"> __________ </v>
          </cell>
          <cell r="K51" t="str">
            <v xml:space="preserve"> __________ </v>
          </cell>
          <cell r="L51" t="str">
            <v xml:space="preserve"> __________ </v>
          </cell>
          <cell r="M51" t="str">
            <v xml:space="preserve"> __________</v>
          </cell>
        </row>
        <row r="52">
          <cell r="A52" t="str">
            <v xml:space="preserve">Net Operating Income             </v>
          </cell>
          <cell r="B52"/>
          <cell r="C52">
            <v>338331</v>
          </cell>
          <cell r="D52">
            <v>338145</v>
          </cell>
          <cell r="E52">
            <v>300852</v>
          </cell>
          <cell r="F52">
            <v>325298</v>
          </cell>
          <cell r="G52">
            <v>364145</v>
          </cell>
          <cell r="H52">
            <v>363939</v>
          </cell>
          <cell r="I52">
            <v>363727</v>
          </cell>
          <cell r="J52">
            <v>363510</v>
          </cell>
          <cell r="K52">
            <v>295057</v>
          </cell>
          <cell r="L52">
            <v>411996</v>
          </cell>
          <cell r="M52">
            <v>411763</v>
          </cell>
        </row>
        <row r="53">
          <cell r="A53"/>
          <cell r="B53"/>
          <cell r="C53" t="str">
            <v xml:space="preserve"> __________ </v>
          </cell>
          <cell r="D53" t="str">
            <v xml:space="preserve"> __________ </v>
          </cell>
          <cell r="E53" t="str">
            <v xml:space="preserve"> __________ </v>
          </cell>
          <cell r="F53" t="str">
            <v xml:space="preserve"> __________ </v>
          </cell>
          <cell r="G53" t="str">
            <v xml:space="preserve"> __________ </v>
          </cell>
          <cell r="H53" t="str">
            <v xml:space="preserve"> __________ </v>
          </cell>
          <cell r="I53" t="str">
            <v xml:space="preserve"> __________ </v>
          </cell>
          <cell r="J53" t="str">
            <v xml:space="preserve"> __________ </v>
          </cell>
          <cell r="K53" t="str">
            <v xml:space="preserve"> __________ </v>
          </cell>
          <cell r="L53" t="str">
            <v xml:space="preserve"> __________ </v>
          </cell>
          <cell r="M53" t="str">
            <v xml:space="preserve"> __________</v>
          </cell>
        </row>
        <row r="54">
          <cell r="A54" t="str">
            <v xml:space="preserve">Leasing &amp; Capital Costs            </v>
          </cell>
        </row>
        <row r="55">
          <cell r="A55" t="str">
            <v xml:space="preserve">Tenant Improvements              </v>
          </cell>
          <cell r="B55"/>
          <cell r="C55">
            <v>0</v>
          </cell>
          <cell r="D55">
            <v>0</v>
          </cell>
          <cell r="E55">
            <v>0</v>
          </cell>
          <cell r="F55">
            <v>202775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229421</v>
          </cell>
          <cell r="L55">
            <v>0</v>
          </cell>
          <cell r="M55">
            <v>0</v>
          </cell>
        </row>
        <row r="56">
          <cell r="A56" t="str">
            <v xml:space="preserve">Leasing Commissions              </v>
          </cell>
          <cell r="B56"/>
          <cell r="C56">
            <v>0</v>
          </cell>
          <cell r="D56">
            <v>0</v>
          </cell>
          <cell r="E56">
            <v>0</v>
          </cell>
          <cell r="F56">
            <v>121665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137653</v>
          </cell>
          <cell r="L56">
            <v>0</v>
          </cell>
          <cell r="M56">
            <v>0</v>
          </cell>
        </row>
        <row r="57">
          <cell r="A57" t="str">
            <v xml:space="preserve">Structural Reserve               </v>
          </cell>
          <cell r="B57"/>
          <cell r="C57">
            <v>6645</v>
          </cell>
          <cell r="D57">
            <v>6722</v>
          </cell>
          <cell r="E57">
            <v>6416</v>
          </cell>
          <cell r="F57">
            <v>6751</v>
          </cell>
          <cell r="G57">
            <v>7238</v>
          </cell>
          <cell r="H57">
            <v>7323</v>
          </cell>
          <cell r="I57">
            <v>7410</v>
          </cell>
          <cell r="J57">
            <v>7498</v>
          </cell>
          <cell r="K57">
            <v>6882</v>
          </cell>
          <cell r="L57">
            <v>8190</v>
          </cell>
          <cell r="M57">
            <v>8285</v>
          </cell>
        </row>
        <row r="58">
          <cell r="A58"/>
          <cell r="B58"/>
          <cell r="C58" t="str">
            <v xml:space="preserve"> __________ </v>
          </cell>
          <cell r="D58" t="str">
            <v xml:space="preserve"> __________ </v>
          </cell>
          <cell r="E58" t="str">
            <v xml:space="preserve"> __________ </v>
          </cell>
          <cell r="F58" t="str">
            <v xml:space="preserve"> __________ </v>
          </cell>
          <cell r="G58" t="str">
            <v xml:space="preserve"> __________ </v>
          </cell>
          <cell r="H58" t="str">
            <v xml:space="preserve"> __________ </v>
          </cell>
          <cell r="I58" t="str">
            <v xml:space="preserve"> __________ </v>
          </cell>
          <cell r="J58" t="str">
            <v xml:space="preserve"> __________ </v>
          </cell>
          <cell r="K58" t="str">
            <v xml:space="preserve"> __________ </v>
          </cell>
          <cell r="L58" t="str">
            <v xml:space="preserve"> __________ </v>
          </cell>
          <cell r="M58" t="str">
            <v xml:space="preserve"> __________</v>
          </cell>
        </row>
        <row r="59">
          <cell r="A59" t="str">
            <v xml:space="preserve">Total Leasing &amp; Capital Costs    </v>
          </cell>
          <cell r="B59"/>
          <cell r="C59">
            <v>6645</v>
          </cell>
          <cell r="D59">
            <v>6722</v>
          </cell>
          <cell r="E59">
            <v>6416</v>
          </cell>
          <cell r="F59">
            <v>331191</v>
          </cell>
          <cell r="G59">
            <v>7238</v>
          </cell>
          <cell r="H59">
            <v>7323</v>
          </cell>
          <cell r="I59">
            <v>7410</v>
          </cell>
          <cell r="J59">
            <v>7498</v>
          </cell>
          <cell r="K59">
            <v>373956</v>
          </cell>
          <cell r="L59">
            <v>8190</v>
          </cell>
          <cell r="M59">
            <v>8285</v>
          </cell>
        </row>
        <row r="60">
          <cell r="A60"/>
          <cell r="B60"/>
          <cell r="C60" t="str">
            <v xml:space="preserve"> __________ </v>
          </cell>
          <cell r="D60" t="str">
            <v xml:space="preserve"> __________ </v>
          </cell>
          <cell r="E60" t="str">
            <v xml:space="preserve"> __________ </v>
          </cell>
          <cell r="F60" t="str">
            <v xml:space="preserve"> __________ </v>
          </cell>
          <cell r="G60" t="str">
            <v xml:space="preserve"> __________ </v>
          </cell>
          <cell r="H60" t="str">
            <v xml:space="preserve"> __________ </v>
          </cell>
          <cell r="I60" t="str">
            <v xml:space="preserve"> __________ </v>
          </cell>
          <cell r="J60" t="str">
            <v xml:space="preserve"> __________ </v>
          </cell>
          <cell r="K60" t="str">
            <v xml:space="preserve"> __________ </v>
          </cell>
          <cell r="L60" t="str">
            <v xml:space="preserve"> __________ </v>
          </cell>
          <cell r="M60" t="str">
            <v xml:space="preserve"> __________</v>
          </cell>
        </row>
        <row r="61">
          <cell r="A61" t="str">
            <v xml:space="preserve">Cash Flow Before Debt Service    </v>
          </cell>
          <cell r="B61"/>
          <cell r="C61">
            <v>331686</v>
          </cell>
          <cell r="D61">
            <v>331423</v>
          </cell>
          <cell r="E61">
            <v>294436</v>
          </cell>
          <cell r="F61">
            <v>-5893</v>
          </cell>
          <cell r="G61">
            <v>356907</v>
          </cell>
          <cell r="H61">
            <v>356616</v>
          </cell>
          <cell r="I61">
            <v>356317</v>
          </cell>
          <cell r="J61">
            <v>356012</v>
          </cell>
          <cell r="K61">
            <v>-78899</v>
          </cell>
          <cell r="L61">
            <v>403806</v>
          </cell>
          <cell r="M61">
            <v>403478</v>
          </cell>
        </row>
        <row r="62">
          <cell r="A62" t="str">
            <v xml:space="preserve">&amp; Taxes                          </v>
          </cell>
          <cell r="B62"/>
          <cell r="C62" t="str">
            <v xml:space="preserve"> ========== </v>
          </cell>
          <cell r="D62" t="str">
            <v xml:space="preserve"> ========== </v>
          </cell>
          <cell r="E62" t="str">
            <v xml:space="preserve"> ========== </v>
          </cell>
          <cell r="F62" t="str">
            <v xml:space="preserve"> ========== </v>
          </cell>
          <cell r="G62" t="str">
            <v xml:space="preserve"> ========== </v>
          </cell>
          <cell r="H62" t="str">
            <v xml:space="preserve"> ========== </v>
          </cell>
          <cell r="I62" t="str">
            <v xml:space="preserve"> ========== </v>
          </cell>
          <cell r="J62" t="str">
            <v xml:space="preserve"> ========== </v>
          </cell>
          <cell r="K62" t="str">
            <v xml:space="preserve"> ========== </v>
          </cell>
          <cell r="L62" t="str">
            <v xml:space="preserve"> ========== </v>
          </cell>
          <cell r="M62" t="str">
            <v xml:space="preserve"> ==========</v>
          </cell>
        </row>
        <row r="63">
          <cell r="A63" t="str">
            <v>_x001A_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YTD"/>
      <sheetName val="OCCUP"/>
      <sheetName val="RENT"/>
      <sheetName val="FOOD"/>
      <sheetName val="HOURS"/>
      <sheetName val="RATES"/>
      <sheetName val="EMP"/>
      <sheetName val="GRID"/>
      <sheetName val="SICK"/>
      <sheetName val="BENEFITS"/>
      <sheetName val="Market"/>
      <sheetName val="capital"/>
      <sheetName val="Hydro"/>
      <sheetName val="Gas"/>
      <sheetName val="PM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udget Rec"/>
      <sheetName val="2005 Actuals"/>
      <sheetName val="Amortization Schedule (2007)"/>
      <sheetName val="Amortization Schedule"/>
      <sheetName val="Cash Flow"/>
      <sheetName val="CF Summary"/>
      <sheetName val="DCF"/>
      <sheetName val="Financing CF "/>
      <sheetName val="Financing"/>
      <sheetName val="Mk-to-Mkt"/>
      <sheetName val="Expiration Schedule"/>
      <sheetName val="Tenant Profile"/>
      <sheetName val="Property Summary"/>
      <sheetName val="Charts"/>
      <sheetName val="Assumptions"/>
    </sheetNames>
    <sheetDataSet>
      <sheetData sheetId="0">
        <row r="6">
          <cell r="C6" t="str">
            <v>S:\PROJECTS-CURRENT\Duran\Fairness Models\Models 10 year Adjusted - leasing update\Argus</v>
          </cell>
        </row>
        <row r="7">
          <cell r="C7" t="str">
            <v>01. CHILLIWACK MALL (FA)</v>
          </cell>
        </row>
      </sheetData>
      <sheetData sheetId="1"/>
      <sheetData sheetId="2"/>
      <sheetData sheetId="3"/>
      <sheetData sheetId="4"/>
      <sheetData sheetId="5">
        <row r="14">
          <cell r="A14" t="str">
            <v>LineItem</v>
          </cell>
          <cell r="B14" t="str">
            <v>AcctCode</v>
          </cell>
          <cell r="C14">
            <v>1</v>
          </cell>
          <cell r="D14">
            <v>2</v>
          </cell>
          <cell r="E14">
            <v>3</v>
          </cell>
          <cell r="F14">
            <v>4</v>
          </cell>
          <cell r="G14">
            <v>5</v>
          </cell>
          <cell r="H14">
            <v>6</v>
          </cell>
          <cell r="I14">
            <v>7</v>
          </cell>
          <cell r="J14">
            <v>8</v>
          </cell>
          <cell r="K14">
            <v>9</v>
          </cell>
          <cell r="L14">
            <v>10</v>
          </cell>
          <cell r="M14">
            <v>11</v>
          </cell>
          <cell r="N14">
            <v>12</v>
          </cell>
          <cell r="O14">
            <v>13</v>
          </cell>
          <cell r="P14">
            <v>14</v>
          </cell>
          <cell r="Q14">
            <v>15</v>
          </cell>
          <cell r="R14">
            <v>16</v>
          </cell>
          <cell r="S14">
            <v>17</v>
          </cell>
          <cell r="T14">
            <v>18</v>
          </cell>
          <cell r="U14">
            <v>19</v>
          </cell>
          <cell r="V14">
            <v>20</v>
          </cell>
          <cell r="W14">
            <v>21</v>
          </cell>
        </row>
        <row r="15">
          <cell r="A15" t="str">
            <v xml:space="preserve">                                                                                                               SCHEDULE OF PROSPECTIVE CASH FLOW</v>
          </cell>
        </row>
        <row r="16">
          <cell r="A16" t="str">
            <v xml:space="preserve">                                                                                                  In Inflated Dollars for the Fiscal Year Beginning 1/1/2006</v>
          </cell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</row>
        <row r="18">
          <cell r="A18"/>
          <cell r="B18"/>
          <cell r="C18" t="str">
            <v xml:space="preserve">    Year  2 </v>
          </cell>
          <cell r="D18" t="str">
            <v xml:space="preserve">    Year  3 </v>
          </cell>
          <cell r="E18" t="str">
            <v xml:space="preserve">    Year  4 </v>
          </cell>
          <cell r="F18" t="str">
            <v xml:space="preserve">    Year  5 </v>
          </cell>
          <cell r="G18" t="str">
            <v xml:space="preserve">    Year  6 </v>
          </cell>
          <cell r="H18" t="str">
            <v xml:space="preserve">    Year  7 </v>
          </cell>
          <cell r="I18" t="str">
            <v xml:space="preserve">    Year  8 </v>
          </cell>
          <cell r="J18" t="str">
            <v xml:space="preserve">    Year  9 </v>
          </cell>
          <cell r="K18" t="str">
            <v xml:space="preserve">    Year 10 </v>
          </cell>
          <cell r="L18" t="str">
            <v xml:space="preserve">    Year 11 </v>
          </cell>
          <cell r="M18" t="str">
            <v xml:space="preserve">    Year 12</v>
          </cell>
        </row>
        <row r="19">
          <cell r="A19" t="str">
            <v xml:space="preserve">For the Years Ending               </v>
          </cell>
          <cell r="B19" t="str">
            <v xml:space="preserve">   Acct Code</v>
          </cell>
          <cell r="C19" t="str">
            <v xml:space="preserve">   Dec-2007 </v>
          </cell>
          <cell r="D19" t="str">
            <v xml:space="preserve">   Dec-2008 </v>
          </cell>
          <cell r="E19" t="str">
            <v xml:space="preserve">   Dec-2009 </v>
          </cell>
          <cell r="F19" t="str">
            <v xml:space="preserve">   Dec-2010 </v>
          </cell>
          <cell r="G19" t="str">
            <v xml:space="preserve">   Dec-2011 </v>
          </cell>
          <cell r="H19" t="str">
            <v xml:space="preserve">   Dec-2012 </v>
          </cell>
          <cell r="I19" t="str">
            <v xml:space="preserve">   Dec-2013 </v>
          </cell>
          <cell r="J19" t="str">
            <v xml:space="preserve">   Dec-2014 </v>
          </cell>
          <cell r="K19" t="str">
            <v xml:space="preserve">   Dec-2015 </v>
          </cell>
          <cell r="L19" t="str">
            <v xml:space="preserve">   Dec-2016 </v>
          </cell>
          <cell r="M19" t="str">
            <v xml:space="preserve">   Dec-2017</v>
          </cell>
        </row>
        <row r="20">
          <cell r="A20"/>
          <cell r="B20" t="str">
            <v>____________</v>
          </cell>
          <cell r="C20" t="str">
            <v xml:space="preserve"> __________ </v>
          </cell>
          <cell r="D20" t="str">
            <v xml:space="preserve"> __________ </v>
          </cell>
          <cell r="E20" t="str">
            <v xml:space="preserve"> __________ </v>
          </cell>
          <cell r="F20" t="str">
            <v xml:space="preserve"> __________ </v>
          </cell>
          <cell r="G20" t="str">
            <v xml:space="preserve"> __________ </v>
          </cell>
          <cell r="H20" t="str">
            <v xml:space="preserve"> __________ </v>
          </cell>
          <cell r="I20" t="str">
            <v xml:space="preserve"> __________ </v>
          </cell>
          <cell r="J20" t="str">
            <v xml:space="preserve"> __________ </v>
          </cell>
          <cell r="K20" t="str">
            <v xml:space="preserve"> __________ </v>
          </cell>
          <cell r="L20" t="str">
            <v xml:space="preserve"> __________ </v>
          </cell>
          <cell r="M20" t="str">
            <v xml:space="preserve"> __________</v>
          </cell>
        </row>
        <row r="21">
          <cell r="A21" t="str">
            <v xml:space="preserve">Potential Gross Revenue                        </v>
          </cell>
        </row>
        <row r="22">
          <cell r="A22" t="str">
            <v xml:space="preserve">Base Rental Revenue                </v>
          </cell>
          <cell r="B22"/>
          <cell r="C22">
            <v>1526635</v>
          </cell>
          <cell r="D22">
            <v>1535894</v>
          </cell>
          <cell r="E22">
            <v>1571947</v>
          </cell>
          <cell r="F22">
            <v>1551010</v>
          </cell>
          <cell r="G22">
            <v>1572187</v>
          </cell>
          <cell r="H22">
            <v>1587853</v>
          </cell>
          <cell r="I22">
            <v>1600541</v>
          </cell>
          <cell r="J22">
            <v>1652941</v>
          </cell>
          <cell r="K22">
            <v>1663228</v>
          </cell>
          <cell r="L22">
            <v>1684726</v>
          </cell>
          <cell r="M22">
            <v>1714596</v>
          </cell>
        </row>
        <row r="23">
          <cell r="A23" t="str">
            <v xml:space="preserve">Absorption &amp; Turnover Vacancy      </v>
          </cell>
          <cell r="B23"/>
          <cell r="C23">
            <v>-73139</v>
          </cell>
          <cell r="D23">
            <v>-24696</v>
          </cell>
          <cell r="E23">
            <v>-12268</v>
          </cell>
          <cell r="F23">
            <v>-3808</v>
          </cell>
          <cell r="G23">
            <v>-8934</v>
          </cell>
          <cell r="H23">
            <v>-22632</v>
          </cell>
          <cell r="I23">
            <v>-7185</v>
          </cell>
          <cell r="J23">
            <v>-13544</v>
          </cell>
          <cell r="K23">
            <v>-4205</v>
          </cell>
          <cell r="L23">
            <v>-18889</v>
          </cell>
          <cell r="M23">
            <v>-23562</v>
          </cell>
        </row>
        <row r="24">
          <cell r="A24" t="str">
            <v xml:space="preserve">Free Rent Allowances               </v>
          </cell>
          <cell r="B24"/>
          <cell r="C24">
            <v>-8272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/>
          <cell r="B25"/>
          <cell r="C25" t="str">
            <v xml:space="preserve"> __________ </v>
          </cell>
          <cell r="D25" t="str">
            <v xml:space="preserve"> __________ </v>
          </cell>
          <cell r="E25" t="str">
            <v xml:space="preserve"> __________ </v>
          </cell>
          <cell r="F25" t="str">
            <v xml:space="preserve"> __________ </v>
          </cell>
          <cell r="G25" t="str">
            <v xml:space="preserve"> __________ </v>
          </cell>
          <cell r="H25" t="str">
            <v xml:space="preserve"> __________ </v>
          </cell>
          <cell r="I25" t="str">
            <v xml:space="preserve"> __________ </v>
          </cell>
          <cell r="J25" t="str">
            <v xml:space="preserve"> __________ </v>
          </cell>
          <cell r="K25" t="str">
            <v xml:space="preserve"> __________ </v>
          </cell>
          <cell r="L25" t="str">
            <v xml:space="preserve"> __________ </v>
          </cell>
          <cell r="M25" t="str">
            <v xml:space="preserve"> __________</v>
          </cell>
        </row>
        <row r="26">
          <cell r="A26" t="str">
            <v xml:space="preserve">Scheduled Base Rental Revenue      </v>
          </cell>
          <cell r="B26"/>
          <cell r="C26">
            <v>1445224</v>
          </cell>
          <cell r="D26">
            <v>1511198</v>
          </cell>
          <cell r="E26">
            <v>1559679</v>
          </cell>
          <cell r="F26">
            <v>1547202</v>
          </cell>
          <cell r="G26">
            <v>1563253</v>
          </cell>
          <cell r="H26">
            <v>1565221</v>
          </cell>
          <cell r="I26">
            <v>1593356</v>
          </cell>
          <cell r="J26">
            <v>1639397</v>
          </cell>
          <cell r="K26">
            <v>1659023</v>
          </cell>
          <cell r="L26">
            <v>1665837</v>
          </cell>
          <cell r="M26">
            <v>1691034</v>
          </cell>
        </row>
        <row r="27">
          <cell r="A27" t="str">
            <v xml:space="preserve">Retail Sales Percent Revenue       </v>
          </cell>
          <cell r="B27"/>
          <cell r="C27">
            <v>891</v>
          </cell>
          <cell r="D27">
            <v>1120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194</v>
          </cell>
        </row>
        <row r="29">
          <cell r="A29" t="str">
            <v xml:space="preserve">Recoveries                           </v>
          </cell>
        </row>
        <row r="30">
          <cell r="A30" t="str">
            <v xml:space="preserve">CAM                                </v>
          </cell>
          <cell r="B30"/>
          <cell r="C30">
            <v>289865</v>
          </cell>
          <cell r="D30">
            <v>317765</v>
          </cell>
          <cell r="E30">
            <v>332036</v>
          </cell>
          <cell r="F30">
            <v>343033</v>
          </cell>
          <cell r="G30">
            <v>344489</v>
          </cell>
          <cell r="H30">
            <v>344899</v>
          </cell>
          <cell r="I30">
            <v>360432</v>
          </cell>
          <cell r="J30">
            <v>363909</v>
          </cell>
          <cell r="K30">
            <v>376000</v>
          </cell>
          <cell r="L30">
            <v>377849</v>
          </cell>
          <cell r="M30">
            <v>381241</v>
          </cell>
        </row>
        <row r="31">
          <cell r="A31" t="str">
            <v xml:space="preserve">CAM Safeway                        </v>
          </cell>
          <cell r="B31"/>
          <cell r="C31">
            <v>97464</v>
          </cell>
          <cell r="D31">
            <v>99413</v>
          </cell>
          <cell r="E31">
            <v>101402</v>
          </cell>
          <cell r="F31">
            <v>103430</v>
          </cell>
          <cell r="G31">
            <v>105498</v>
          </cell>
          <cell r="H31">
            <v>107608</v>
          </cell>
          <cell r="I31">
            <v>109760</v>
          </cell>
          <cell r="J31">
            <v>111956</v>
          </cell>
          <cell r="K31">
            <v>114195</v>
          </cell>
          <cell r="L31">
            <v>116478</v>
          </cell>
          <cell r="M31">
            <v>118808</v>
          </cell>
        </row>
        <row r="32">
          <cell r="A32" t="str">
            <v xml:space="preserve">CAM Walmart                        </v>
          </cell>
          <cell r="B32"/>
          <cell r="C32">
            <v>35882</v>
          </cell>
          <cell r="D32">
            <v>36599</v>
          </cell>
          <cell r="E32">
            <v>37331</v>
          </cell>
          <cell r="F32">
            <v>38078</v>
          </cell>
          <cell r="G32">
            <v>38839</v>
          </cell>
          <cell r="H32">
            <v>39616</v>
          </cell>
          <cell r="I32">
            <v>40408</v>
          </cell>
          <cell r="J32">
            <v>41217</v>
          </cell>
          <cell r="K32">
            <v>42041</v>
          </cell>
          <cell r="L32">
            <v>42882</v>
          </cell>
          <cell r="M32">
            <v>43739</v>
          </cell>
        </row>
        <row r="33">
          <cell r="A33" t="str">
            <v xml:space="preserve">CAM Security                       </v>
          </cell>
          <cell r="B33"/>
          <cell r="C33">
            <v>6105</v>
          </cell>
          <cell r="D33">
            <v>6754</v>
          </cell>
          <cell r="E33">
            <v>7083</v>
          </cell>
          <cell r="F33">
            <v>7326</v>
          </cell>
          <cell r="G33">
            <v>8190</v>
          </cell>
          <cell r="H33">
            <v>8278</v>
          </cell>
          <cell r="I33">
            <v>8653</v>
          </cell>
          <cell r="J33">
            <v>8735</v>
          </cell>
          <cell r="K33">
            <v>9025</v>
          </cell>
          <cell r="L33">
            <v>9074</v>
          </cell>
          <cell r="M33">
            <v>9150</v>
          </cell>
        </row>
        <row r="34">
          <cell r="A34" t="str">
            <v xml:space="preserve">CAM Cleaning                       </v>
          </cell>
          <cell r="B34"/>
          <cell r="C34">
            <v>13282</v>
          </cell>
          <cell r="D34">
            <v>14697</v>
          </cell>
          <cell r="E34">
            <v>15405</v>
          </cell>
          <cell r="F34">
            <v>15941</v>
          </cell>
          <cell r="G34">
            <v>17826</v>
          </cell>
          <cell r="H34">
            <v>18012</v>
          </cell>
          <cell r="I34">
            <v>18822</v>
          </cell>
          <cell r="J34">
            <v>19002</v>
          </cell>
          <cell r="K34">
            <v>19637</v>
          </cell>
          <cell r="L34">
            <v>19733</v>
          </cell>
          <cell r="M34">
            <v>19912</v>
          </cell>
        </row>
        <row r="35">
          <cell r="A35" t="str">
            <v xml:space="preserve">CAM Insurance                      </v>
          </cell>
          <cell r="B35"/>
          <cell r="C35">
            <v>11448</v>
          </cell>
          <cell r="D35">
            <v>12672</v>
          </cell>
          <cell r="E35">
            <v>13282</v>
          </cell>
          <cell r="F35">
            <v>13743</v>
          </cell>
          <cell r="G35">
            <v>15364</v>
          </cell>
          <cell r="H35">
            <v>15531</v>
          </cell>
          <cell r="I35">
            <v>16229</v>
          </cell>
          <cell r="J35">
            <v>16383</v>
          </cell>
          <cell r="K35">
            <v>16927</v>
          </cell>
          <cell r="L35">
            <v>17014</v>
          </cell>
          <cell r="M35">
            <v>17165</v>
          </cell>
        </row>
        <row r="36">
          <cell r="A36" t="str">
            <v xml:space="preserve">CAM Garbage                        </v>
          </cell>
          <cell r="B36"/>
          <cell r="C36">
            <v>8805</v>
          </cell>
          <cell r="D36">
            <v>9750</v>
          </cell>
          <cell r="E36">
            <v>10217</v>
          </cell>
          <cell r="F36">
            <v>10571</v>
          </cell>
          <cell r="G36">
            <v>11813</v>
          </cell>
          <cell r="H36">
            <v>11943</v>
          </cell>
          <cell r="I36">
            <v>12479</v>
          </cell>
          <cell r="J36">
            <v>12600</v>
          </cell>
          <cell r="K36">
            <v>13018</v>
          </cell>
          <cell r="L36">
            <v>13081</v>
          </cell>
          <cell r="M36">
            <v>13198</v>
          </cell>
        </row>
        <row r="37">
          <cell r="A37" t="str">
            <v xml:space="preserve">Amortization                       </v>
          </cell>
          <cell r="B37"/>
          <cell r="C37">
            <v>6563</v>
          </cell>
          <cell r="D37">
            <v>7120</v>
          </cell>
          <cell r="E37">
            <v>6773</v>
          </cell>
          <cell r="F37">
            <v>5206</v>
          </cell>
          <cell r="G37">
            <v>5706</v>
          </cell>
          <cell r="H37">
            <v>5653</v>
          </cell>
          <cell r="I37">
            <v>5476</v>
          </cell>
          <cell r="J37">
            <v>4480</v>
          </cell>
          <cell r="K37">
            <v>3405</v>
          </cell>
          <cell r="L37">
            <v>0</v>
          </cell>
          <cell r="M37">
            <v>0</v>
          </cell>
        </row>
        <row r="38">
          <cell r="A38" t="str">
            <v xml:space="preserve">Amortization 2006                  </v>
          </cell>
          <cell r="B38"/>
          <cell r="C38">
            <v>15107</v>
          </cell>
          <cell r="D38">
            <v>16392</v>
          </cell>
          <cell r="E38">
            <v>16841</v>
          </cell>
          <cell r="F38">
            <v>17085</v>
          </cell>
          <cell r="G38">
            <v>14712</v>
          </cell>
          <cell r="H38">
            <v>13256</v>
          </cell>
          <cell r="I38">
            <v>13582</v>
          </cell>
          <cell r="J38">
            <v>13443</v>
          </cell>
          <cell r="K38">
            <v>13619</v>
          </cell>
          <cell r="L38">
            <v>13416</v>
          </cell>
          <cell r="M38">
            <v>13271</v>
          </cell>
        </row>
        <row r="39">
          <cell r="A39" t="str">
            <v xml:space="preserve">Amortization 2007+                 </v>
          </cell>
          <cell r="B39"/>
          <cell r="C39">
            <v>10548</v>
          </cell>
          <cell r="D39">
            <v>26798</v>
          </cell>
          <cell r="E39">
            <v>36092</v>
          </cell>
          <cell r="F39">
            <v>37834</v>
          </cell>
          <cell r="G39">
            <v>41467</v>
          </cell>
          <cell r="H39">
            <v>41086</v>
          </cell>
          <cell r="I39">
            <v>42092</v>
          </cell>
          <cell r="J39">
            <v>38684</v>
          </cell>
          <cell r="K39">
            <v>37671</v>
          </cell>
          <cell r="L39">
            <v>0</v>
          </cell>
          <cell r="M39">
            <v>0</v>
          </cell>
        </row>
        <row r="40">
          <cell r="A40" t="str">
            <v xml:space="preserve">Admin Fee (15%)                    </v>
          </cell>
          <cell r="B40"/>
          <cell r="C40">
            <v>54536</v>
          </cell>
          <cell r="D40">
            <v>60833</v>
          </cell>
          <cell r="E40">
            <v>64225</v>
          </cell>
          <cell r="F40">
            <v>65902</v>
          </cell>
          <cell r="G40">
            <v>70800</v>
          </cell>
          <cell r="H40">
            <v>71367</v>
          </cell>
          <cell r="I40">
            <v>73798</v>
          </cell>
          <cell r="J40">
            <v>73970</v>
          </cell>
          <cell r="K40">
            <v>75561</v>
          </cell>
          <cell r="L40">
            <v>70050</v>
          </cell>
          <cell r="M40">
            <v>70904</v>
          </cell>
        </row>
        <row r="41">
          <cell r="A41" t="str">
            <v xml:space="preserve">Realty Tax                         </v>
          </cell>
          <cell r="B41"/>
          <cell r="C41">
            <v>273262</v>
          </cell>
          <cell r="D41">
            <v>287942</v>
          </cell>
          <cell r="E41">
            <v>296994</v>
          </cell>
          <cell r="F41">
            <v>304754</v>
          </cell>
          <cell r="G41">
            <v>323310</v>
          </cell>
          <cell r="H41">
            <v>328441</v>
          </cell>
          <cell r="I41">
            <v>338603</v>
          </cell>
          <cell r="J41">
            <v>343825</v>
          </cell>
          <cell r="K41">
            <v>352708</v>
          </cell>
          <cell r="L41">
            <v>356456</v>
          </cell>
          <cell r="M41">
            <v>362809</v>
          </cell>
        </row>
        <row r="42">
          <cell r="A42"/>
          <cell r="B42"/>
          <cell r="C42" t="str">
            <v xml:space="preserve"> __________ </v>
          </cell>
          <cell r="D42" t="str">
            <v xml:space="preserve"> __________ </v>
          </cell>
          <cell r="E42" t="str">
            <v xml:space="preserve"> __________ </v>
          </cell>
          <cell r="F42" t="str">
            <v xml:space="preserve"> __________ </v>
          </cell>
          <cell r="G42" t="str">
            <v xml:space="preserve"> __________ </v>
          </cell>
          <cell r="H42" t="str">
            <v xml:space="preserve"> __________ </v>
          </cell>
          <cell r="I42" t="str">
            <v xml:space="preserve"> __________ </v>
          </cell>
          <cell r="J42" t="str">
            <v xml:space="preserve"> __________ </v>
          </cell>
          <cell r="K42" t="str">
            <v xml:space="preserve"> __________ </v>
          </cell>
          <cell r="L42" t="str">
            <v xml:space="preserve"> __________ </v>
          </cell>
          <cell r="M42" t="str">
            <v xml:space="preserve"> __________</v>
          </cell>
        </row>
        <row r="43">
          <cell r="A43" t="str">
            <v xml:space="preserve">Total Recoveries                   </v>
          </cell>
          <cell r="B43"/>
          <cell r="C43">
            <v>822867</v>
          </cell>
          <cell r="D43">
            <v>896735</v>
          </cell>
          <cell r="E43">
            <v>937681</v>
          </cell>
          <cell r="F43">
            <v>962903</v>
          </cell>
          <cell r="G43">
            <v>998014</v>
          </cell>
          <cell r="H43">
            <v>1005690</v>
          </cell>
          <cell r="I43">
            <v>1040334</v>
          </cell>
          <cell r="J43">
            <v>1048204</v>
          </cell>
          <cell r="K43">
            <v>1073807</v>
          </cell>
          <cell r="L43">
            <v>1036033</v>
          </cell>
          <cell r="M43">
            <v>1050197</v>
          </cell>
        </row>
        <row r="45">
          <cell r="A45" t="str">
            <v xml:space="preserve">Interest Earned                    </v>
          </cell>
          <cell r="B45"/>
          <cell r="C45">
            <v>6120</v>
          </cell>
          <cell r="D45">
            <v>6242</v>
          </cell>
          <cell r="E45">
            <v>6367</v>
          </cell>
          <cell r="F45">
            <v>6495</v>
          </cell>
          <cell r="G45">
            <v>6624</v>
          </cell>
          <cell r="H45">
            <v>6757</v>
          </cell>
          <cell r="I45">
            <v>6892</v>
          </cell>
          <cell r="J45">
            <v>7030</v>
          </cell>
          <cell r="K45">
            <v>7171</v>
          </cell>
          <cell r="L45">
            <v>7314</v>
          </cell>
          <cell r="M45">
            <v>7460</v>
          </cell>
        </row>
        <row r="46">
          <cell r="A46" t="str">
            <v xml:space="preserve">Sign                               </v>
          </cell>
          <cell r="B46"/>
          <cell r="C46">
            <v>13464</v>
          </cell>
          <cell r="D46">
            <v>13733</v>
          </cell>
          <cell r="E46">
            <v>14008</v>
          </cell>
          <cell r="F46">
            <v>14288</v>
          </cell>
          <cell r="G46">
            <v>14574</v>
          </cell>
          <cell r="H46">
            <v>14865</v>
          </cell>
          <cell r="I46">
            <v>15163</v>
          </cell>
          <cell r="J46">
            <v>15466</v>
          </cell>
          <cell r="K46">
            <v>15775</v>
          </cell>
          <cell r="L46">
            <v>16091</v>
          </cell>
          <cell r="M46">
            <v>16413</v>
          </cell>
        </row>
        <row r="47">
          <cell r="A47" t="str">
            <v xml:space="preserve">Coin Machine                       </v>
          </cell>
          <cell r="B47"/>
          <cell r="C47">
            <v>14178</v>
          </cell>
          <cell r="D47">
            <v>14462</v>
          </cell>
          <cell r="E47">
            <v>14751</v>
          </cell>
          <cell r="F47">
            <v>15046</v>
          </cell>
          <cell r="G47">
            <v>15347</v>
          </cell>
          <cell r="H47">
            <v>15654</v>
          </cell>
          <cell r="I47">
            <v>15967</v>
          </cell>
          <cell r="J47">
            <v>16286</v>
          </cell>
          <cell r="K47">
            <v>16612</v>
          </cell>
          <cell r="L47">
            <v>16944</v>
          </cell>
          <cell r="M47">
            <v>17283</v>
          </cell>
        </row>
        <row r="48">
          <cell r="A48" t="str">
            <v xml:space="preserve">Other rental ops income            </v>
          </cell>
          <cell r="B48"/>
          <cell r="C48">
            <v>36465</v>
          </cell>
          <cell r="D48">
            <v>37194</v>
          </cell>
          <cell r="E48">
            <v>37938</v>
          </cell>
          <cell r="F48">
            <v>38697</v>
          </cell>
          <cell r="G48">
            <v>39471</v>
          </cell>
          <cell r="H48">
            <v>40260</v>
          </cell>
          <cell r="I48">
            <v>41066</v>
          </cell>
          <cell r="J48">
            <v>41887</v>
          </cell>
          <cell r="K48">
            <v>42725</v>
          </cell>
          <cell r="L48">
            <v>43579</v>
          </cell>
          <cell r="M48">
            <v>44451</v>
          </cell>
        </row>
        <row r="49">
          <cell r="A49"/>
          <cell r="B49"/>
          <cell r="C49" t="str">
            <v xml:space="preserve"> __________ </v>
          </cell>
          <cell r="D49" t="str">
            <v xml:space="preserve"> __________ </v>
          </cell>
          <cell r="E49" t="str">
            <v xml:space="preserve"> __________ </v>
          </cell>
          <cell r="F49" t="str">
            <v xml:space="preserve"> __________ </v>
          </cell>
          <cell r="G49" t="str">
            <v xml:space="preserve"> __________ </v>
          </cell>
          <cell r="H49" t="str">
            <v xml:space="preserve"> __________ </v>
          </cell>
          <cell r="I49" t="str">
            <v xml:space="preserve"> __________ </v>
          </cell>
          <cell r="J49" t="str">
            <v xml:space="preserve"> __________ </v>
          </cell>
          <cell r="K49" t="str">
            <v xml:space="preserve"> __________ </v>
          </cell>
          <cell r="L49" t="str">
            <v xml:space="preserve"> __________ </v>
          </cell>
          <cell r="M49" t="str">
            <v xml:space="preserve"> __________</v>
          </cell>
        </row>
        <row r="50">
          <cell r="A50" t="str">
            <v xml:space="preserve">Total Potential Gross Revenue      </v>
          </cell>
          <cell r="B50"/>
          <cell r="C50">
            <v>2339209</v>
          </cell>
          <cell r="D50">
            <v>2480684</v>
          </cell>
          <cell r="E50">
            <v>2570424</v>
          </cell>
          <cell r="F50">
            <v>2584631</v>
          </cell>
          <cell r="G50">
            <v>2637283</v>
          </cell>
          <cell r="H50">
            <v>2648447</v>
          </cell>
          <cell r="I50">
            <v>2712778</v>
          </cell>
          <cell r="J50">
            <v>2768270</v>
          </cell>
          <cell r="K50">
            <v>2815113</v>
          </cell>
          <cell r="L50">
            <v>2785798</v>
          </cell>
          <cell r="M50">
            <v>2827032</v>
          </cell>
        </row>
        <row r="51">
          <cell r="A51" t="str">
            <v xml:space="preserve">Vacancy &amp; Credit Losses            </v>
          </cell>
          <cell r="B51"/>
          <cell r="C51">
            <v>-43821</v>
          </cell>
          <cell r="D51">
            <v>-99338</v>
          </cell>
          <cell r="E51">
            <v>-116253</v>
          </cell>
          <cell r="F51">
            <v>-125424</v>
          </cell>
          <cell r="G51">
            <v>-122930</v>
          </cell>
          <cell r="H51">
            <v>-109790</v>
          </cell>
          <cell r="I51">
            <v>-128454</v>
          </cell>
          <cell r="J51">
            <v>-124870</v>
          </cell>
          <cell r="K51">
            <v>-136551</v>
          </cell>
          <cell r="L51">
            <v>-120401</v>
          </cell>
          <cell r="M51">
            <v>-117790</v>
          </cell>
        </row>
        <row r="52">
          <cell r="A52"/>
          <cell r="B52"/>
          <cell r="C52" t="str">
            <v xml:space="preserve"> __________ </v>
          </cell>
          <cell r="D52" t="str">
            <v xml:space="preserve"> __________ </v>
          </cell>
          <cell r="E52" t="str">
            <v xml:space="preserve"> __________ </v>
          </cell>
          <cell r="F52" t="str">
            <v xml:space="preserve"> __________ </v>
          </cell>
          <cell r="G52" t="str">
            <v xml:space="preserve"> __________ </v>
          </cell>
          <cell r="H52" t="str">
            <v xml:space="preserve"> __________ </v>
          </cell>
          <cell r="I52" t="str">
            <v xml:space="preserve"> __________ </v>
          </cell>
          <cell r="J52" t="str">
            <v xml:space="preserve"> __________ </v>
          </cell>
          <cell r="K52" t="str">
            <v xml:space="preserve"> __________ </v>
          </cell>
          <cell r="L52" t="str">
            <v xml:space="preserve"> __________ </v>
          </cell>
          <cell r="M52" t="str">
            <v xml:space="preserve"> __________</v>
          </cell>
        </row>
        <row r="53">
          <cell r="A53" t="str">
            <v xml:space="preserve">Effective Gross Revenue            </v>
          </cell>
          <cell r="B53"/>
          <cell r="C53">
            <v>2295388</v>
          </cell>
          <cell r="D53">
            <v>2381346</v>
          </cell>
          <cell r="E53">
            <v>2454171</v>
          </cell>
          <cell r="F53">
            <v>2459207</v>
          </cell>
          <cell r="G53">
            <v>2514353</v>
          </cell>
          <cell r="H53">
            <v>2538657</v>
          </cell>
          <cell r="I53">
            <v>2584324</v>
          </cell>
          <cell r="J53">
            <v>2643400</v>
          </cell>
          <cell r="K53">
            <v>2678562</v>
          </cell>
          <cell r="L53">
            <v>2665397</v>
          </cell>
          <cell r="M53">
            <v>2709242</v>
          </cell>
        </row>
        <row r="54">
          <cell r="A54"/>
          <cell r="B54"/>
          <cell r="C54" t="str">
            <v xml:space="preserve"> __________ </v>
          </cell>
          <cell r="D54" t="str">
            <v xml:space="preserve"> __________ </v>
          </cell>
          <cell r="E54" t="str">
            <v xml:space="preserve"> __________ </v>
          </cell>
          <cell r="F54" t="str">
            <v xml:space="preserve"> __________ </v>
          </cell>
          <cell r="G54" t="str">
            <v xml:space="preserve"> __________ </v>
          </cell>
          <cell r="H54" t="str">
            <v xml:space="preserve"> __________ </v>
          </cell>
          <cell r="I54" t="str">
            <v xml:space="preserve"> __________ </v>
          </cell>
          <cell r="J54" t="str">
            <v xml:space="preserve"> __________ </v>
          </cell>
          <cell r="K54" t="str">
            <v xml:space="preserve"> __________ </v>
          </cell>
          <cell r="L54" t="str">
            <v xml:space="preserve"> __________ </v>
          </cell>
          <cell r="M54" t="str">
            <v xml:space="preserve"> __________</v>
          </cell>
        </row>
        <row r="55">
          <cell r="A55" t="str">
            <v xml:space="preserve">Operating Expenses                             </v>
          </cell>
        </row>
        <row r="56">
          <cell r="A56" t="str">
            <v xml:space="preserve">CAM                                </v>
          </cell>
          <cell r="B56">
            <v>1</v>
          </cell>
          <cell r="C56">
            <v>353529</v>
          </cell>
          <cell r="D56">
            <v>360600</v>
          </cell>
          <cell r="E56">
            <v>367812</v>
          </cell>
          <cell r="F56">
            <v>375168</v>
          </cell>
          <cell r="G56">
            <v>382671</v>
          </cell>
          <cell r="H56">
            <v>390325</v>
          </cell>
          <cell r="I56">
            <v>398131</v>
          </cell>
          <cell r="J56">
            <v>406094</v>
          </cell>
          <cell r="K56">
            <v>414215</v>
          </cell>
          <cell r="L56">
            <v>422500</v>
          </cell>
          <cell r="M56">
            <v>430950</v>
          </cell>
        </row>
        <row r="57">
          <cell r="A57" t="str">
            <v xml:space="preserve">CAM Safeway                        </v>
          </cell>
          <cell r="B57">
            <v>1</v>
          </cell>
          <cell r="C57">
            <v>97464</v>
          </cell>
          <cell r="D57">
            <v>99413</v>
          </cell>
          <cell r="E57">
            <v>101402</v>
          </cell>
          <cell r="F57">
            <v>103430</v>
          </cell>
          <cell r="G57">
            <v>105498</v>
          </cell>
          <cell r="H57">
            <v>107608</v>
          </cell>
          <cell r="I57">
            <v>109760</v>
          </cell>
          <cell r="J57">
            <v>111956</v>
          </cell>
          <cell r="K57">
            <v>114195</v>
          </cell>
          <cell r="L57">
            <v>116479</v>
          </cell>
          <cell r="M57">
            <v>118808</v>
          </cell>
        </row>
        <row r="58">
          <cell r="A58" t="str">
            <v xml:space="preserve">CAM Walmart                        </v>
          </cell>
          <cell r="B58">
            <v>1</v>
          </cell>
          <cell r="C58">
            <v>35882</v>
          </cell>
          <cell r="D58">
            <v>36599</v>
          </cell>
          <cell r="E58">
            <v>37331</v>
          </cell>
          <cell r="F58">
            <v>38078</v>
          </cell>
          <cell r="G58">
            <v>38839</v>
          </cell>
          <cell r="H58">
            <v>39616</v>
          </cell>
          <cell r="I58">
            <v>40408</v>
          </cell>
          <cell r="J58">
            <v>41217</v>
          </cell>
          <cell r="K58">
            <v>42041</v>
          </cell>
          <cell r="L58">
            <v>42882</v>
          </cell>
          <cell r="M58">
            <v>43739</v>
          </cell>
        </row>
        <row r="59">
          <cell r="A59" t="str">
            <v xml:space="preserve">CAM Security                       </v>
          </cell>
          <cell r="B59">
            <v>1</v>
          </cell>
          <cell r="C59">
            <v>8486</v>
          </cell>
          <cell r="D59">
            <v>8656</v>
          </cell>
          <cell r="E59">
            <v>8829</v>
          </cell>
          <cell r="F59">
            <v>9006</v>
          </cell>
          <cell r="G59">
            <v>9186</v>
          </cell>
          <cell r="H59">
            <v>9370</v>
          </cell>
          <cell r="I59">
            <v>9557</v>
          </cell>
          <cell r="J59">
            <v>9748</v>
          </cell>
          <cell r="K59">
            <v>9943</v>
          </cell>
          <cell r="L59">
            <v>10142</v>
          </cell>
          <cell r="M59">
            <v>10345</v>
          </cell>
        </row>
        <row r="60">
          <cell r="A60" t="str">
            <v xml:space="preserve">CAM Cleaning                       </v>
          </cell>
          <cell r="B60">
            <v>1</v>
          </cell>
          <cell r="C60">
            <v>18462</v>
          </cell>
          <cell r="D60">
            <v>18831</v>
          </cell>
          <cell r="E60">
            <v>19208</v>
          </cell>
          <cell r="F60">
            <v>19592</v>
          </cell>
          <cell r="G60">
            <v>19984</v>
          </cell>
          <cell r="H60">
            <v>20384</v>
          </cell>
          <cell r="I60">
            <v>20791</v>
          </cell>
          <cell r="J60">
            <v>21207</v>
          </cell>
          <cell r="K60">
            <v>21631</v>
          </cell>
          <cell r="L60">
            <v>22064</v>
          </cell>
          <cell r="M60">
            <v>22505</v>
          </cell>
        </row>
        <row r="61">
          <cell r="A61" t="str">
            <v xml:space="preserve">CAM Insurance                      </v>
          </cell>
          <cell r="B61">
            <v>1</v>
          </cell>
          <cell r="C61">
            <v>15916</v>
          </cell>
          <cell r="D61">
            <v>16234</v>
          </cell>
          <cell r="E61">
            <v>16559</v>
          </cell>
          <cell r="F61">
            <v>16890</v>
          </cell>
          <cell r="G61">
            <v>17228</v>
          </cell>
          <cell r="H61">
            <v>17573</v>
          </cell>
          <cell r="I61">
            <v>17924</v>
          </cell>
          <cell r="J61">
            <v>18283</v>
          </cell>
          <cell r="K61">
            <v>18648</v>
          </cell>
          <cell r="L61">
            <v>19021</v>
          </cell>
          <cell r="M61">
            <v>19402</v>
          </cell>
        </row>
        <row r="62">
          <cell r="A62" t="str">
            <v xml:space="preserve">CAM Garbage                        </v>
          </cell>
          <cell r="B62">
            <v>1</v>
          </cell>
          <cell r="C62">
            <v>12240</v>
          </cell>
          <cell r="D62">
            <v>12485</v>
          </cell>
          <cell r="E62">
            <v>12734</v>
          </cell>
          <cell r="F62">
            <v>12989</v>
          </cell>
          <cell r="G62">
            <v>13249</v>
          </cell>
          <cell r="H62">
            <v>13514</v>
          </cell>
          <cell r="I62">
            <v>13784</v>
          </cell>
          <cell r="J62">
            <v>14060</v>
          </cell>
          <cell r="K62">
            <v>14341</v>
          </cell>
          <cell r="L62">
            <v>14628</v>
          </cell>
          <cell r="M62">
            <v>14920</v>
          </cell>
        </row>
        <row r="63">
          <cell r="A63" t="str">
            <v xml:space="preserve">Realty Tax                         </v>
          </cell>
          <cell r="B63">
            <v>2</v>
          </cell>
          <cell r="C63">
            <v>305174</v>
          </cell>
          <cell r="D63">
            <v>311277</v>
          </cell>
          <cell r="E63">
            <v>317503</v>
          </cell>
          <cell r="F63">
            <v>323853</v>
          </cell>
          <cell r="G63">
            <v>330330</v>
          </cell>
          <cell r="H63">
            <v>336937</v>
          </cell>
          <cell r="I63">
            <v>343675</v>
          </cell>
          <cell r="J63">
            <v>350549</v>
          </cell>
          <cell r="K63">
            <v>357560</v>
          </cell>
          <cell r="L63">
            <v>364711</v>
          </cell>
          <cell r="M63">
            <v>372005</v>
          </cell>
        </row>
        <row r="64">
          <cell r="A64" t="str">
            <v xml:space="preserve">Total Non Recov                    </v>
          </cell>
          <cell r="B64">
            <v>5</v>
          </cell>
          <cell r="C64">
            <v>12711</v>
          </cell>
          <cell r="D64">
            <v>12965</v>
          </cell>
          <cell r="E64">
            <v>13225</v>
          </cell>
          <cell r="F64">
            <v>13489</v>
          </cell>
          <cell r="G64">
            <v>13759</v>
          </cell>
          <cell r="H64">
            <v>14034</v>
          </cell>
          <cell r="I64">
            <v>14315</v>
          </cell>
          <cell r="J64">
            <v>14601</v>
          </cell>
          <cell r="K64">
            <v>14893</v>
          </cell>
          <cell r="L64">
            <v>15191</v>
          </cell>
          <cell r="M64">
            <v>15495</v>
          </cell>
        </row>
        <row r="65">
          <cell r="A65" t="str">
            <v xml:space="preserve">Management Fees                    </v>
          </cell>
          <cell r="B65">
            <v>4</v>
          </cell>
          <cell r="C65">
            <v>73452</v>
          </cell>
          <cell r="D65">
            <v>76203</v>
          </cell>
          <cell r="E65">
            <v>78533</v>
          </cell>
          <cell r="F65">
            <v>78695</v>
          </cell>
          <cell r="G65">
            <v>80459</v>
          </cell>
          <cell r="H65">
            <v>81237</v>
          </cell>
          <cell r="I65">
            <v>82698</v>
          </cell>
          <cell r="J65">
            <v>84589</v>
          </cell>
          <cell r="K65">
            <v>85714</v>
          </cell>
          <cell r="L65">
            <v>85293</v>
          </cell>
          <cell r="M65">
            <v>86696</v>
          </cell>
        </row>
        <row r="66">
          <cell r="A66"/>
          <cell r="B66"/>
          <cell r="C66" t="str">
            <v xml:space="preserve"> __________ </v>
          </cell>
          <cell r="D66" t="str">
            <v xml:space="preserve"> __________ </v>
          </cell>
          <cell r="E66" t="str">
            <v xml:space="preserve"> __________ </v>
          </cell>
          <cell r="F66" t="str">
            <v xml:space="preserve"> __________ </v>
          </cell>
          <cell r="G66" t="str">
            <v xml:space="preserve"> __________ </v>
          </cell>
          <cell r="H66" t="str">
            <v xml:space="preserve"> __________ </v>
          </cell>
          <cell r="I66" t="str">
            <v xml:space="preserve"> __________ </v>
          </cell>
          <cell r="J66" t="str">
            <v xml:space="preserve"> __________ </v>
          </cell>
          <cell r="K66" t="str">
            <v xml:space="preserve"> __________ </v>
          </cell>
          <cell r="L66" t="str">
            <v xml:space="preserve"> __________ </v>
          </cell>
          <cell r="M66" t="str">
            <v xml:space="preserve"> __________</v>
          </cell>
        </row>
        <row r="67">
          <cell r="A67" t="str">
            <v xml:space="preserve">Total Operating Expenses           </v>
          </cell>
          <cell r="B67"/>
          <cell r="C67">
            <v>933316</v>
          </cell>
          <cell r="D67">
            <v>953263</v>
          </cell>
          <cell r="E67">
            <v>973136</v>
          </cell>
          <cell r="F67">
            <v>991190</v>
          </cell>
          <cell r="G67">
            <v>1011203</v>
          </cell>
          <cell r="H67">
            <v>1030598</v>
          </cell>
          <cell r="I67">
            <v>1051043</v>
          </cell>
          <cell r="J67">
            <v>1072304</v>
          </cell>
          <cell r="K67">
            <v>1093181</v>
          </cell>
          <cell r="L67">
            <v>1112911</v>
          </cell>
          <cell r="M67">
            <v>1134865</v>
          </cell>
        </row>
        <row r="68">
          <cell r="A68"/>
          <cell r="B68"/>
          <cell r="C68" t="str">
            <v xml:space="preserve"> __________ </v>
          </cell>
          <cell r="D68" t="str">
            <v xml:space="preserve"> __________ </v>
          </cell>
          <cell r="E68" t="str">
            <v xml:space="preserve"> __________ </v>
          </cell>
          <cell r="F68" t="str">
            <v xml:space="preserve"> __________ </v>
          </cell>
          <cell r="G68" t="str">
            <v xml:space="preserve"> __________ </v>
          </cell>
          <cell r="H68" t="str">
            <v xml:space="preserve"> __________ </v>
          </cell>
          <cell r="I68" t="str">
            <v xml:space="preserve"> __________ </v>
          </cell>
          <cell r="J68" t="str">
            <v xml:space="preserve"> __________ </v>
          </cell>
          <cell r="K68" t="str">
            <v xml:space="preserve"> __________ </v>
          </cell>
          <cell r="L68" t="str">
            <v xml:space="preserve"> __________ </v>
          </cell>
          <cell r="M68" t="str">
            <v xml:space="preserve"> __________</v>
          </cell>
        </row>
        <row r="69">
          <cell r="A69" t="str">
            <v xml:space="preserve">Net Operating Income               </v>
          </cell>
          <cell r="B69"/>
          <cell r="C69">
            <v>1362072</v>
          </cell>
          <cell r="D69">
            <v>1428083</v>
          </cell>
          <cell r="E69">
            <v>1481035</v>
          </cell>
          <cell r="F69">
            <v>1468017</v>
          </cell>
          <cell r="G69">
            <v>1503150</v>
          </cell>
          <cell r="H69">
            <v>1508059</v>
          </cell>
          <cell r="I69">
            <v>1533281</v>
          </cell>
          <cell r="J69">
            <v>1571096</v>
          </cell>
          <cell r="K69">
            <v>1585381</v>
          </cell>
          <cell r="L69">
            <v>1552486</v>
          </cell>
          <cell r="M69">
            <v>1574377</v>
          </cell>
        </row>
        <row r="70">
          <cell r="A70"/>
          <cell r="B70"/>
          <cell r="C70" t="str">
            <v xml:space="preserve"> __________ </v>
          </cell>
          <cell r="D70" t="str">
            <v xml:space="preserve"> __________ </v>
          </cell>
          <cell r="E70" t="str">
            <v xml:space="preserve"> __________ </v>
          </cell>
          <cell r="F70" t="str">
            <v xml:space="preserve"> __________ </v>
          </cell>
          <cell r="G70" t="str">
            <v xml:space="preserve"> __________ </v>
          </cell>
          <cell r="H70" t="str">
            <v xml:space="preserve"> __________ </v>
          </cell>
          <cell r="I70" t="str">
            <v xml:space="preserve"> __________ </v>
          </cell>
          <cell r="J70" t="str">
            <v xml:space="preserve"> __________ </v>
          </cell>
          <cell r="K70" t="str">
            <v xml:space="preserve"> __________ </v>
          </cell>
          <cell r="L70" t="str">
            <v xml:space="preserve"> __________ </v>
          </cell>
          <cell r="M70" t="str">
            <v xml:space="preserve"> __________</v>
          </cell>
        </row>
        <row r="71">
          <cell r="A71" t="str">
            <v xml:space="preserve">Leasing &amp; Capital Costs              </v>
          </cell>
        </row>
        <row r="72">
          <cell r="A72" t="str">
            <v xml:space="preserve">Tenant Improvements                </v>
          </cell>
          <cell r="B72"/>
          <cell r="C72">
            <v>36986</v>
          </cell>
          <cell r="D72">
            <v>39370</v>
          </cell>
          <cell r="E72">
            <v>24923</v>
          </cell>
          <cell r="F72">
            <v>7188</v>
          </cell>
          <cell r="G72">
            <v>19063</v>
          </cell>
          <cell r="H72">
            <v>41941</v>
          </cell>
          <cell r="I72">
            <v>16659</v>
          </cell>
          <cell r="J72">
            <v>26448</v>
          </cell>
          <cell r="K72">
            <v>7780</v>
          </cell>
          <cell r="L72">
            <v>37688</v>
          </cell>
          <cell r="M72">
            <v>44324</v>
          </cell>
        </row>
        <row r="73">
          <cell r="A73" t="str">
            <v xml:space="preserve">Leasing Commissions                </v>
          </cell>
          <cell r="B73"/>
          <cell r="C73">
            <v>107720</v>
          </cell>
          <cell r="D73">
            <v>24335</v>
          </cell>
          <cell r="E73">
            <v>31153</v>
          </cell>
          <cell r="F73">
            <v>8985</v>
          </cell>
          <cell r="G73">
            <v>22674</v>
          </cell>
          <cell r="H73">
            <v>82250</v>
          </cell>
          <cell r="I73">
            <v>20824</v>
          </cell>
          <cell r="J73">
            <v>33060</v>
          </cell>
          <cell r="K73">
            <v>9725</v>
          </cell>
          <cell r="L73">
            <v>45812</v>
          </cell>
          <cell r="M73">
            <v>88331</v>
          </cell>
        </row>
        <row r="74">
          <cell r="A74" t="str">
            <v xml:space="preserve">Structural Reserve                 </v>
          </cell>
          <cell r="B74"/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26786</v>
          </cell>
          <cell r="L74">
            <v>26654</v>
          </cell>
          <cell r="M74">
            <v>27092</v>
          </cell>
        </row>
        <row r="75">
          <cell r="A75" t="str">
            <v xml:space="preserve">2006 Cap-X                         </v>
          </cell>
          <cell r="B75"/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6">
          <cell r="A76" t="str">
            <v xml:space="preserve">2007+ Cap-X                        </v>
          </cell>
          <cell r="B76"/>
          <cell r="C76">
            <v>375000</v>
          </cell>
          <cell r="D76">
            <v>370000</v>
          </cell>
          <cell r="E76">
            <v>90000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A77" t="str">
            <v xml:space="preserve">LL Work                            </v>
          </cell>
          <cell r="B77"/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A78"/>
          <cell r="B78"/>
          <cell r="C78" t="str">
            <v xml:space="preserve"> __________ </v>
          </cell>
          <cell r="D78" t="str">
            <v xml:space="preserve"> __________ </v>
          </cell>
          <cell r="E78" t="str">
            <v xml:space="preserve"> __________ </v>
          </cell>
          <cell r="F78" t="str">
            <v xml:space="preserve"> __________ </v>
          </cell>
          <cell r="G78" t="str">
            <v xml:space="preserve"> __________ </v>
          </cell>
          <cell r="H78" t="str">
            <v xml:space="preserve"> __________ </v>
          </cell>
          <cell r="I78" t="str">
            <v xml:space="preserve"> __________ </v>
          </cell>
          <cell r="J78" t="str">
            <v xml:space="preserve"> __________ </v>
          </cell>
          <cell r="K78" t="str">
            <v xml:space="preserve"> __________ </v>
          </cell>
          <cell r="L78" t="str">
            <v xml:space="preserve"> __________ </v>
          </cell>
          <cell r="M78" t="str">
            <v xml:space="preserve"> __________</v>
          </cell>
        </row>
        <row r="79">
          <cell r="A79" t="str">
            <v xml:space="preserve">Total Leasing &amp; Capital Costs      </v>
          </cell>
          <cell r="B79"/>
          <cell r="C79">
            <v>519706</v>
          </cell>
          <cell r="D79">
            <v>433705</v>
          </cell>
          <cell r="E79">
            <v>146076</v>
          </cell>
          <cell r="F79">
            <v>16173</v>
          </cell>
          <cell r="G79">
            <v>41737</v>
          </cell>
          <cell r="H79">
            <v>124191</v>
          </cell>
          <cell r="I79">
            <v>37483</v>
          </cell>
          <cell r="J79">
            <v>59508</v>
          </cell>
          <cell r="K79">
            <v>44291</v>
          </cell>
          <cell r="L79">
            <v>110154</v>
          </cell>
          <cell r="M79">
            <v>159747</v>
          </cell>
        </row>
        <row r="80">
          <cell r="A80"/>
          <cell r="B80"/>
          <cell r="C80" t="str">
            <v xml:space="preserve"> __________ </v>
          </cell>
          <cell r="D80" t="str">
            <v xml:space="preserve"> __________ </v>
          </cell>
          <cell r="E80" t="str">
            <v xml:space="preserve"> __________ </v>
          </cell>
          <cell r="F80" t="str">
            <v xml:space="preserve"> __________ </v>
          </cell>
          <cell r="G80" t="str">
            <v xml:space="preserve"> __________ </v>
          </cell>
          <cell r="H80" t="str">
            <v xml:space="preserve"> __________ </v>
          </cell>
          <cell r="I80" t="str">
            <v xml:space="preserve"> __________ </v>
          </cell>
          <cell r="J80" t="str">
            <v xml:space="preserve"> __________ </v>
          </cell>
          <cell r="K80" t="str">
            <v xml:space="preserve"> __________ </v>
          </cell>
          <cell r="L80" t="str">
            <v xml:space="preserve"> __________ </v>
          </cell>
          <cell r="M80" t="str">
            <v xml:space="preserve"> __________</v>
          </cell>
        </row>
        <row r="81">
          <cell r="A81" t="str">
            <v xml:space="preserve">Cash Flow Before Debt Service      </v>
          </cell>
          <cell r="B81"/>
          <cell r="C81">
            <v>842366</v>
          </cell>
          <cell r="D81">
            <v>994378</v>
          </cell>
          <cell r="E81">
            <v>1334959</v>
          </cell>
          <cell r="F81">
            <v>1451844</v>
          </cell>
          <cell r="G81">
            <v>1461413</v>
          </cell>
          <cell r="H81">
            <v>1383868</v>
          </cell>
          <cell r="I81">
            <v>1495798</v>
          </cell>
          <cell r="J81">
            <v>1511588</v>
          </cell>
          <cell r="K81">
            <v>1541090</v>
          </cell>
          <cell r="L81">
            <v>1442332</v>
          </cell>
          <cell r="M81">
            <v>1414630</v>
          </cell>
        </row>
        <row r="82">
          <cell r="A82" t="str">
            <v xml:space="preserve">&amp; Taxes                          </v>
          </cell>
          <cell r="B82"/>
          <cell r="C82" t="str">
            <v xml:space="preserve"> ========== </v>
          </cell>
          <cell r="D82" t="str">
            <v xml:space="preserve"> ========== </v>
          </cell>
          <cell r="E82" t="str">
            <v xml:space="preserve"> ========== </v>
          </cell>
          <cell r="F82" t="str">
            <v xml:space="preserve"> ========== </v>
          </cell>
          <cell r="G82" t="str">
            <v xml:space="preserve"> ========== </v>
          </cell>
          <cell r="H82" t="str">
            <v xml:space="preserve"> ========== </v>
          </cell>
          <cell r="I82" t="str">
            <v xml:space="preserve"> ========== </v>
          </cell>
          <cell r="J82" t="str">
            <v xml:space="preserve"> ========== </v>
          </cell>
          <cell r="K82" t="str">
            <v xml:space="preserve"> ========== </v>
          </cell>
          <cell r="L82" t="str">
            <v xml:space="preserve"> ========== </v>
          </cell>
          <cell r="M82" t="str">
            <v xml:space="preserve"> ==========</v>
          </cell>
        </row>
        <row r="83">
          <cell r="A83" t="str">
            <v>_x001A_</v>
          </cell>
        </row>
      </sheetData>
      <sheetData sheetId="6"/>
      <sheetData sheetId="7"/>
      <sheetData sheetId="8">
        <row r="7">
          <cell r="F7"/>
          <cell r="G7">
            <v>1</v>
          </cell>
          <cell r="H7">
            <v>2</v>
          </cell>
          <cell r="I7">
            <v>3</v>
          </cell>
          <cell r="J7">
            <v>4</v>
          </cell>
          <cell r="K7">
            <v>5</v>
          </cell>
          <cell r="L7">
            <v>6</v>
          </cell>
          <cell r="M7">
            <v>7</v>
          </cell>
          <cell r="N7">
            <v>8</v>
          </cell>
          <cell r="O7">
            <v>9</v>
          </cell>
          <cell r="P7">
            <v>10</v>
          </cell>
          <cell r="Q7">
            <v>11</v>
          </cell>
          <cell r="R7">
            <v>12</v>
          </cell>
          <cell r="S7">
            <v>13</v>
          </cell>
          <cell r="T7">
            <v>14</v>
          </cell>
          <cell r="U7">
            <v>15</v>
          </cell>
          <cell r="V7">
            <v>16</v>
          </cell>
          <cell r="W7">
            <v>17</v>
          </cell>
          <cell r="X7">
            <v>18</v>
          </cell>
          <cell r="Y7">
            <v>19</v>
          </cell>
          <cell r="Z7">
            <v>20</v>
          </cell>
          <cell r="AA7">
            <v>21</v>
          </cell>
        </row>
        <row r="8">
          <cell r="F8" t="str">
            <v>Year Ending</v>
          </cell>
          <cell r="G8">
            <v>39417</v>
          </cell>
          <cell r="H8">
            <v>39783</v>
          </cell>
          <cell r="I8">
            <v>40148</v>
          </cell>
          <cell r="J8">
            <v>40513</v>
          </cell>
          <cell r="K8">
            <v>40878</v>
          </cell>
          <cell r="L8">
            <v>41244</v>
          </cell>
          <cell r="M8">
            <v>41609</v>
          </cell>
          <cell r="N8">
            <v>41974</v>
          </cell>
          <cell r="O8">
            <v>42339</v>
          </cell>
          <cell r="P8">
            <v>42705</v>
          </cell>
          <cell r="Q8">
            <v>43070</v>
          </cell>
          <cell r="R8">
            <v>43435</v>
          </cell>
          <cell r="S8">
            <v>43800</v>
          </cell>
          <cell r="T8">
            <v>44166</v>
          </cell>
          <cell r="U8">
            <v>44531</v>
          </cell>
          <cell r="V8">
            <v>44896</v>
          </cell>
          <cell r="W8">
            <v>45261</v>
          </cell>
          <cell r="X8">
            <v>45627</v>
          </cell>
          <cell r="Y8">
            <v>45992</v>
          </cell>
          <cell r="Z8">
            <v>46357</v>
          </cell>
          <cell r="AA8">
            <v>46722</v>
          </cell>
          <cell r="AB8" t="str">
            <v>Hide Column</v>
          </cell>
        </row>
        <row r="9">
          <cell r="F9" t="str">
            <v>INCOME</v>
          </cell>
        </row>
        <row r="10">
          <cell r="F10" t="str">
            <v>Minimum Rent</v>
          </cell>
          <cell r="G10">
            <v>1526635</v>
          </cell>
          <cell r="H10">
            <v>1535894</v>
          </cell>
          <cell r="I10">
            <v>1571947</v>
          </cell>
          <cell r="J10">
            <v>1551010</v>
          </cell>
          <cell r="K10">
            <v>1572187</v>
          </cell>
          <cell r="L10">
            <v>1587853</v>
          </cell>
          <cell r="M10">
            <v>1600541</v>
          </cell>
          <cell r="N10">
            <v>1652941</v>
          </cell>
          <cell r="O10">
            <v>1663228</v>
          </cell>
          <cell r="P10">
            <v>1684726</v>
          </cell>
          <cell r="Q10">
            <v>1714596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17661558</v>
          </cell>
        </row>
        <row r="11">
          <cell r="F11" t="str">
            <v>Absorption/Turnover Vacancy</v>
          </cell>
          <cell r="G11">
            <v>-73139</v>
          </cell>
          <cell r="H11">
            <v>-24696</v>
          </cell>
          <cell r="I11">
            <v>-12268</v>
          </cell>
          <cell r="J11">
            <v>-3808</v>
          </cell>
          <cell r="K11">
            <v>-8934</v>
          </cell>
          <cell r="L11">
            <v>-22632</v>
          </cell>
          <cell r="M11">
            <v>-7185</v>
          </cell>
          <cell r="N11">
            <v>-13544</v>
          </cell>
          <cell r="O11">
            <v>-4205</v>
          </cell>
          <cell r="P11">
            <v>-18889</v>
          </cell>
          <cell r="Q11">
            <v>-23562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-212862</v>
          </cell>
        </row>
        <row r="12">
          <cell r="F12" t="str">
            <v>Base Rent Abatements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 t="str">
            <v>Base Rental Revenue</v>
          </cell>
          <cell r="G13">
            <v>1445224</v>
          </cell>
          <cell r="H13">
            <v>1511198</v>
          </cell>
          <cell r="I13">
            <v>1559679</v>
          </cell>
          <cell r="J13">
            <v>1547202</v>
          </cell>
          <cell r="K13">
            <v>1563253</v>
          </cell>
          <cell r="L13">
            <v>1565221</v>
          </cell>
          <cell r="M13">
            <v>1593356</v>
          </cell>
          <cell r="N13">
            <v>1639397</v>
          </cell>
          <cell r="O13">
            <v>1659023</v>
          </cell>
          <cell r="P13">
            <v>1665837</v>
          </cell>
          <cell r="Q13">
            <v>1691034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1</v>
          </cell>
        </row>
        <row r="14">
          <cell r="AB14">
            <v>1</v>
          </cell>
        </row>
        <row r="15">
          <cell r="F15" t="str">
            <v>CAM Recovery</v>
          </cell>
          <cell r="G15">
            <v>549605</v>
          </cell>
          <cell r="H15">
            <v>608793</v>
          </cell>
          <cell r="I15">
            <v>640687</v>
          </cell>
          <cell r="J15">
            <v>658149</v>
          </cell>
          <cell r="K15">
            <v>674704</v>
          </cell>
          <cell r="L15">
            <v>677249</v>
          </cell>
          <cell r="M15">
            <v>701731</v>
          </cell>
          <cell r="N15">
            <v>704379</v>
          </cell>
          <cell r="O15">
            <v>721099</v>
          </cell>
          <cell r="P15">
            <v>679577</v>
          </cell>
          <cell r="Q15">
            <v>687388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7303361</v>
          </cell>
        </row>
        <row r="16">
          <cell r="F16" t="str">
            <v>Realty Tax Recovery</v>
          </cell>
          <cell r="G16">
            <v>273262</v>
          </cell>
          <cell r="H16">
            <v>287942</v>
          </cell>
          <cell r="I16">
            <v>296994</v>
          </cell>
          <cell r="J16">
            <v>304754</v>
          </cell>
          <cell r="K16">
            <v>323310</v>
          </cell>
          <cell r="L16">
            <v>328441</v>
          </cell>
          <cell r="M16">
            <v>338603</v>
          </cell>
          <cell r="N16">
            <v>343825</v>
          </cell>
          <cell r="O16">
            <v>352708</v>
          </cell>
          <cell r="P16">
            <v>356456</v>
          </cell>
          <cell r="Q16">
            <v>362809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3569104</v>
          </cell>
        </row>
        <row r="17">
          <cell r="F17" t="str">
            <v>Percentage Rent</v>
          </cell>
          <cell r="G17">
            <v>891</v>
          </cell>
          <cell r="H17">
            <v>1120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194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2205</v>
          </cell>
        </row>
        <row r="18">
          <cell r="F18" t="str">
            <v xml:space="preserve">Parking Revenue 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F19" t="str">
            <v>Other Income</v>
          </cell>
          <cell r="G19">
            <v>70227</v>
          </cell>
          <cell r="H19">
            <v>71631</v>
          </cell>
          <cell r="I19">
            <v>73064</v>
          </cell>
          <cell r="J19">
            <v>74526</v>
          </cell>
          <cell r="K19">
            <v>76016</v>
          </cell>
          <cell r="L19">
            <v>77536</v>
          </cell>
          <cell r="M19">
            <v>79088</v>
          </cell>
          <cell r="N19">
            <v>80669</v>
          </cell>
          <cell r="O19">
            <v>82283</v>
          </cell>
          <cell r="P19">
            <v>83928</v>
          </cell>
          <cell r="Q19">
            <v>85607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854575</v>
          </cell>
        </row>
        <row r="20">
          <cell r="F20" t="str">
            <v>Total Potential Gross Revenue</v>
          </cell>
          <cell r="G20">
            <v>2339209</v>
          </cell>
          <cell r="H20">
            <v>2480684</v>
          </cell>
          <cell r="I20">
            <v>2570424</v>
          </cell>
          <cell r="J20">
            <v>2584631</v>
          </cell>
          <cell r="K20">
            <v>2637283</v>
          </cell>
          <cell r="L20">
            <v>2648447</v>
          </cell>
          <cell r="M20">
            <v>2712778</v>
          </cell>
          <cell r="N20">
            <v>2768270</v>
          </cell>
          <cell r="O20">
            <v>2815113</v>
          </cell>
          <cell r="P20">
            <v>2785798</v>
          </cell>
          <cell r="Q20">
            <v>2827032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1</v>
          </cell>
        </row>
        <row r="21">
          <cell r="AB21">
            <v>1</v>
          </cell>
        </row>
        <row r="22">
          <cell r="F22" t="str">
            <v>Vacancy Allowance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F23" t="str">
            <v>Effective Gross Revenue</v>
          </cell>
          <cell r="G23">
            <v>2295388</v>
          </cell>
          <cell r="H23">
            <v>2381346</v>
          </cell>
          <cell r="I23">
            <v>2454171</v>
          </cell>
          <cell r="J23">
            <v>2459207</v>
          </cell>
          <cell r="K23">
            <v>2514353</v>
          </cell>
          <cell r="L23">
            <v>2538657</v>
          </cell>
          <cell r="M23">
            <v>2584324</v>
          </cell>
          <cell r="N23">
            <v>2643400</v>
          </cell>
          <cell r="O23">
            <v>2678562</v>
          </cell>
          <cell r="P23">
            <v>2665397</v>
          </cell>
          <cell r="Q23">
            <v>2709242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</v>
          </cell>
        </row>
        <row r="24">
          <cell r="AB24">
            <v>1</v>
          </cell>
        </row>
        <row r="25">
          <cell r="F25" t="str">
            <v>OPERATING EXPENSES</v>
          </cell>
          <cell r="AB25">
            <v>1</v>
          </cell>
        </row>
        <row r="26">
          <cell r="F26" t="str">
            <v>CAM</v>
          </cell>
          <cell r="G26">
            <v>541979</v>
          </cell>
          <cell r="H26">
            <v>552818</v>
          </cell>
          <cell r="I26">
            <v>563875</v>
          </cell>
          <cell r="J26">
            <v>575153</v>
          </cell>
          <cell r="K26">
            <v>586655</v>
          </cell>
          <cell r="L26">
            <v>598390</v>
          </cell>
          <cell r="M26">
            <v>610355</v>
          </cell>
          <cell r="N26">
            <v>622565</v>
          </cell>
          <cell r="O26">
            <v>635014</v>
          </cell>
          <cell r="P26">
            <v>647716</v>
          </cell>
          <cell r="Q26">
            <v>660669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6595189</v>
          </cell>
        </row>
        <row r="27">
          <cell r="F27" t="str">
            <v>Realty Taxes</v>
          </cell>
          <cell r="G27">
            <v>305174</v>
          </cell>
          <cell r="H27">
            <v>311277</v>
          </cell>
          <cell r="I27">
            <v>317503</v>
          </cell>
          <cell r="J27">
            <v>323853</v>
          </cell>
          <cell r="K27">
            <v>330330</v>
          </cell>
          <cell r="L27">
            <v>336937</v>
          </cell>
          <cell r="M27">
            <v>343675</v>
          </cell>
          <cell r="N27">
            <v>350549</v>
          </cell>
          <cell r="O27">
            <v>357560</v>
          </cell>
          <cell r="P27">
            <v>364711</v>
          </cell>
          <cell r="Q27">
            <v>372005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3713574</v>
          </cell>
        </row>
        <row r="28">
          <cell r="F28" t="str">
            <v>Management Fee</v>
          </cell>
          <cell r="G28">
            <v>73452</v>
          </cell>
          <cell r="H28">
            <v>76203</v>
          </cell>
          <cell r="I28">
            <v>78533</v>
          </cell>
          <cell r="J28">
            <v>78695</v>
          </cell>
          <cell r="K28">
            <v>80459</v>
          </cell>
          <cell r="L28">
            <v>81237</v>
          </cell>
          <cell r="M28">
            <v>82698</v>
          </cell>
          <cell r="N28">
            <v>84589</v>
          </cell>
          <cell r="O28">
            <v>85714</v>
          </cell>
          <cell r="P28">
            <v>85293</v>
          </cell>
          <cell r="Q28">
            <v>86696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893569</v>
          </cell>
        </row>
        <row r="29">
          <cell r="F29" t="str">
            <v xml:space="preserve">Non-Recoverable </v>
          </cell>
          <cell r="G29">
            <v>12711</v>
          </cell>
          <cell r="H29">
            <v>12965</v>
          </cell>
          <cell r="I29">
            <v>13225</v>
          </cell>
          <cell r="J29">
            <v>13489</v>
          </cell>
          <cell r="K29">
            <v>13759</v>
          </cell>
          <cell r="L29">
            <v>14034</v>
          </cell>
          <cell r="M29">
            <v>14315</v>
          </cell>
          <cell r="N29">
            <v>14601</v>
          </cell>
          <cell r="O29">
            <v>14893</v>
          </cell>
          <cell r="P29">
            <v>15191</v>
          </cell>
          <cell r="Q29">
            <v>15495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5</v>
          </cell>
        </row>
        <row r="30">
          <cell r="F30" t="str">
            <v>Structural Reserve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F31" t="str">
            <v>Total Operating Expenses</v>
          </cell>
          <cell r="G31">
            <v>933316</v>
          </cell>
          <cell r="H31">
            <v>953263</v>
          </cell>
          <cell r="I31">
            <v>973136</v>
          </cell>
          <cell r="J31">
            <v>991190</v>
          </cell>
          <cell r="K31">
            <v>1011203</v>
          </cell>
          <cell r="L31">
            <v>1030598</v>
          </cell>
          <cell r="M31">
            <v>1051043</v>
          </cell>
          <cell r="N31">
            <v>1072304</v>
          </cell>
          <cell r="O31">
            <v>1093181</v>
          </cell>
          <cell r="P31">
            <v>1112911</v>
          </cell>
          <cell r="Q31">
            <v>1134865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1</v>
          </cell>
        </row>
        <row r="32">
          <cell r="AB32">
            <v>1</v>
          </cell>
        </row>
        <row r="33">
          <cell r="F33" t="str">
            <v>NET OPERATING INCOME</v>
          </cell>
          <cell r="G33">
            <v>1362072</v>
          </cell>
          <cell r="H33">
            <v>1428083</v>
          </cell>
          <cell r="I33">
            <v>1481035</v>
          </cell>
          <cell r="J33">
            <v>1468017</v>
          </cell>
          <cell r="K33">
            <v>1503150</v>
          </cell>
          <cell r="L33">
            <v>1508059</v>
          </cell>
          <cell r="M33">
            <v>1533281</v>
          </cell>
          <cell r="N33">
            <v>1571096</v>
          </cell>
          <cell r="O33">
            <v>1585381</v>
          </cell>
          <cell r="P33">
            <v>1552486</v>
          </cell>
          <cell r="Q33">
            <v>1574377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1</v>
          </cell>
        </row>
        <row r="34">
          <cell r="AB34">
            <v>1</v>
          </cell>
        </row>
        <row r="35">
          <cell r="F35" t="str">
            <v>CAPITAL EXPENDITURES</v>
          </cell>
          <cell r="AB35">
            <v>1</v>
          </cell>
        </row>
        <row r="36">
          <cell r="F36" t="str">
            <v>Leasing Commissions</v>
          </cell>
          <cell r="G36">
            <v>107720</v>
          </cell>
          <cell r="H36">
            <v>24335</v>
          </cell>
          <cell r="I36">
            <v>31153</v>
          </cell>
          <cell r="J36">
            <v>8985</v>
          </cell>
          <cell r="K36">
            <v>22674</v>
          </cell>
          <cell r="L36">
            <v>82250</v>
          </cell>
          <cell r="M36">
            <v>20824</v>
          </cell>
          <cell r="N36">
            <v>33060</v>
          </cell>
          <cell r="O36">
            <v>9725</v>
          </cell>
          <cell r="P36">
            <v>45812</v>
          </cell>
          <cell r="Q36">
            <v>88331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474869</v>
          </cell>
        </row>
        <row r="37">
          <cell r="F37" t="str">
            <v>Tenant Inducements</v>
          </cell>
          <cell r="G37">
            <v>36986</v>
          </cell>
          <cell r="H37">
            <v>39370</v>
          </cell>
          <cell r="I37">
            <v>24923</v>
          </cell>
          <cell r="J37">
            <v>7188</v>
          </cell>
          <cell r="K37">
            <v>19063</v>
          </cell>
          <cell r="L37">
            <v>41941</v>
          </cell>
          <cell r="M37">
            <v>16659</v>
          </cell>
          <cell r="N37">
            <v>26448</v>
          </cell>
          <cell r="O37">
            <v>7780</v>
          </cell>
          <cell r="P37">
            <v>37688</v>
          </cell>
          <cell r="Q37">
            <v>44324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302370</v>
          </cell>
        </row>
        <row r="38">
          <cell r="F38" t="str">
            <v>Capital Expenditures</v>
          </cell>
          <cell r="G38">
            <v>375000</v>
          </cell>
          <cell r="H38">
            <v>370000</v>
          </cell>
          <cell r="I38">
            <v>90000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26786</v>
          </cell>
          <cell r="P38">
            <v>26654</v>
          </cell>
          <cell r="Q38">
            <v>27092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915532</v>
          </cell>
        </row>
        <row r="39">
          <cell r="F39" t="str">
            <v>Total Capital Expenditures</v>
          </cell>
          <cell r="G39">
            <v>519706</v>
          </cell>
          <cell r="H39">
            <v>433705</v>
          </cell>
          <cell r="I39">
            <v>146076</v>
          </cell>
          <cell r="J39">
            <v>16173</v>
          </cell>
          <cell r="K39">
            <v>41737</v>
          </cell>
          <cell r="L39">
            <v>124191</v>
          </cell>
          <cell r="M39">
            <v>37483</v>
          </cell>
          <cell r="N39">
            <v>59508</v>
          </cell>
          <cell r="O39">
            <v>44291</v>
          </cell>
          <cell r="P39">
            <v>110154</v>
          </cell>
          <cell r="Q39">
            <v>159747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1">
          <cell r="F41" t="str">
            <v>CASH FLOW</v>
          </cell>
          <cell r="G41">
            <v>842366</v>
          </cell>
          <cell r="H41">
            <v>994378</v>
          </cell>
          <cell r="I41">
            <v>1334959</v>
          </cell>
          <cell r="J41">
            <v>1451844</v>
          </cell>
          <cell r="K41">
            <v>1461413</v>
          </cell>
          <cell r="L41">
            <v>1383868</v>
          </cell>
          <cell r="M41">
            <v>1495798</v>
          </cell>
          <cell r="N41">
            <v>1511588</v>
          </cell>
          <cell r="O41">
            <v>1541090</v>
          </cell>
          <cell r="P41">
            <v>1442332</v>
          </cell>
          <cell r="Q41">
            <v>1414630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3">
          <cell r="F43" t="str">
            <v xml:space="preserve">DEBT SERVICE                                </v>
          </cell>
        </row>
        <row r="44">
          <cell r="F44" t="str">
            <v xml:space="preserve">Interest Payments               </v>
          </cell>
          <cell r="G44">
            <v>300597.13187686895</v>
          </cell>
          <cell r="H44">
            <v>291714.39103095059</v>
          </cell>
          <cell r="I44">
            <v>282336.38186574198</v>
          </cell>
          <cell r="J44">
            <v>272435.49007701571</v>
          </cell>
          <cell r="K44">
            <v>261982.5616904943</v>
          </cell>
          <cell r="L44">
            <v>213149.04365231702</v>
          </cell>
          <cell r="M44">
            <v>215132.9840837502</v>
          </cell>
          <cell r="N44">
            <v>195772.90713462673</v>
          </cell>
          <cell r="O44">
            <v>175083.97265378752</v>
          </cell>
          <cell r="P44">
            <v>152974.96910605961</v>
          </cell>
        </row>
        <row r="45">
          <cell r="F45" t="str">
            <v xml:space="preserve">Principal Payments              </v>
          </cell>
          <cell r="G45">
            <v>159313.81407318808</v>
          </cell>
          <cell r="H45">
            <v>168196.55491910639</v>
          </cell>
          <cell r="I45">
            <v>177574.564084315</v>
          </cell>
          <cell r="J45">
            <v>187475.4558730413</v>
          </cell>
          <cell r="K45">
            <v>197928.38425956268</v>
          </cell>
          <cell r="L45">
            <v>242607.75929067974</v>
          </cell>
          <cell r="M45">
            <v>282056.25549042801</v>
          </cell>
          <cell r="N45">
            <v>301416.33243955148</v>
          </cell>
          <cell r="O45">
            <v>322105.26692039071</v>
          </cell>
          <cell r="P45">
            <v>344214.27046811854</v>
          </cell>
        </row>
        <row r="46">
          <cell r="F46" t="str">
            <v>Total Debt Service</v>
          </cell>
          <cell r="G46">
            <v>459910.94595005701</v>
          </cell>
          <cell r="H46">
            <v>459910.94595005701</v>
          </cell>
          <cell r="I46">
            <v>459910.94595005701</v>
          </cell>
          <cell r="J46">
            <v>459910.94595005701</v>
          </cell>
          <cell r="K46">
            <v>459910.94595005701</v>
          </cell>
          <cell r="L46">
            <v>455756.80294299673</v>
          </cell>
          <cell r="M46">
            <v>497189.23957417824</v>
          </cell>
          <cell r="N46">
            <v>497189.23957417824</v>
          </cell>
          <cell r="O46">
            <v>497189.23957417824</v>
          </cell>
          <cell r="P46">
            <v>497189.23957417812</v>
          </cell>
        </row>
        <row r="48">
          <cell r="F48" t="str">
            <v xml:space="preserve">CASH FLOW AFTER DEBT SERVICE </v>
          </cell>
          <cell r="G48">
            <v>382455.05404994299</v>
          </cell>
          <cell r="H48">
            <v>534467.05404994299</v>
          </cell>
          <cell r="I48">
            <v>875048.05404994299</v>
          </cell>
          <cell r="J48">
            <v>991933.05404994299</v>
          </cell>
          <cell r="K48">
            <v>1001502.054049943</v>
          </cell>
          <cell r="L48">
            <v>928111.19705700327</v>
          </cell>
          <cell r="M48">
            <v>998608.76042582176</v>
          </cell>
          <cell r="N48">
            <v>1014398.7604258218</v>
          </cell>
          <cell r="O48">
            <v>1043900.7604258218</v>
          </cell>
          <cell r="P48">
            <v>945142.76042582188</v>
          </cell>
        </row>
      </sheetData>
      <sheetData sheetId="9"/>
      <sheetData sheetId="10"/>
      <sheetData sheetId="11"/>
      <sheetData sheetId="12">
        <row r="25">
          <cell r="J25" t="str">
            <v>Alpine Dental Centre</v>
          </cell>
        </row>
      </sheetData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DRONA"/>
    </sheetNames>
    <sheetDataSet>
      <sheetData sheetId="0">
        <row r="4">
          <cell r="M4">
            <v>4.5999999999999999E-2</v>
          </cell>
        </row>
        <row r="24">
          <cell r="F24" t="str">
            <v>PERIOD</v>
          </cell>
          <cell r="G24" t="str">
            <v>1</v>
          </cell>
          <cell r="H24" t="str">
            <v>2</v>
          </cell>
          <cell r="I24" t="str">
            <v>3</v>
          </cell>
          <cell r="J24" t="str">
            <v>4</v>
          </cell>
          <cell r="K24" t="str">
            <v>5</v>
          </cell>
          <cell r="L24" t="str">
            <v>6</v>
          </cell>
          <cell r="M24" t="str">
            <v>7</v>
          </cell>
          <cell r="N24" t="str">
            <v>8</v>
          </cell>
          <cell r="O24" t="str">
            <v>9</v>
          </cell>
          <cell r="P24" t="str">
            <v>10</v>
          </cell>
          <cell r="Q24" t="str">
            <v>11</v>
          </cell>
        </row>
        <row r="25">
          <cell r="C25">
            <v>35399</v>
          </cell>
          <cell r="D25">
            <v>35124</v>
          </cell>
          <cell r="E25">
            <v>35216</v>
          </cell>
          <cell r="G25">
            <v>35489</v>
          </cell>
          <cell r="H25">
            <v>35519</v>
          </cell>
          <cell r="I25">
            <v>35549</v>
          </cell>
          <cell r="J25">
            <v>35579</v>
          </cell>
          <cell r="K25">
            <v>35609</v>
          </cell>
          <cell r="L25">
            <v>35639</v>
          </cell>
          <cell r="M25">
            <v>35669</v>
          </cell>
          <cell r="N25">
            <v>35699</v>
          </cell>
          <cell r="O25">
            <v>35729</v>
          </cell>
          <cell r="P25">
            <v>35759</v>
          </cell>
          <cell r="Q25">
            <v>35789</v>
          </cell>
        </row>
        <row r="26">
          <cell r="A26" t="str">
            <v>CASH IN</v>
          </cell>
        </row>
        <row r="27">
          <cell r="A27" t="str">
            <v>Units</v>
          </cell>
        </row>
        <row r="28">
          <cell r="A28" t="str">
            <v>Sales</v>
          </cell>
        </row>
        <row r="29">
          <cell r="A29" t="str">
            <v>Less holdback</v>
          </cell>
        </row>
        <row r="30">
          <cell r="A30" t="str">
            <v>Add holdback prior period</v>
          </cell>
        </row>
        <row r="31">
          <cell r="A31" t="str">
            <v>Monthly draws</v>
          </cell>
          <cell r="C31">
            <v>1350000</v>
          </cell>
          <cell r="G31">
            <v>1350000</v>
          </cell>
          <cell r="J31">
            <v>684000</v>
          </cell>
          <cell r="K31">
            <v>670000</v>
          </cell>
          <cell r="L31">
            <v>609872.91666666663</v>
          </cell>
          <cell r="M31">
            <v>714319.90668402775</v>
          </cell>
          <cell r="N31">
            <v>719528.48933693219</v>
          </cell>
          <cell r="O31">
            <v>724775.05123834731</v>
          </cell>
          <cell r="P31">
            <v>880059.86932029354</v>
          </cell>
          <cell r="Q31">
            <v>695476.97253408737</v>
          </cell>
        </row>
        <row r="32">
          <cell r="A32" t="str">
            <v>Other</v>
          </cell>
        </row>
        <row r="33">
          <cell r="C33" t="str">
            <v>----------</v>
          </cell>
          <cell r="G33" t="str">
            <v>----------</v>
          </cell>
          <cell r="H33" t="str">
            <v>----------</v>
          </cell>
          <cell r="I33" t="str">
            <v>----------</v>
          </cell>
          <cell r="J33" t="str">
            <v>----------</v>
          </cell>
          <cell r="K33" t="str">
            <v>----------</v>
          </cell>
          <cell r="L33" t="str">
            <v>----------</v>
          </cell>
          <cell r="M33" t="str">
            <v>----------</v>
          </cell>
          <cell r="N33" t="str">
            <v>----------</v>
          </cell>
          <cell r="O33" t="str">
            <v>----------</v>
          </cell>
          <cell r="P33" t="str">
            <v>----------</v>
          </cell>
          <cell r="Q33" t="str">
            <v>----------</v>
          </cell>
        </row>
        <row r="34">
          <cell r="A34" t="str">
            <v>Total cash in</v>
          </cell>
          <cell r="C34">
            <v>1350000</v>
          </cell>
          <cell r="G34">
            <v>1350000</v>
          </cell>
          <cell r="H34">
            <v>0</v>
          </cell>
          <cell r="I34">
            <v>0</v>
          </cell>
          <cell r="J34">
            <v>684000</v>
          </cell>
          <cell r="K34">
            <v>670000</v>
          </cell>
          <cell r="L34">
            <v>609872.91666666663</v>
          </cell>
          <cell r="M34">
            <v>714319.90668402775</v>
          </cell>
          <cell r="N34">
            <v>719528.48933693219</v>
          </cell>
          <cell r="O34">
            <v>724775.05123834731</v>
          </cell>
          <cell r="P34">
            <v>880059.86932029354</v>
          </cell>
          <cell r="Q34">
            <v>695476.97253408737</v>
          </cell>
        </row>
        <row r="35">
          <cell r="C35" t="str">
            <v>----------</v>
          </cell>
          <cell r="G35" t="str">
            <v>----------</v>
          </cell>
          <cell r="H35" t="str">
            <v>----------</v>
          </cell>
          <cell r="I35" t="str">
            <v>----------</v>
          </cell>
          <cell r="J35" t="str">
            <v>----------</v>
          </cell>
          <cell r="K35" t="str">
            <v>----------</v>
          </cell>
          <cell r="L35" t="str">
            <v>----------</v>
          </cell>
          <cell r="M35" t="str">
            <v>----------</v>
          </cell>
          <cell r="N35" t="str">
            <v>----------</v>
          </cell>
          <cell r="O35" t="str">
            <v>----------</v>
          </cell>
          <cell r="P35" t="str">
            <v>----------</v>
          </cell>
          <cell r="Q35" t="str">
            <v>----------</v>
          </cell>
        </row>
        <row r="36">
          <cell r="A36" t="str">
            <v>CASH OUT</v>
          </cell>
        </row>
        <row r="38">
          <cell r="A38" t="str">
            <v>Land</v>
          </cell>
          <cell r="C38">
            <v>2127895</v>
          </cell>
          <cell r="G38">
            <v>2127895</v>
          </cell>
          <cell r="J38">
            <v>25000</v>
          </cell>
          <cell r="P38">
            <v>50000</v>
          </cell>
          <cell r="Q38">
            <v>59000</v>
          </cell>
        </row>
        <row r="39">
          <cell r="A39" t="str">
            <v>Consultants</v>
          </cell>
          <cell r="C39">
            <v>52390</v>
          </cell>
          <cell r="G39">
            <v>53479</v>
          </cell>
          <cell r="I39">
            <v>15816</v>
          </cell>
        </row>
        <row r="40">
          <cell r="A40" t="str">
            <v>Municipal/development costs</v>
          </cell>
          <cell r="C40">
            <v>24784</v>
          </cell>
          <cell r="G40">
            <v>25441</v>
          </cell>
          <cell r="I40">
            <v>47559</v>
          </cell>
        </row>
        <row r="41">
          <cell r="A41" t="str">
            <v>Construction</v>
          </cell>
          <cell r="G41">
            <v>13182</v>
          </cell>
          <cell r="J41">
            <v>150000</v>
          </cell>
          <cell r="K41">
            <v>300000</v>
          </cell>
          <cell r="L41">
            <v>600000</v>
          </cell>
          <cell r="M41">
            <v>700000</v>
          </cell>
          <cell r="N41">
            <v>700000</v>
          </cell>
          <cell r="O41">
            <v>700000</v>
          </cell>
          <cell r="P41">
            <v>800000</v>
          </cell>
          <cell r="Q41">
            <v>600000</v>
          </cell>
        </row>
        <row r="42">
          <cell r="A42" t="str">
            <v>Marketing</v>
          </cell>
          <cell r="O42">
            <v>51000</v>
          </cell>
          <cell r="P42">
            <v>51000</v>
          </cell>
          <cell r="Q42">
            <v>51000</v>
          </cell>
        </row>
        <row r="43">
          <cell r="A43" t="str">
            <v>Financing</v>
          </cell>
          <cell r="C43">
            <v>872</v>
          </cell>
          <cell r="G43">
            <v>872</v>
          </cell>
          <cell r="I43">
            <v>122128</v>
          </cell>
        </row>
        <row r="44">
          <cell r="A44" t="str">
            <v>Interest</v>
          </cell>
          <cell r="J44">
            <v>9843.75</v>
          </cell>
          <cell r="K44">
            <v>4987.5</v>
          </cell>
          <cell r="L44">
            <v>9872.9166666666661</v>
          </cell>
          <cell r="M44">
            <v>14319.906684027776</v>
          </cell>
          <cell r="N44">
            <v>19528.489336932143</v>
          </cell>
          <cell r="O44">
            <v>24775.051238347271</v>
          </cell>
          <cell r="P44">
            <v>30059.86932029355</v>
          </cell>
          <cell r="Q44">
            <v>36476.972534087363</v>
          </cell>
        </row>
        <row r="45">
          <cell r="A45" t="str">
            <v>Other</v>
          </cell>
          <cell r="J45">
            <v>49142.222222222219</v>
          </cell>
          <cell r="K45">
            <v>49142.222222222219</v>
          </cell>
          <cell r="L45">
            <v>49142.222222222219</v>
          </cell>
          <cell r="M45">
            <v>49142.222222222219</v>
          </cell>
          <cell r="N45">
            <v>49142.222222222219</v>
          </cell>
          <cell r="O45">
            <v>49142.222222222219</v>
          </cell>
          <cell r="P45">
            <v>49142.222222222219</v>
          </cell>
          <cell r="Q45">
            <v>49142.222222222219</v>
          </cell>
        </row>
        <row r="46">
          <cell r="A46" t="str">
            <v>Loan payback</v>
          </cell>
          <cell r="F46">
            <v>1350000</v>
          </cell>
          <cell r="H46">
            <v>0</v>
          </cell>
          <cell r="I46">
            <v>0</v>
          </cell>
          <cell r="J46">
            <v>1350000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C47" t="str">
            <v>----------</v>
          </cell>
          <cell r="G47" t="str">
            <v>----------</v>
          </cell>
          <cell r="H47" t="str">
            <v>----------</v>
          </cell>
          <cell r="I47" t="str">
            <v>----------</v>
          </cell>
          <cell r="J47" t="str">
            <v>----------</v>
          </cell>
          <cell r="K47" t="str">
            <v>----------</v>
          </cell>
          <cell r="L47" t="str">
            <v>----------</v>
          </cell>
          <cell r="M47" t="str">
            <v>----------</v>
          </cell>
          <cell r="N47" t="str">
            <v>----------</v>
          </cell>
          <cell r="O47" t="str">
            <v>----------</v>
          </cell>
          <cell r="P47" t="str">
            <v>----------</v>
          </cell>
          <cell r="Q47" t="str">
            <v>----------</v>
          </cell>
        </row>
        <row r="48">
          <cell r="A48" t="str">
            <v>Total cash out</v>
          </cell>
          <cell r="C48">
            <v>2205941</v>
          </cell>
          <cell r="F48">
            <v>2220869</v>
          </cell>
          <cell r="G48">
            <v>2220869</v>
          </cell>
          <cell r="H48">
            <v>0</v>
          </cell>
          <cell r="I48">
            <v>185503</v>
          </cell>
          <cell r="J48">
            <v>1583985.9722222222</v>
          </cell>
          <cell r="K48">
            <v>354129.72222222225</v>
          </cell>
          <cell r="L48">
            <v>659015.13888888888</v>
          </cell>
          <cell r="M48">
            <v>763462.12890625</v>
          </cell>
          <cell r="N48">
            <v>768670.71155915444</v>
          </cell>
          <cell r="O48">
            <v>824917.27346056956</v>
          </cell>
          <cell r="P48">
            <v>980202.09154251579</v>
          </cell>
          <cell r="Q48">
            <v>795619.19475630962</v>
          </cell>
        </row>
        <row r="49">
          <cell r="C49" t="str">
            <v>----------</v>
          </cell>
          <cell r="F49">
            <v>1</v>
          </cell>
          <cell r="G49" t="str">
            <v>----------</v>
          </cell>
          <cell r="H49" t="str">
            <v>----------</v>
          </cell>
          <cell r="I49" t="str">
            <v>----------</v>
          </cell>
          <cell r="J49" t="str">
            <v>----------</v>
          </cell>
          <cell r="K49" t="str">
            <v>----------</v>
          </cell>
          <cell r="L49" t="str">
            <v>----------</v>
          </cell>
          <cell r="M49" t="str">
            <v>----------</v>
          </cell>
          <cell r="N49" t="str">
            <v>----------</v>
          </cell>
          <cell r="O49" t="str">
            <v>----------</v>
          </cell>
          <cell r="P49" t="str">
            <v>----------</v>
          </cell>
          <cell r="Q49" t="str">
            <v>----------</v>
          </cell>
        </row>
        <row r="50">
          <cell r="A50" t="str">
            <v>Net cash (shortage)</v>
          </cell>
          <cell r="G50">
            <v>-870869</v>
          </cell>
          <cell r="H50">
            <v>0</v>
          </cell>
          <cell r="I50">
            <v>-185503</v>
          </cell>
          <cell r="J50">
            <v>-899985.97222222225</v>
          </cell>
          <cell r="K50">
            <v>315870.27777777775</v>
          </cell>
          <cell r="L50">
            <v>-49142.222222222248</v>
          </cell>
          <cell r="M50">
            <v>-49142.222222222248</v>
          </cell>
          <cell r="N50">
            <v>-49142.222222222248</v>
          </cell>
          <cell r="O50">
            <v>-100142.22222222225</v>
          </cell>
          <cell r="P50">
            <v>-100142.22222222225</v>
          </cell>
          <cell r="Q50">
            <v>-100142.22222222225</v>
          </cell>
        </row>
        <row r="51">
          <cell r="A51" t="str">
            <v>Cash to Polygon Including OH</v>
          </cell>
          <cell r="G51">
            <v>-870869</v>
          </cell>
          <cell r="H51">
            <v>0</v>
          </cell>
          <cell r="I51">
            <v>-185503</v>
          </cell>
          <cell r="J51">
            <v>-850843.75</v>
          </cell>
          <cell r="K51">
            <v>365012.5</v>
          </cell>
          <cell r="L51">
            <v>-2.9103830456733704E-11</v>
          </cell>
          <cell r="M51">
            <v>-2.9103830456733704E-11</v>
          </cell>
          <cell r="N51">
            <v>-2.9103830456733704E-11</v>
          </cell>
          <cell r="O51">
            <v>-51000</v>
          </cell>
          <cell r="P51">
            <v>-51000</v>
          </cell>
          <cell r="Q51">
            <v>-51000</v>
          </cell>
        </row>
        <row r="52">
          <cell r="A52" t="str">
            <v>Loan amount drawn</v>
          </cell>
          <cell r="G52">
            <v>1350000</v>
          </cell>
          <cell r="H52">
            <v>1350000</v>
          </cell>
          <cell r="I52">
            <v>1350000</v>
          </cell>
          <cell r="J52">
            <v>2034000</v>
          </cell>
          <cell r="K52">
            <v>2704000</v>
          </cell>
          <cell r="L52">
            <v>3313872.9166666665</v>
          </cell>
          <cell r="M52">
            <v>4028192.823350694</v>
          </cell>
          <cell r="N52">
            <v>4747721.3126876261</v>
          </cell>
          <cell r="O52">
            <v>5472496.363925973</v>
          </cell>
          <cell r="P52">
            <v>6352556.2332462668</v>
          </cell>
          <cell r="Q52">
            <v>7048033.2057803543</v>
          </cell>
        </row>
        <row r="53">
          <cell r="A53" t="str">
            <v xml:space="preserve"> Loan payback</v>
          </cell>
          <cell r="G53">
            <v>0</v>
          </cell>
          <cell r="H53">
            <v>0</v>
          </cell>
          <cell r="I53">
            <v>0</v>
          </cell>
          <cell r="J53">
            <v>-1350000</v>
          </cell>
          <cell r="K53">
            <v>-1350000</v>
          </cell>
          <cell r="L53">
            <v>-1350000</v>
          </cell>
          <cell r="M53">
            <v>-1350000</v>
          </cell>
          <cell r="N53">
            <v>-1350000</v>
          </cell>
          <cell r="O53">
            <v>-1350000</v>
          </cell>
          <cell r="P53">
            <v>-1350000</v>
          </cell>
          <cell r="Q53">
            <v>-1350000</v>
          </cell>
        </row>
        <row r="54">
          <cell r="A54" t="str">
            <v xml:space="preserve"> Net loan outstanding</v>
          </cell>
          <cell r="G54">
            <v>1350000</v>
          </cell>
          <cell r="H54">
            <v>1350000</v>
          </cell>
          <cell r="I54">
            <v>1350000</v>
          </cell>
          <cell r="J54">
            <v>684000</v>
          </cell>
          <cell r="K54">
            <v>1354000</v>
          </cell>
          <cell r="L54">
            <v>1963872.9166666665</v>
          </cell>
          <cell r="M54">
            <v>2678192.823350694</v>
          </cell>
          <cell r="N54">
            <v>3397721.3126876261</v>
          </cell>
          <cell r="O54">
            <v>4122496.363925973</v>
          </cell>
          <cell r="P54">
            <v>5002556.2332462668</v>
          </cell>
          <cell r="Q54">
            <v>5698033.2057803543</v>
          </cell>
        </row>
        <row r="94">
          <cell r="B94" t="str">
            <v>GM AFTER OH</v>
          </cell>
          <cell r="C94" t="str">
            <v>INCENTIVE</v>
          </cell>
        </row>
        <row r="95">
          <cell r="B95" t="str">
            <v>&amp; DIV</v>
          </cell>
          <cell r="C95" t="str">
            <v>AMOUNT</v>
          </cell>
        </row>
        <row r="96">
          <cell r="B96" t="str">
            <v>-</v>
          </cell>
          <cell r="C96" t="str">
            <v>-</v>
          </cell>
        </row>
        <row r="97">
          <cell r="B97">
            <v>-0.28000000000000003</v>
          </cell>
          <cell r="C97">
            <v>-3.4799999999999998E-2</v>
          </cell>
        </row>
        <row r="98">
          <cell r="B98">
            <v>-0.27</v>
          </cell>
          <cell r="C98">
            <v>-3.3300000000000003E-2</v>
          </cell>
        </row>
        <row r="99">
          <cell r="B99">
            <v>-0.26</v>
          </cell>
          <cell r="C99">
            <v>-3.1800000000000002E-2</v>
          </cell>
        </row>
        <row r="100">
          <cell r="B100">
            <v>-0.25</v>
          </cell>
          <cell r="C100">
            <v>-3.0300000000000001E-2</v>
          </cell>
        </row>
        <row r="101">
          <cell r="B101">
            <v>-0.24</v>
          </cell>
          <cell r="C101">
            <v>-2.8799999999999999E-2</v>
          </cell>
        </row>
        <row r="102">
          <cell r="B102">
            <v>-0.23</v>
          </cell>
          <cell r="C102">
            <v>-2.7300000000000001E-2</v>
          </cell>
        </row>
        <row r="103">
          <cell r="B103">
            <v>-0.22</v>
          </cell>
          <cell r="C103">
            <v>-2.58E-2</v>
          </cell>
        </row>
        <row r="104">
          <cell r="B104">
            <v>-0.21</v>
          </cell>
          <cell r="C104">
            <v>-2.4299999999999999E-2</v>
          </cell>
        </row>
        <row r="105">
          <cell r="B105">
            <v>-0.2</v>
          </cell>
          <cell r="C105">
            <v>-2.2800000000000001E-2</v>
          </cell>
        </row>
        <row r="106">
          <cell r="B106">
            <v>-0.19</v>
          </cell>
          <cell r="C106">
            <v>-2.1299999999999999E-2</v>
          </cell>
        </row>
        <row r="107">
          <cell r="B107">
            <v>-0.18</v>
          </cell>
          <cell r="C107">
            <v>-1.9800000000000002E-2</v>
          </cell>
        </row>
        <row r="108">
          <cell r="B108">
            <v>-0.17</v>
          </cell>
          <cell r="C108">
            <v>-1.83E-2</v>
          </cell>
        </row>
        <row r="109">
          <cell r="B109">
            <v>-0.16</v>
          </cell>
          <cell r="C109">
            <v>-1.66E-2</v>
          </cell>
        </row>
        <row r="110">
          <cell r="B110">
            <v>-0.15</v>
          </cell>
          <cell r="C110">
            <v>-1.5100000000000001E-2</v>
          </cell>
        </row>
        <row r="111">
          <cell r="B111">
            <v>-0.14000000000000001</v>
          </cell>
          <cell r="C111">
            <v>-1.3599999999999999E-2</v>
          </cell>
        </row>
        <row r="112">
          <cell r="B112">
            <v>-0.13</v>
          </cell>
          <cell r="C112">
            <v>-1.21E-2</v>
          </cell>
        </row>
        <row r="113">
          <cell r="B113">
            <v>-0.12</v>
          </cell>
          <cell r="C113">
            <v>-1.06E-2</v>
          </cell>
        </row>
        <row r="114">
          <cell r="B114">
            <v>-0.11</v>
          </cell>
          <cell r="C114">
            <v>-9.1000000000000004E-3</v>
          </cell>
        </row>
        <row r="115">
          <cell r="B115">
            <v>-0.1</v>
          </cell>
          <cell r="C115">
            <v>-7.6E-3</v>
          </cell>
        </row>
        <row r="116">
          <cell r="B116">
            <v>-0.09</v>
          </cell>
          <cell r="C116">
            <v>-6.6E-3</v>
          </cell>
        </row>
        <row r="117">
          <cell r="B117">
            <v>-0.08</v>
          </cell>
          <cell r="C117">
            <v>-5.4999999999999997E-3</v>
          </cell>
        </row>
        <row r="118">
          <cell r="B118">
            <v>-7.0000000000000007E-2</v>
          </cell>
          <cell r="C118">
            <v>-4.4999999999999997E-3</v>
          </cell>
        </row>
        <row r="119">
          <cell r="B119">
            <v>-0.06</v>
          </cell>
          <cell r="C119">
            <v>-3.5999999999999999E-3</v>
          </cell>
        </row>
        <row r="120">
          <cell r="B120">
            <v>-0.05</v>
          </cell>
          <cell r="C120">
            <v>-2.8E-3</v>
          </cell>
        </row>
        <row r="121">
          <cell r="B121">
            <v>-0.04</v>
          </cell>
          <cell r="C121">
            <v>-2.0999999999999999E-3</v>
          </cell>
        </row>
        <row r="122">
          <cell r="B122">
            <v>-0.03</v>
          </cell>
          <cell r="C122">
            <v>-1.5E-3</v>
          </cell>
        </row>
        <row r="123">
          <cell r="B123">
            <v>-0.02</v>
          </cell>
          <cell r="C123">
            <v>-1E-3</v>
          </cell>
        </row>
        <row r="124">
          <cell r="B124">
            <v>-0.01</v>
          </cell>
          <cell r="C124">
            <v>-5.0000000000000001E-4</v>
          </cell>
        </row>
        <row r="125">
          <cell r="B125">
            <v>0</v>
          </cell>
          <cell r="C125">
            <v>0</v>
          </cell>
        </row>
        <row r="126">
          <cell r="B126">
            <v>0.01</v>
          </cell>
          <cell r="C126">
            <v>5.0000000000000001E-4</v>
          </cell>
        </row>
        <row r="127">
          <cell r="B127">
            <v>0.02</v>
          </cell>
          <cell r="C127">
            <v>1E-3</v>
          </cell>
        </row>
        <row r="128">
          <cell r="B128">
            <v>0.03</v>
          </cell>
          <cell r="C128">
            <v>1.5E-3</v>
          </cell>
        </row>
        <row r="129">
          <cell r="B129">
            <v>0.04</v>
          </cell>
          <cell r="C129">
            <v>2.0999999999999999E-3</v>
          </cell>
        </row>
        <row r="130">
          <cell r="B130">
            <v>0.05</v>
          </cell>
          <cell r="C130">
            <v>2.8E-3</v>
          </cell>
        </row>
        <row r="131">
          <cell r="B131">
            <v>0.06</v>
          </cell>
          <cell r="C131">
            <v>3.5999999999999999E-3</v>
          </cell>
        </row>
        <row r="132">
          <cell r="B132">
            <v>7.0000000000000007E-2</v>
          </cell>
          <cell r="C132">
            <v>4.4999999999999997E-3</v>
          </cell>
        </row>
        <row r="133">
          <cell r="B133">
            <v>0.08</v>
          </cell>
          <cell r="C133">
            <v>5.4999999999999997E-3</v>
          </cell>
        </row>
        <row r="134">
          <cell r="B134">
            <v>0.09</v>
          </cell>
          <cell r="C134">
            <v>6.6E-3</v>
          </cell>
        </row>
        <row r="135">
          <cell r="B135">
            <v>0.1</v>
          </cell>
          <cell r="C135">
            <v>7.6E-3</v>
          </cell>
        </row>
        <row r="136">
          <cell r="B136">
            <v>0.11</v>
          </cell>
          <cell r="C136">
            <v>9.1000000000000004E-3</v>
          </cell>
        </row>
        <row r="137">
          <cell r="B137">
            <v>0.12</v>
          </cell>
          <cell r="C137">
            <v>1.06E-2</v>
          </cell>
        </row>
        <row r="138">
          <cell r="B138">
            <v>0.13</v>
          </cell>
          <cell r="C138">
            <v>1.21E-2</v>
          </cell>
        </row>
        <row r="139">
          <cell r="B139">
            <v>0.14000000000000001</v>
          </cell>
          <cell r="C139">
            <v>1.3599999999999999E-2</v>
          </cell>
        </row>
        <row r="140">
          <cell r="B140">
            <v>0.15</v>
          </cell>
          <cell r="C140">
            <v>1.5100000000000001E-2</v>
          </cell>
        </row>
        <row r="141">
          <cell r="B141">
            <v>0.16</v>
          </cell>
          <cell r="C141">
            <v>1.66E-2</v>
          </cell>
        </row>
        <row r="142">
          <cell r="B142">
            <v>0.17</v>
          </cell>
          <cell r="C142">
            <v>1.83E-2</v>
          </cell>
        </row>
        <row r="143">
          <cell r="B143">
            <v>0.18</v>
          </cell>
          <cell r="C143">
            <v>1.9800000000000002E-2</v>
          </cell>
        </row>
        <row r="144">
          <cell r="B144">
            <v>0.19</v>
          </cell>
          <cell r="C144">
            <v>2.1299999999999999E-2</v>
          </cell>
        </row>
        <row r="145">
          <cell r="B145">
            <v>0.2</v>
          </cell>
          <cell r="C145">
            <v>2.2800000000000001E-2</v>
          </cell>
        </row>
        <row r="146">
          <cell r="B146">
            <v>0.21</v>
          </cell>
          <cell r="C146">
            <v>2.4299999999999999E-2</v>
          </cell>
        </row>
        <row r="147">
          <cell r="B147">
            <v>0.22</v>
          </cell>
          <cell r="C147">
            <v>2.58E-2</v>
          </cell>
        </row>
        <row r="148">
          <cell r="B148">
            <v>0.23</v>
          </cell>
          <cell r="C148">
            <v>2.7300000000000001E-2</v>
          </cell>
        </row>
        <row r="149">
          <cell r="B149">
            <v>0.24</v>
          </cell>
          <cell r="C149">
            <v>2.8799999999999999E-2</v>
          </cell>
        </row>
        <row r="150">
          <cell r="B150">
            <v>0.25</v>
          </cell>
          <cell r="C150">
            <v>3.0300000000000001E-2</v>
          </cell>
        </row>
        <row r="151">
          <cell r="B151">
            <v>0.26</v>
          </cell>
          <cell r="C151">
            <v>3.1800000000000002E-2</v>
          </cell>
        </row>
        <row r="152">
          <cell r="B152">
            <v>0.27</v>
          </cell>
          <cell r="C152">
            <v>3.3300000000000003E-2</v>
          </cell>
        </row>
        <row r="153">
          <cell r="B153">
            <v>0.28000000000000003</v>
          </cell>
          <cell r="C153">
            <v>3.4799999999999998E-2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Index"/>
      <sheetName val="Exec Sum"/>
      <sheetName val="CASHFLOW"/>
      <sheetName val="VARIANCES"/>
      <sheetName val="LEASING ACTIVITIES"/>
      <sheetName val="TENANT INDUCEMENT"/>
      <sheetName val="CAPITAL EXP"/>
      <sheetName val="PROFIT SHARE"/>
      <sheetName val="AR ANALYSIS"/>
      <sheetName val="Recovery Analysis"/>
      <sheetName val="download original"/>
      <sheetName val="download realigned"/>
      <sheetName val="Exec_Sum"/>
      <sheetName val="LEASING_ACTIVITIES"/>
      <sheetName val="TENANT_INDUCEMENT"/>
      <sheetName val="CAPITAL_EXP"/>
      <sheetName val="PROFIT_SHARE"/>
      <sheetName val="AR_ANALYSIS"/>
      <sheetName val="Recovery_Analysis"/>
      <sheetName val="download_original"/>
      <sheetName val="download_realign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LPP      Luxor</v>
          </cell>
          <cell r="C1" t="str">
            <v>Pacific</v>
          </cell>
          <cell r="F1" t="str">
            <v>05/23/</v>
          </cell>
          <cell r="G1" t="str">
            <v>03 Page:    1</v>
          </cell>
        </row>
        <row r="2">
          <cell r="B2" t="str">
            <v>Period Ending</v>
          </cell>
          <cell r="C2">
            <v>37711</v>
          </cell>
          <cell r="F2">
            <v>0.12708333333333333</v>
          </cell>
          <cell r="G2" t="str">
            <v>PM ed</v>
          </cell>
        </row>
        <row r="3">
          <cell r="B3" t="str">
            <v>Divisions: Pac</v>
          </cell>
          <cell r="C3" t="str">
            <v>ific Plaza</v>
          </cell>
          <cell r="D3" t="str">
            <v>Budget Code: o</v>
          </cell>
        </row>
        <row r="4">
          <cell r="B4" t="str">
            <v>Cash Flow - wi</v>
          </cell>
          <cell r="C4" t="str">
            <v>th Rev Detail</v>
          </cell>
        </row>
        <row r="8">
          <cell r="B8" t="str">
            <v>Curr Mth</v>
          </cell>
          <cell r="C8" t="str">
            <v>Curr Mth</v>
          </cell>
          <cell r="D8" t="str">
            <v>Curr Mth</v>
          </cell>
          <cell r="E8" t="str">
            <v>YTD</v>
          </cell>
          <cell r="F8" t="str">
            <v>YTD</v>
          </cell>
          <cell r="G8" t="str">
            <v>YTD</v>
          </cell>
        </row>
        <row r="9">
          <cell r="A9" t="str">
            <v>Description</v>
          </cell>
          <cell r="B9" t="str">
            <v>Actual</v>
          </cell>
          <cell r="C9" t="str">
            <v>Budget</v>
          </cell>
          <cell r="D9" t="str">
            <v>Variance</v>
          </cell>
          <cell r="E9" t="str">
            <v>Actual</v>
          </cell>
          <cell r="F9" t="str">
            <v>Budget</v>
          </cell>
          <cell r="G9" t="str">
            <v>Variance</v>
          </cell>
        </row>
        <row r="10">
          <cell r="A10" t="str">
            <v>----------------------------------------</v>
          </cell>
          <cell r="B10" t="str">
            <v>--------------</v>
          </cell>
          <cell r="C10" t="str">
            <v>--------------</v>
          </cell>
          <cell r="D10" t="str">
            <v>--------------</v>
          </cell>
          <cell r="E10" t="str">
            <v>--------------</v>
          </cell>
          <cell r="F10" t="str">
            <v>--------------</v>
          </cell>
          <cell r="G10" t="str">
            <v>--------------</v>
          </cell>
        </row>
        <row r="12">
          <cell r="A12" t="str">
            <v>Revenue</v>
          </cell>
        </row>
        <row r="14">
          <cell r="A14" t="str">
            <v>Revenue</v>
          </cell>
        </row>
        <row r="16">
          <cell r="A16" t="str">
            <v>Revenue Before Recoveries</v>
          </cell>
        </row>
        <row r="17">
          <cell r="A17" t="str">
            <v>Basic Rent</v>
          </cell>
          <cell r="B17">
            <v>67470.77</v>
          </cell>
          <cell r="C17">
            <v>67312</v>
          </cell>
          <cell r="D17">
            <v>-158.77000000000001</v>
          </cell>
          <cell r="E17">
            <v>213409.82</v>
          </cell>
          <cell r="F17">
            <v>201669</v>
          </cell>
          <cell r="G17">
            <v>-11740.82</v>
          </cell>
        </row>
        <row r="18">
          <cell r="A18" t="str">
            <v>Parking</v>
          </cell>
          <cell r="B18">
            <v>18687.41</v>
          </cell>
          <cell r="C18">
            <v>18995</v>
          </cell>
          <cell r="D18">
            <v>307.58999999999997</v>
          </cell>
          <cell r="E18">
            <v>55444.95</v>
          </cell>
          <cell r="F18">
            <v>56985</v>
          </cell>
          <cell r="G18">
            <v>1540.05</v>
          </cell>
        </row>
        <row r="19">
          <cell r="A19" t="str">
            <v>Signage and other</v>
          </cell>
          <cell r="B19">
            <v>-2786.99</v>
          </cell>
          <cell r="C19">
            <v>1772.33</v>
          </cell>
          <cell r="D19">
            <v>4559.32</v>
          </cell>
          <cell r="E19">
            <v>11675.26</v>
          </cell>
          <cell r="F19">
            <v>14316.99</v>
          </cell>
          <cell r="G19">
            <v>2641.73</v>
          </cell>
        </row>
        <row r="20">
          <cell r="B20" t="str">
            <v>--------------</v>
          </cell>
          <cell r="C20" t="str">
            <v>--------------</v>
          </cell>
          <cell r="D20" t="str">
            <v>--------------</v>
          </cell>
          <cell r="E20" t="str">
            <v>--------------</v>
          </cell>
          <cell r="F20" t="str">
            <v>--------------</v>
          </cell>
          <cell r="G20" t="str">
            <v>--------------</v>
          </cell>
        </row>
        <row r="21">
          <cell r="A21" t="str">
            <v>Total Revenue Before Recoveries</v>
          </cell>
          <cell r="B21">
            <v>83371.19</v>
          </cell>
          <cell r="C21">
            <v>88079.33</v>
          </cell>
          <cell r="D21">
            <v>4708.1400000000003</v>
          </cell>
          <cell r="E21">
            <v>280530.03000000003</v>
          </cell>
          <cell r="F21">
            <v>272970.99</v>
          </cell>
          <cell r="G21">
            <v>-7559.04</v>
          </cell>
        </row>
        <row r="22">
          <cell r="B22" t="str">
            <v>--------------</v>
          </cell>
          <cell r="C22" t="str">
            <v>--------------</v>
          </cell>
          <cell r="D22" t="str">
            <v>--------------</v>
          </cell>
          <cell r="E22" t="str">
            <v>--------------</v>
          </cell>
          <cell r="F22" t="str">
            <v>--------------</v>
          </cell>
          <cell r="G22" t="str">
            <v>--------------</v>
          </cell>
        </row>
        <row r="23">
          <cell r="A23" t="str">
            <v>Operating cost recovery</v>
          </cell>
          <cell r="B23">
            <v>132979.76</v>
          </cell>
          <cell r="C23">
            <v>104633</v>
          </cell>
          <cell r="D23">
            <v>-28346.76</v>
          </cell>
          <cell r="E23">
            <v>304200.76</v>
          </cell>
          <cell r="F23">
            <v>321752</v>
          </cell>
          <cell r="G23">
            <v>17551.240000000002</v>
          </cell>
        </row>
        <row r="24">
          <cell r="A24" t="str">
            <v>Property tax recovery</v>
          </cell>
          <cell r="B24">
            <v>6657.68</v>
          </cell>
          <cell r="C24">
            <v>9905</v>
          </cell>
          <cell r="D24">
            <v>3247.32</v>
          </cell>
          <cell r="E24">
            <v>26175.68</v>
          </cell>
          <cell r="F24">
            <v>29715</v>
          </cell>
          <cell r="G24">
            <v>3539.32</v>
          </cell>
        </row>
        <row r="25">
          <cell r="B25" t="str">
            <v>--------------</v>
          </cell>
          <cell r="C25" t="str">
            <v>--------------</v>
          </cell>
          <cell r="D25" t="str">
            <v>--------------</v>
          </cell>
          <cell r="E25" t="str">
            <v>--------------</v>
          </cell>
          <cell r="F25" t="str">
            <v>--------------</v>
          </cell>
          <cell r="G25" t="str">
            <v>--------------</v>
          </cell>
        </row>
        <row r="26">
          <cell r="A26" t="str">
            <v>Total recoveries</v>
          </cell>
          <cell r="B26">
            <v>139637.44</v>
          </cell>
          <cell r="C26">
            <v>114538</v>
          </cell>
          <cell r="D26">
            <v>-25099.439999999999</v>
          </cell>
          <cell r="E26">
            <v>330376.44</v>
          </cell>
          <cell r="F26">
            <v>351467</v>
          </cell>
          <cell r="G26">
            <v>21090.560000000001</v>
          </cell>
        </row>
        <row r="27">
          <cell r="B27" t="str">
            <v>--------------</v>
          </cell>
          <cell r="C27" t="str">
            <v>--------------</v>
          </cell>
          <cell r="D27" t="str">
            <v>--------------</v>
          </cell>
          <cell r="E27" t="str">
            <v>--------------</v>
          </cell>
          <cell r="F27" t="str">
            <v>--------------</v>
          </cell>
          <cell r="G27" t="str">
            <v>--------------</v>
          </cell>
        </row>
        <row r="28">
          <cell r="A28" t="str">
            <v>Total Revenue</v>
          </cell>
          <cell r="B28">
            <v>223008.63</v>
          </cell>
          <cell r="C28">
            <v>202617.33</v>
          </cell>
          <cell r="D28">
            <v>-20391.3</v>
          </cell>
          <cell r="E28">
            <v>610906.47</v>
          </cell>
          <cell r="F28">
            <v>624437.99</v>
          </cell>
          <cell r="G28">
            <v>13531.52</v>
          </cell>
        </row>
        <row r="29">
          <cell r="B29" t="str">
            <v>--------------</v>
          </cell>
          <cell r="C29" t="str">
            <v>--------------</v>
          </cell>
          <cell r="D29" t="str">
            <v>--------------</v>
          </cell>
          <cell r="E29" t="str">
            <v>--------------</v>
          </cell>
          <cell r="F29" t="str">
            <v>--------------</v>
          </cell>
          <cell r="G29" t="str">
            <v>--------------</v>
          </cell>
        </row>
        <row r="31">
          <cell r="A31" t="str">
            <v>Expenses</v>
          </cell>
        </row>
        <row r="32">
          <cell r="A32" t="str">
            <v>Recoverable Operating Costs</v>
          </cell>
          <cell r="B32">
            <v>-108749.48</v>
          </cell>
          <cell r="C32">
            <v>-107406</v>
          </cell>
          <cell r="D32">
            <v>1343.48</v>
          </cell>
          <cell r="E32">
            <v>-288202.03999999998</v>
          </cell>
          <cell r="F32">
            <v>-359516</v>
          </cell>
          <cell r="G32">
            <v>-71313.960000000006</v>
          </cell>
        </row>
        <row r="33">
          <cell r="A33" t="str">
            <v>Recoverable Property Tax</v>
          </cell>
          <cell r="B33">
            <v>-10859.69</v>
          </cell>
          <cell r="C33">
            <v>-10731</v>
          </cell>
          <cell r="D33">
            <v>128.69</v>
          </cell>
          <cell r="E33">
            <v>-32193.08</v>
          </cell>
          <cell r="F33">
            <v>-32193</v>
          </cell>
          <cell r="G33">
            <v>0.08</v>
          </cell>
        </row>
        <row r="34">
          <cell r="B34" t="str">
            <v>--------------</v>
          </cell>
          <cell r="C34" t="str">
            <v>--------------</v>
          </cell>
          <cell r="D34" t="str">
            <v>--------------</v>
          </cell>
          <cell r="E34" t="str">
            <v>--------------</v>
          </cell>
          <cell r="F34" t="str">
            <v>--------------</v>
          </cell>
          <cell r="G34" t="str">
            <v>--------------</v>
          </cell>
        </row>
        <row r="35">
          <cell r="A35" t="str">
            <v>Total Recoverable Expenses</v>
          </cell>
          <cell r="B35">
            <v>-119609.17</v>
          </cell>
          <cell r="C35">
            <v>-118137</v>
          </cell>
          <cell r="D35">
            <v>1472.17</v>
          </cell>
          <cell r="E35">
            <v>-320395.12</v>
          </cell>
          <cell r="F35">
            <v>-391709</v>
          </cell>
          <cell r="G35">
            <v>-71313.88</v>
          </cell>
        </row>
        <row r="36">
          <cell r="A36" t="str">
            <v>Non-Recoverable Expenses</v>
          </cell>
          <cell r="B36">
            <v>-1231.54</v>
          </cell>
          <cell r="C36">
            <v>0</v>
          </cell>
          <cell r="D36">
            <v>1231.54</v>
          </cell>
          <cell r="E36">
            <v>-4632.9399999999996</v>
          </cell>
          <cell r="F36">
            <v>-1117</v>
          </cell>
          <cell r="G36">
            <v>3515.94</v>
          </cell>
        </row>
        <row r="37">
          <cell r="B37" t="str">
            <v>--------------</v>
          </cell>
          <cell r="C37" t="str">
            <v>--------------</v>
          </cell>
          <cell r="D37" t="str">
            <v>--------------</v>
          </cell>
          <cell r="E37" t="str">
            <v>--------------</v>
          </cell>
          <cell r="F37" t="str">
            <v>--------------</v>
          </cell>
          <cell r="G37" t="str">
            <v>--------------</v>
          </cell>
        </row>
        <row r="38">
          <cell r="A38" t="str">
            <v>Total Expenses</v>
          </cell>
          <cell r="B38">
            <v>-120840.71</v>
          </cell>
          <cell r="C38">
            <v>-118137</v>
          </cell>
          <cell r="D38">
            <v>2703.71</v>
          </cell>
          <cell r="E38">
            <v>-325028.06</v>
          </cell>
          <cell r="F38">
            <v>-392826</v>
          </cell>
          <cell r="G38">
            <v>-67797.94</v>
          </cell>
        </row>
        <row r="39">
          <cell r="B39" t="str">
            <v>--------------</v>
          </cell>
          <cell r="C39" t="str">
            <v>--------------</v>
          </cell>
          <cell r="D39" t="str">
            <v>--------------</v>
          </cell>
          <cell r="E39" t="str">
            <v>--------------</v>
          </cell>
          <cell r="F39" t="str">
            <v>--------------</v>
          </cell>
          <cell r="G39" t="str">
            <v>--------------</v>
          </cell>
        </row>
        <row r="40">
          <cell r="A40" t="str">
            <v>Net Operating Income</v>
          </cell>
          <cell r="B40">
            <v>102167.92</v>
          </cell>
          <cell r="C40">
            <v>84480.33</v>
          </cell>
          <cell r="D40">
            <v>-17687.59</v>
          </cell>
          <cell r="E40">
            <v>285878.40999999997</v>
          </cell>
          <cell r="F40">
            <v>231611.99</v>
          </cell>
          <cell r="G40">
            <v>-54266.42</v>
          </cell>
        </row>
        <row r="41">
          <cell r="B41" t="str">
            <v>--------------</v>
          </cell>
          <cell r="C41" t="str">
            <v>--------------</v>
          </cell>
          <cell r="D41" t="str">
            <v>--------------</v>
          </cell>
          <cell r="E41" t="str">
            <v>--------------</v>
          </cell>
          <cell r="F41" t="str">
            <v>--------------</v>
          </cell>
          <cell r="G41" t="str">
            <v>--------------</v>
          </cell>
        </row>
        <row r="42">
          <cell r="A42" t="str">
            <v>Corporate EBITDA</v>
          </cell>
          <cell r="B42">
            <v>102167.92</v>
          </cell>
          <cell r="C42">
            <v>84480.33</v>
          </cell>
          <cell r="D42">
            <v>-17687.59</v>
          </cell>
          <cell r="E42">
            <v>285878.40999999997</v>
          </cell>
          <cell r="F42">
            <v>231611.99</v>
          </cell>
          <cell r="G42">
            <v>-54266.42</v>
          </cell>
        </row>
        <row r="43">
          <cell r="A43" t="str">
            <v>Interest Expense</v>
          </cell>
          <cell r="B43">
            <v>-38972.81</v>
          </cell>
          <cell r="C43">
            <v>-39173</v>
          </cell>
          <cell r="D43">
            <v>-200.19</v>
          </cell>
          <cell r="E43">
            <v>-117084.12</v>
          </cell>
          <cell r="F43">
            <v>-117684</v>
          </cell>
          <cell r="G43">
            <v>-599.88</v>
          </cell>
        </row>
        <row r="44">
          <cell r="A44" t="str">
            <v>Profit Sharing to Partners</v>
          </cell>
          <cell r="B44">
            <v>-24499.69</v>
          </cell>
          <cell r="C44">
            <v>-9423.92</v>
          </cell>
          <cell r="D44">
            <v>15075.77</v>
          </cell>
          <cell r="E44">
            <v>-40577.67</v>
          </cell>
          <cell r="F44">
            <v>-28271.759999999998</v>
          </cell>
          <cell r="G44">
            <v>12305.91</v>
          </cell>
        </row>
        <row r="45">
          <cell r="B45" t="str">
            <v>--------------</v>
          </cell>
          <cell r="C45" t="str">
            <v>--------------</v>
          </cell>
          <cell r="D45" t="str">
            <v>--------------</v>
          </cell>
          <cell r="E45" t="str">
            <v>--------------</v>
          </cell>
          <cell r="F45" t="str">
            <v>--------------</v>
          </cell>
          <cell r="G45" t="str">
            <v>--------------</v>
          </cell>
        </row>
        <row r="46">
          <cell r="A46" t="str">
            <v>Cash Flow from Operations</v>
          </cell>
          <cell r="B46">
            <v>38695.42</v>
          </cell>
          <cell r="C46">
            <v>35883.410000000003</v>
          </cell>
          <cell r="D46">
            <v>-2812.01</v>
          </cell>
          <cell r="E46">
            <v>128216.62</v>
          </cell>
          <cell r="F46">
            <v>85656.23</v>
          </cell>
          <cell r="G46">
            <v>-42560.39</v>
          </cell>
        </row>
        <row r="47">
          <cell r="B47" t="str">
            <v>--------------</v>
          </cell>
          <cell r="C47" t="str">
            <v>--------------</v>
          </cell>
          <cell r="D47" t="str">
            <v>--------------</v>
          </cell>
          <cell r="E47" t="str">
            <v>--------------</v>
          </cell>
          <cell r="F47" t="str">
            <v>--------------</v>
          </cell>
          <cell r="G47" t="str">
            <v>--------------</v>
          </cell>
        </row>
        <row r="48">
          <cell r="A48" t="str">
            <v>Working Capital</v>
          </cell>
          <cell r="B48">
            <v>54705.49</v>
          </cell>
          <cell r="C48">
            <v>11256</v>
          </cell>
          <cell r="D48">
            <v>-43449.49</v>
          </cell>
          <cell r="E48">
            <v>113693.93</v>
          </cell>
          <cell r="F48">
            <v>-296254</v>
          </cell>
          <cell r="G48">
            <v>-409947.93</v>
          </cell>
        </row>
        <row r="49">
          <cell r="A49" t="str">
            <v>Capital Expenditures - Tenant Induc</v>
          </cell>
          <cell r="B49">
            <v>1804</v>
          </cell>
          <cell r="C49">
            <v>0</v>
          </cell>
          <cell r="D49">
            <v>-1804</v>
          </cell>
          <cell r="E49">
            <v>1804</v>
          </cell>
          <cell r="F49">
            <v>0</v>
          </cell>
          <cell r="G49">
            <v>-1804</v>
          </cell>
        </row>
        <row r="50">
          <cell r="A50" t="str">
            <v>Capital Expenditures - Recoverable</v>
          </cell>
          <cell r="B50">
            <v>0</v>
          </cell>
          <cell r="C50">
            <v>-130525</v>
          </cell>
          <cell r="D50">
            <v>-130525</v>
          </cell>
          <cell r="E50">
            <v>0</v>
          </cell>
          <cell r="F50">
            <v>-130525</v>
          </cell>
          <cell r="G50">
            <v>-130525</v>
          </cell>
        </row>
        <row r="51">
          <cell r="A51" t="str">
            <v>Capital Expenditures - Non-Recovera</v>
          </cell>
          <cell r="B51">
            <v>0</v>
          </cell>
          <cell r="C51">
            <v>-15525</v>
          </cell>
          <cell r="D51">
            <v>-15525</v>
          </cell>
          <cell r="E51">
            <v>0</v>
          </cell>
          <cell r="F51">
            <v>-15525</v>
          </cell>
          <cell r="G51">
            <v>-15525</v>
          </cell>
        </row>
        <row r="52">
          <cell r="A52" t="str">
            <v>Capital Asset Amortization Adjustme</v>
          </cell>
          <cell r="B52">
            <v>0</v>
          </cell>
          <cell r="C52">
            <v>0.08</v>
          </cell>
          <cell r="D52">
            <v>0.08</v>
          </cell>
          <cell r="E52">
            <v>0</v>
          </cell>
          <cell r="F52">
            <v>-0.26</v>
          </cell>
          <cell r="G52">
            <v>-0.26</v>
          </cell>
        </row>
        <row r="54">
          <cell r="B54" t="str">
            <v>Continued on n</v>
          </cell>
          <cell r="C54" t="str">
            <v>ext page...</v>
          </cell>
        </row>
        <row r="55">
          <cell r="B55" t="str">
            <v>_x000C_LPP      Luxo</v>
          </cell>
          <cell r="C55" t="str">
            <v>r Pacific</v>
          </cell>
          <cell r="F55">
            <v>37764</v>
          </cell>
          <cell r="G55" t="str">
            <v>/03 Page:    2</v>
          </cell>
        </row>
        <row r="56">
          <cell r="B56" t="str">
            <v>Period Ending</v>
          </cell>
          <cell r="C56">
            <v>37711</v>
          </cell>
          <cell r="F56">
            <v>0.12708333333333333</v>
          </cell>
          <cell r="G56" t="str">
            <v>PM ed</v>
          </cell>
        </row>
        <row r="57">
          <cell r="B57" t="str">
            <v>Divisions: Pac</v>
          </cell>
          <cell r="C57" t="str">
            <v>ific Plaza</v>
          </cell>
          <cell r="D57" t="str">
            <v>Budget Code: o</v>
          </cell>
        </row>
        <row r="58">
          <cell r="B58" t="str">
            <v>Cash Flow - wi</v>
          </cell>
          <cell r="C58" t="str">
            <v>th Rev Detail</v>
          </cell>
        </row>
        <row r="61">
          <cell r="B61" t="str">
            <v>Curr Mth</v>
          </cell>
          <cell r="C61" t="str">
            <v>Curr Mth</v>
          </cell>
          <cell r="D61" t="str">
            <v>Curr Mth</v>
          </cell>
          <cell r="E61" t="str">
            <v>YTD</v>
          </cell>
          <cell r="F61" t="str">
            <v>YTD</v>
          </cell>
          <cell r="G61" t="str">
            <v>YTD</v>
          </cell>
        </row>
        <row r="62">
          <cell r="A62" t="str">
            <v>Description</v>
          </cell>
          <cell r="B62" t="str">
            <v>Actual</v>
          </cell>
          <cell r="C62" t="str">
            <v>Budget</v>
          </cell>
          <cell r="D62" t="str">
            <v>Variance</v>
          </cell>
          <cell r="E62" t="str">
            <v>Actual</v>
          </cell>
          <cell r="F62" t="str">
            <v>Budget</v>
          </cell>
          <cell r="G62" t="str">
            <v>Variance</v>
          </cell>
        </row>
        <row r="63">
          <cell r="A63" t="str">
            <v>----------------------------------------</v>
          </cell>
          <cell r="B63" t="str">
            <v>--------------</v>
          </cell>
          <cell r="C63" t="str">
            <v>--------------</v>
          </cell>
          <cell r="D63" t="str">
            <v>--------------</v>
          </cell>
          <cell r="E63" t="str">
            <v>--------------</v>
          </cell>
          <cell r="F63" t="str">
            <v>--------------</v>
          </cell>
          <cell r="G63" t="str">
            <v>--------------</v>
          </cell>
        </row>
        <row r="64">
          <cell r="B64" t="str">
            <v>--------------</v>
          </cell>
          <cell r="C64" t="str">
            <v>--------------</v>
          </cell>
          <cell r="D64" t="str">
            <v>--------------</v>
          </cell>
          <cell r="E64" t="str">
            <v>--------------</v>
          </cell>
          <cell r="F64" t="str">
            <v>--------------</v>
          </cell>
          <cell r="G64" t="str">
            <v>--------------</v>
          </cell>
        </row>
        <row r="65">
          <cell r="A65" t="str">
            <v>Operating Capital Requirements</v>
          </cell>
          <cell r="B65">
            <v>56509.49</v>
          </cell>
          <cell r="C65">
            <v>-134793.92000000001</v>
          </cell>
          <cell r="D65">
            <v>-191303.41</v>
          </cell>
          <cell r="E65">
            <v>115497.93</v>
          </cell>
          <cell r="F65">
            <v>-442304.26</v>
          </cell>
          <cell r="G65">
            <v>-557802.18999999994</v>
          </cell>
        </row>
        <row r="66">
          <cell r="B66" t="str">
            <v>--------------</v>
          </cell>
          <cell r="C66" t="str">
            <v>--------------</v>
          </cell>
          <cell r="D66" t="str">
            <v>--------------</v>
          </cell>
          <cell r="E66" t="str">
            <v>--------------</v>
          </cell>
          <cell r="F66" t="str">
            <v>--------------</v>
          </cell>
          <cell r="G66" t="str">
            <v>--------------</v>
          </cell>
        </row>
        <row r="67">
          <cell r="A67" t="str">
            <v>Cash Available for Re-investment</v>
          </cell>
          <cell r="B67">
            <v>95204.91</v>
          </cell>
          <cell r="C67">
            <v>-98910.51</v>
          </cell>
          <cell r="D67">
            <v>-194115.42</v>
          </cell>
          <cell r="E67">
            <v>243714.55</v>
          </cell>
          <cell r="F67">
            <v>-356648.03</v>
          </cell>
          <cell r="G67">
            <v>-600362.57999999996</v>
          </cell>
        </row>
        <row r="68">
          <cell r="B68" t="str">
            <v>--------------</v>
          </cell>
          <cell r="C68" t="str">
            <v>--------------</v>
          </cell>
          <cell r="D68" t="str">
            <v>--------------</v>
          </cell>
          <cell r="E68" t="str">
            <v>--------------</v>
          </cell>
          <cell r="F68" t="str">
            <v>--------------</v>
          </cell>
          <cell r="G68" t="str">
            <v>--------------</v>
          </cell>
        </row>
        <row r="69">
          <cell r="A69" t="str">
            <v>Capital Mgmt - Principal Pmts (Mtg)</v>
          </cell>
          <cell r="B69">
            <v>-9296.85</v>
          </cell>
          <cell r="C69">
            <v>-9296.85</v>
          </cell>
          <cell r="D69">
            <v>0</v>
          </cell>
          <cell r="E69">
            <v>-27725.84</v>
          </cell>
          <cell r="F69">
            <v>-27725.84</v>
          </cell>
          <cell r="G69">
            <v>0</v>
          </cell>
        </row>
        <row r="70">
          <cell r="B70" t="str">
            <v>--------------</v>
          </cell>
          <cell r="C70" t="str">
            <v>--------------</v>
          </cell>
          <cell r="D70" t="str">
            <v>--------------</v>
          </cell>
          <cell r="E70" t="str">
            <v>--------------</v>
          </cell>
          <cell r="F70" t="str">
            <v>--------------</v>
          </cell>
          <cell r="G70" t="str">
            <v>--------------</v>
          </cell>
        </row>
        <row r="71">
          <cell r="A71" t="str">
            <v>Investment Capital Requirements</v>
          </cell>
          <cell r="B71">
            <v>-9296.85</v>
          </cell>
          <cell r="C71">
            <v>-9296.85</v>
          </cell>
          <cell r="D71">
            <v>0</v>
          </cell>
          <cell r="E71">
            <v>-27725.84</v>
          </cell>
          <cell r="F71">
            <v>-27725.84</v>
          </cell>
          <cell r="G71">
            <v>0</v>
          </cell>
        </row>
        <row r="72">
          <cell r="B72" t="str">
            <v>--------------</v>
          </cell>
          <cell r="C72" t="str">
            <v>--------------</v>
          </cell>
          <cell r="D72" t="str">
            <v>--------------</v>
          </cell>
          <cell r="E72" t="str">
            <v>--------------</v>
          </cell>
          <cell r="F72" t="str">
            <v>--------------</v>
          </cell>
          <cell r="G72" t="str">
            <v>--------------</v>
          </cell>
        </row>
        <row r="73">
          <cell r="A73" t="str">
            <v>Net Change in Cash</v>
          </cell>
          <cell r="B73">
            <v>85908.06</v>
          </cell>
          <cell r="C73">
            <v>-108207.36</v>
          </cell>
          <cell r="D73">
            <v>-194115.42</v>
          </cell>
          <cell r="E73">
            <v>215988.71</v>
          </cell>
          <cell r="F73">
            <v>-384373.87</v>
          </cell>
          <cell r="G73">
            <v>-600362.57999999996</v>
          </cell>
        </row>
        <row r="74">
          <cell r="B74" t="str">
            <v>--------------</v>
          </cell>
          <cell r="C74" t="str">
            <v>--------------</v>
          </cell>
          <cell r="D74" t="str">
            <v>--------------</v>
          </cell>
          <cell r="E74" t="str">
            <v>--------------</v>
          </cell>
          <cell r="F74" t="str">
            <v>--------------</v>
          </cell>
          <cell r="G74" t="str">
            <v>--------------</v>
          </cell>
        </row>
        <row r="75">
          <cell r="A75" t="str">
            <v>TOTAL</v>
          </cell>
          <cell r="B75">
            <v>85908.06</v>
          </cell>
          <cell r="C75">
            <v>-108207.36</v>
          </cell>
          <cell r="D75">
            <v>-194115.42</v>
          </cell>
          <cell r="E75">
            <v>215988.71</v>
          </cell>
          <cell r="F75">
            <v>-384373.87</v>
          </cell>
          <cell r="G75">
            <v>-600362.57999999996</v>
          </cell>
        </row>
        <row r="76">
          <cell r="B76" t="str">
            <v>--------------</v>
          </cell>
          <cell r="C76" t="str">
            <v>--------------</v>
          </cell>
          <cell r="D76" t="str">
            <v>--------------</v>
          </cell>
          <cell r="E76" t="str">
            <v>--------------</v>
          </cell>
          <cell r="F76" t="str">
            <v>--------------</v>
          </cell>
          <cell r="G76" t="str">
            <v>--------------</v>
          </cell>
        </row>
        <row r="108">
          <cell r="B108" t="str">
            <v>End of Financi</v>
          </cell>
          <cell r="C108" t="str">
            <v>al Statement</v>
          </cell>
        </row>
        <row r="109">
          <cell r="B109" t="str">
            <v>_x000C_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LPP      Luxor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ior Debt"/>
      <sheetName val="Senior Mortgage"/>
      <sheetName val="Am Schedule"/>
    </sheetNames>
    <sheetDataSet>
      <sheetData sheetId="0" refreshError="1"/>
      <sheetData sheetId="1">
        <row r="5">
          <cell r="AE5">
            <v>46266</v>
          </cell>
          <cell r="AF5">
            <v>1</v>
          </cell>
          <cell r="AG5">
            <v>57503280</v>
          </cell>
          <cell r="AH5">
            <v>-97445.447668297624</v>
          </cell>
          <cell r="AI5">
            <v>-236669.22184879804</v>
          </cell>
          <cell r="AJ5">
            <v>334114.66951709567</v>
          </cell>
          <cell r="AK5">
            <v>57405834.552331701</v>
          </cell>
          <cell r="AT5">
            <v>49919</v>
          </cell>
          <cell r="AU5">
            <v>1</v>
          </cell>
          <cell r="AV5">
            <v>0</v>
          </cell>
        </row>
        <row r="6">
          <cell r="AE6">
            <v>46296</v>
          </cell>
          <cell r="AF6">
            <v>2</v>
          </cell>
          <cell r="AG6">
            <v>57405834.552331701</v>
          </cell>
          <cell r="AH6">
            <v>-97846.5089342352</v>
          </cell>
          <cell r="AI6">
            <v>-236268.16058286047</v>
          </cell>
          <cell r="AJ6">
            <v>334114.66951709567</v>
          </cell>
          <cell r="AK6">
            <v>57307988.043397464</v>
          </cell>
          <cell r="AT6">
            <v>49949</v>
          </cell>
          <cell r="AU6">
            <v>2</v>
          </cell>
          <cell r="AV6">
            <v>0</v>
          </cell>
        </row>
        <row r="7">
          <cell r="AE7">
            <v>46327</v>
          </cell>
          <cell r="AF7">
            <v>3</v>
          </cell>
          <cell r="AG7">
            <v>57307988.043397464</v>
          </cell>
          <cell r="AH7">
            <v>-98249.220868755918</v>
          </cell>
          <cell r="AI7">
            <v>-235865.44864833975</v>
          </cell>
          <cell r="AJ7">
            <v>334114.66951709567</v>
          </cell>
          <cell r="AK7">
            <v>57209738.822528705</v>
          </cell>
          <cell r="AT7">
            <v>49980</v>
          </cell>
          <cell r="AU7">
            <v>3</v>
          </cell>
          <cell r="AV7">
            <v>0</v>
          </cell>
        </row>
        <row r="8">
          <cell r="AE8">
            <v>46357</v>
          </cell>
          <cell r="AF8">
            <v>4</v>
          </cell>
          <cell r="AG8">
            <v>57209738.822528705</v>
          </cell>
          <cell r="AH8">
            <v>-98653.590265601844</v>
          </cell>
          <cell r="AI8">
            <v>-235461.07925149382</v>
          </cell>
          <cell r="AJ8">
            <v>334114.66951709567</v>
          </cell>
          <cell r="AK8">
            <v>57111085.232263103</v>
          </cell>
          <cell r="AT8">
            <v>50010</v>
          </cell>
          <cell r="AU8">
            <v>4</v>
          </cell>
          <cell r="AV8">
            <v>0</v>
          </cell>
        </row>
        <row r="9">
          <cell r="AE9">
            <v>46388</v>
          </cell>
          <cell r="AF9">
            <v>5</v>
          </cell>
          <cell r="AG9">
            <v>57111085.232263103</v>
          </cell>
          <cell r="AH9">
            <v>-99059.623946476175</v>
          </cell>
          <cell r="AI9">
            <v>-235055.04557061949</v>
          </cell>
          <cell r="AJ9">
            <v>334114.66951709567</v>
          </cell>
          <cell r="AK9">
            <v>57012025.60831663</v>
          </cell>
          <cell r="AT9">
            <v>50041</v>
          </cell>
          <cell r="AU9">
            <v>5</v>
          </cell>
          <cell r="AV9">
            <v>0</v>
          </cell>
        </row>
        <row r="10">
          <cell r="AE10">
            <v>46419</v>
          </cell>
          <cell r="AF10">
            <v>6</v>
          </cell>
          <cell r="AG10">
            <v>57012025.60831663</v>
          </cell>
          <cell r="AH10">
            <v>-99467.328761158889</v>
          </cell>
          <cell r="AI10">
            <v>-234647.34075593678</v>
          </cell>
          <cell r="AJ10">
            <v>334114.66951709567</v>
          </cell>
          <cell r="AK10">
            <v>56912558.27955547</v>
          </cell>
          <cell r="AT10">
            <v>50072</v>
          </cell>
          <cell r="AU10">
            <v>6</v>
          </cell>
          <cell r="AV10">
            <v>0</v>
          </cell>
        </row>
        <row r="11">
          <cell r="AE11">
            <v>46447</v>
          </cell>
          <cell r="AF11">
            <v>7</v>
          </cell>
          <cell r="AG11">
            <v>56912558.27955547</v>
          </cell>
          <cell r="AH11">
            <v>-99876.711587621714</v>
          </cell>
          <cell r="AI11">
            <v>-234237.95792947395</v>
          </cell>
          <cell r="AJ11">
            <v>334114.66951709567</v>
          </cell>
          <cell r="AK11">
            <v>56812681.567967847</v>
          </cell>
          <cell r="AT11">
            <v>50100</v>
          </cell>
          <cell r="AU11">
            <v>7</v>
          </cell>
          <cell r="AV11">
            <v>0</v>
          </cell>
        </row>
        <row r="12">
          <cell r="A12">
            <v>1</v>
          </cell>
          <cell r="B12">
            <v>42614</v>
          </cell>
          <cell r="C12">
            <v>42948</v>
          </cell>
          <cell r="D12">
            <v>1095274.7258118491</v>
          </cell>
          <cell r="E12">
            <v>1471074.6366189634</v>
          </cell>
          <cell r="F12">
            <v>-41739725.274188146</v>
          </cell>
          <cell r="AE12">
            <v>46478</v>
          </cell>
          <cell r="AF12">
            <v>8</v>
          </cell>
          <cell r="AG12">
            <v>56812681.567967847</v>
          </cell>
          <cell r="AH12">
            <v>-100287.77933214445</v>
          </cell>
          <cell r="AI12">
            <v>-233826.89018495122</v>
          </cell>
          <cell r="AJ12">
            <v>334114.66951709567</v>
          </cell>
          <cell r="AK12">
            <v>56712393.788635701</v>
          </cell>
          <cell r="AT12">
            <v>50131</v>
          </cell>
          <cell r="AU12">
            <v>8</v>
          </cell>
          <cell r="AV12">
            <v>0</v>
          </cell>
        </row>
        <row r="13">
          <cell r="A13">
            <v>2</v>
          </cell>
          <cell r="B13">
            <v>42979</v>
          </cell>
          <cell r="C13">
            <v>43313</v>
          </cell>
          <cell r="D13">
            <v>1133944.7691000437</v>
          </cell>
          <cell r="E13">
            <v>1432404.5933307686</v>
          </cell>
          <cell r="F13">
            <v>-40605780.505088106</v>
          </cell>
          <cell r="AE13">
            <v>46508</v>
          </cell>
          <cell r="AF13">
            <v>9</v>
          </cell>
          <cell r="AG13">
            <v>56712393.788635701</v>
          </cell>
          <cell r="AH13">
            <v>-100700.53892943144</v>
          </cell>
          <cell r="AI13">
            <v>-233414.13058766423</v>
          </cell>
          <cell r="AJ13">
            <v>334114.66951709567</v>
          </cell>
          <cell r="AK13">
            <v>56611693.249706268</v>
          </cell>
          <cell r="AT13">
            <v>50161</v>
          </cell>
          <cell r="AU13">
            <v>9</v>
          </cell>
          <cell r="AV13">
            <v>0</v>
          </cell>
        </row>
        <row r="14">
          <cell r="A14">
            <v>3</v>
          </cell>
          <cell r="B14">
            <v>43344</v>
          </cell>
          <cell r="C14">
            <v>43678</v>
          </cell>
          <cell r="D14">
            <v>1173980.1066040823</v>
          </cell>
          <cell r="E14">
            <v>1392369.2558267298</v>
          </cell>
          <cell r="F14">
            <v>-39431800.398484021</v>
          </cell>
          <cell r="AE14">
            <v>46539</v>
          </cell>
          <cell r="AF14">
            <v>10</v>
          </cell>
          <cell r="AG14">
            <v>56611693.249706268</v>
          </cell>
          <cell r="AH14">
            <v>-101114.9973427286</v>
          </cell>
          <cell r="AI14">
            <v>-232999.67217436706</v>
          </cell>
          <cell r="AJ14">
            <v>334114.66951709567</v>
          </cell>
          <cell r="AK14">
            <v>56510578.25236354</v>
          </cell>
          <cell r="AT14">
            <v>50192</v>
          </cell>
          <cell r="AU14">
            <v>10</v>
          </cell>
          <cell r="AV14">
            <v>0</v>
          </cell>
        </row>
        <row r="15">
          <cell r="A15">
            <v>4</v>
          </cell>
          <cell r="B15">
            <v>43709</v>
          </cell>
          <cell r="C15">
            <v>44044</v>
          </cell>
          <cell r="D15">
            <v>1215428.9417428724</v>
          </cell>
          <cell r="E15">
            <v>1350920.4206879397</v>
          </cell>
          <cell r="F15">
            <v>-38216371.456741147</v>
          </cell>
          <cell r="AE15">
            <v>46569</v>
          </cell>
          <cell r="AF15">
            <v>11</v>
          </cell>
          <cell r="AG15">
            <v>56510578.25236354</v>
          </cell>
          <cell r="AH15">
            <v>-101531.16156394078</v>
          </cell>
          <cell r="AI15">
            <v>-232583.50795315488</v>
          </cell>
          <cell r="AJ15">
            <v>334114.66951709567</v>
          </cell>
          <cell r="AK15">
            <v>56409047.0907996</v>
          </cell>
          <cell r="AT15">
            <v>50222</v>
          </cell>
          <cell r="AU15">
            <v>11</v>
          </cell>
          <cell r="AV15">
            <v>0</v>
          </cell>
        </row>
        <row r="16">
          <cell r="A16">
            <v>5</v>
          </cell>
          <cell r="B16">
            <v>44075</v>
          </cell>
          <cell r="C16">
            <v>44409</v>
          </cell>
          <cell r="D16">
            <v>1258341.1798172817</v>
          </cell>
          <cell r="E16">
            <v>1308008.1826135304</v>
          </cell>
          <cell r="F16">
            <v>-36958030.276923873</v>
          </cell>
          <cell r="AE16">
            <v>46600</v>
          </cell>
          <cell r="AF16">
            <v>12</v>
          </cell>
          <cell r="AG16">
            <v>56409047.0907996</v>
          </cell>
          <cell r="AH16">
            <v>-101949.03861374984</v>
          </cell>
          <cell r="AI16">
            <v>-232165.63090334582</v>
          </cell>
          <cell r="AJ16">
            <v>334114.66951709567</v>
          </cell>
          <cell r="AK16">
            <v>56307098.052185848</v>
          </cell>
          <cell r="AT16">
            <v>50253</v>
          </cell>
          <cell r="AU16">
            <v>12</v>
          </cell>
          <cell r="AV16">
            <v>0</v>
          </cell>
        </row>
        <row r="17">
          <cell r="A17">
            <v>6</v>
          </cell>
          <cell r="B17">
            <v>44440</v>
          </cell>
          <cell r="C17">
            <v>44774</v>
          </cell>
          <cell r="D17">
            <v>1302768.488097206</v>
          </cell>
          <cell r="E17">
            <v>1263580.8743336066</v>
          </cell>
          <cell r="F17">
            <v>-35655261.788826674</v>
          </cell>
          <cell r="AE17">
            <v>46631</v>
          </cell>
          <cell r="AF17">
            <v>13</v>
          </cell>
          <cell r="AG17">
            <v>56307098.052185848</v>
          </cell>
          <cell r="AH17">
            <v>-102368.63554173286</v>
          </cell>
          <cell r="AI17">
            <v>-231746.03397536281</v>
          </cell>
          <cell r="AJ17">
            <v>334114.66951709567</v>
          </cell>
          <cell r="AK17">
            <v>56204729.416644119</v>
          </cell>
          <cell r="AT17">
            <v>50284</v>
          </cell>
          <cell r="AU17">
            <v>13</v>
          </cell>
          <cell r="AV17">
            <v>0</v>
          </cell>
        </row>
        <row r="18">
          <cell r="A18">
            <v>7</v>
          </cell>
          <cell r="B18">
            <v>44805</v>
          </cell>
          <cell r="C18">
            <v>45139</v>
          </cell>
          <cell r="D18">
            <v>1348764.3580300878</v>
          </cell>
          <cell r="E18">
            <v>1217585.0044007245</v>
          </cell>
          <cell r="F18">
            <v>-34306497.430796586</v>
          </cell>
          <cell r="AE18">
            <v>46661</v>
          </cell>
          <cell r="AF18">
            <v>14</v>
          </cell>
          <cell r="AG18">
            <v>56204729.416644119</v>
          </cell>
          <cell r="AH18">
            <v>-102789.95942648148</v>
          </cell>
          <cell r="AI18">
            <v>-231324.71009061419</v>
          </cell>
          <cell r="AJ18">
            <v>334114.66951709567</v>
          </cell>
          <cell r="AK18">
            <v>56101939.457217634</v>
          </cell>
          <cell r="AT18">
            <v>50314</v>
          </cell>
          <cell r="AU18">
            <v>14</v>
          </cell>
          <cell r="AV18">
            <v>0</v>
          </cell>
        </row>
        <row r="19">
          <cell r="A19">
            <v>8</v>
          </cell>
          <cell r="B19">
            <v>45170</v>
          </cell>
          <cell r="C19">
            <v>45505</v>
          </cell>
          <cell r="D19">
            <v>1396384.1696457874</v>
          </cell>
          <cell r="E19">
            <v>1169965.1927850244</v>
          </cell>
          <cell r="F19">
            <v>-32910113.261150792</v>
          </cell>
          <cell r="AE19">
            <v>46692</v>
          </cell>
          <cell r="AF19">
            <v>15</v>
          </cell>
          <cell r="AG19">
            <v>56101939.457217634</v>
          </cell>
          <cell r="AH19">
            <v>-103213.01737572081</v>
          </cell>
          <cell r="AI19">
            <v>-230901.65214137486</v>
          </cell>
          <cell r="AJ19">
            <v>334114.66951709567</v>
          </cell>
          <cell r="AK19">
            <v>55998726.439841911</v>
          </cell>
          <cell r="AT19">
            <v>50345</v>
          </cell>
          <cell r="AU19">
            <v>15</v>
          </cell>
          <cell r="AV19">
            <v>0</v>
          </cell>
        </row>
        <row r="20">
          <cell r="A20">
            <v>9</v>
          </cell>
          <cell r="B20">
            <v>45536</v>
          </cell>
          <cell r="C20">
            <v>45870</v>
          </cell>
          <cell r="D20">
            <v>1445685.258235344</v>
          </cell>
          <cell r="E20">
            <v>1120664.1041954681</v>
          </cell>
          <cell r="F20">
            <v>-31464428.002915449</v>
          </cell>
          <cell r="AE20">
            <v>46722</v>
          </cell>
          <cell r="AF20">
            <v>16</v>
          </cell>
          <cell r="AG20">
            <v>55998726.439841911</v>
          </cell>
          <cell r="AH20">
            <v>-103637.81652642973</v>
          </cell>
          <cell r="AI20">
            <v>-230476.85299066594</v>
          </cell>
          <cell r="AJ20">
            <v>334114.66951709567</v>
          </cell>
          <cell r="AK20">
            <v>55895088.623315483</v>
          </cell>
          <cell r="AT20">
            <v>50375</v>
          </cell>
          <cell r="AU20">
            <v>16</v>
          </cell>
          <cell r="AV20">
            <v>0</v>
          </cell>
        </row>
        <row r="21">
          <cell r="A21">
            <v>10</v>
          </cell>
          <cell r="B21">
            <v>45901</v>
          </cell>
          <cell r="C21">
            <v>46235</v>
          </cell>
          <cell r="D21">
            <v>1496726.9833839159</v>
          </cell>
          <cell r="E21">
            <v>1069622.3790468965</v>
          </cell>
          <cell r="F21">
            <v>-29967701.019531537</v>
          </cell>
          <cell r="AE21">
            <v>46753</v>
          </cell>
          <cell r="AF21">
            <v>17</v>
          </cell>
          <cell r="AG21">
            <v>55895088.623315483</v>
          </cell>
          <cell r="AH21">
            <v>-104064.36404496117</v>
          </cell>
          <cell r="AI21">
            <v>-230050.3054721345</v>
          </cell>
          <cell r="AJ21">
            <v>334114.66951709567</v>
          </cell>
          <cell r="AK21">
            <v>55791024.259270519</v>
          </cell>
          <cell r="AT21">
            <v>50406</v>
          </cell>
          <cell r="AU21">
            <v>17</v>
          </cell>
          <cell r="AV21">
            <v>0</v>
          </cell>
        </row>
        <row r="22">
          <cell r="A22">
            <v>11</v>
          </cell>
          <cell r="B22">
            <v>46266</v>
          </cell>
          <cell r="C22">
            <v>46600</v>
          </cell>
          <cell r="D22">
            <v>-1196181.9478141426</v>
          </cell>
          <cell r="E22">
            <v>-2813194.0863910057</v>
          </cell>
          <cell r="F22">
            <v>-86274799.071717381</v>
          </cell>
          <cell r="AE22">
            <v>46784</v>
          </cell>
          <cell r="AF22">
            <v>18</v>
          </cell>
          <cell r="AG22">
            <v>55791024.259270519</v>
          </cell>
          <cell r="AH22">
            <v>-104492.66712716297</v>
          </cell>
          <cell r="AI22">
            <v>-229622.00238993269</v>
          </cell>
          <cell r="AJ22">
            <v>334114.66951709567</v>
          </cell>
          <cell r="AK22">
            <v>55686531.592143357</v>
          </cell>
          <cell r="AT22">
            <v>50437</v>
          </cell>
          <cell r="AU22">
            <v>18</v>
          </cell>
          <cell r="AV22">
            <v>0</v>
          </cell>
        </row>
        <row r="23">
          <cell r="A23">
            <v>12</v>
          </cell>
          <cell r="B23">
            <v>46631</v>
          </cell>
          <cell r="C23">
            <v>46966</v>
          </cell>
          <cell r="D23">
            <v>-1256616.0532630384</v>
          </cell>
          <cell r="E23">
            <v>-2752759.9809421096</v>
          </cell>
          <cell r="F23">
            <v>-85018183.018454343</v>
          </cell>
          <cell r="AE23">
            <v>46813</v>
          </cell>
          <cell r="AF23">
            <v>19</v>
          </cell>
          <cell r="AG23">
            <v>55686531.592143357</v>
          </cell>
          <cell r="AH23">
            <v>-104922.73299849918</v>
          </cell>
          <cell r="AI23">
            <v>-229191.93651859649</v>
          </cell>
          <cell r="AJ23">
            <v>334114.66951709567</v>
          </cell>
          <cell r="AK23">
            <v>55581608.859144859</v>
          </cell>
          <cell r="AT23">
            <v>50465</v>
          </cell>
          <cell r="AU23">
            <v>19</v>
          </cell>
          <cell r="AV23">
            <v>0</v>
          </cell>
        </row>
        <row r="24">
          <cell r="A24">
            <v>13</v>
          </cell>
          <cell r="B24">
            <v>46997</v>
          </cell>
          <cell r="C24">
            <v>47331</v>
          </cell>
          <cell r="D24">
            <v>-1320103.4409555614</v>
          </cell>
          <cell r="E24">
            <v>-2689272.5932495869</v>
          </cell>
          <cell r="F24">
            <v>-83698079.577498794</v>
          </cell>
          <cell r="AE24">
            <v>46844</v>
          </cell>
          <cell r="AF24">
            <v>20</v>
          </cell>
          <cell r="AG24">
            <v>55581608.859144859</v>
          </cell>
          <cell r="AH24">
            <v>-105354.56891417221</v>
          </cell>
          <cell r="AI24">
            <v>-228760.10060292346</v>
          </cell>
          <cell r="AJ24">
            <v>334114.66951709567</v>
          </cell>
          <cell r="AK24">
            <v>55476254.290230684</v>
          </cell>
          <cell r="AT24">
            <v>50496</v>
          </cell>
          <cell r="AU24">
            <v>20</v>
          </cell>
          <cell r="AV24">
            <v>0</v>
          </cell>
        </row>
        <row r="25">
          <cell r="A25">
            <v>14</v>
          </cell>
          <cell r="B25">
            <v>47362</v>
          </cell>
          <cell r="C25">
            <v>47696</v>
          </cell>
          <cell r="D25">
            <v>-1386798.3703514985</v>
          </cell>
          <cell r="E25">
            <v>-2622577.663853649</v>
          </cell>
          <cell r="F25">
            <v>-82311281.2071473</v>
          </cell>
          <cell r="AE25">
            <v>46874</v>
          </cell>
          <cell r="AF25">
            <v>21</v>
          </cell>
          <cell r="AG25">
            <v>55476254.290230684</v>
          </cell>
          <cell r="AH25">
            <v>-105788.18215924507</v>
          </cell>
          <cell r="AI25">
            <v>-228326.48735785059</v>
          </cell>
          <cell r="AJ25">
            <v>334114.66951709567</v>
          </cell>
          <cell r="AK25">
            <v>55370466.108071439</v>
          </cell>
          <cell r="AT25">
            <v>50526</v>
          </cell>
          <cell r="AU25">
            <v>21</v>
          </cell>
          <cell r="AV25">
            <v>0</v>
          </cell>
        </row>
        <row r="26">
          <cell r="A26">
            <v>15</v>
          </cell>
          <cell r="B26">
            <v>47727</v>
          </cell>
          <cell r="C26">
            <v>48061</v>
          </cell>
          <cell r="D26">
            <v>-1456862.8944845789</v>
          </cell>
          <cell r="E26">
            <v>-2552513.1397205694</v>
          </cell>
          <cell r="F26">
            <v>-80854418.312662721</v>
          </cell>
          <cell r="AE26">
            <v>46905</v>
          </cell>
          <cell r="AF26">
            <v>22</v>
          </cell>
          <cell r="AG26">
            <v>55370466.108071439</v>
          </cell>
          <cell r="AH26">
            <v>-106223.58004876418</v>
          </cell>
          <cell r="AI26">
            <v>-227891.08946833148</v>
          </cell>
          <cell r="AJ26">
            <v>334114.66951709567</v>
          </cell>
          <cell r="AK26">
            <v>55264242.528022677</v>
          </cell>
          <cell r="AT26">
            <v>50557</v>
          </cell>
          <cell r="AU26">
            <v>22</v>
          </cell>
          <cell r="AV26">
            <v>0</v>
          </cell>
        </row>
        <row r="27">
          <cell r="A27">
            <v>16</v>
          </cell>
          <cell r="B27">
            <v>48092</v>
          </cell>
          <cell r="C27">
            <v>48427</v>
          </cell>
          <cell r="D27">
            <v>-1530467.2537133344</v>
          </cell>
          <cell r="E27">
            <v>-2478908.7804918136</v>
          </cell>
          <cell r="F27">
            <v>-79323951.058949381</v>
          </cell>
          <cell r="AE27">
            <v>46935</v>
          </cell>
          <cell r="AF27">
            <v>23</v>
          </cell>
          <cell r="AG27">
            <v>55264242.528022677</v>
          </cell>
          <cell r="AH27">
            <v>-106660.769927883</v>
          </cell>
          <cell r="AI27">
            <v>-227453.89958921267</v>
          </cell>
          <cell r="AJ27">
            <v>334114.66951709567</v>
          </cell>
          <cell r="AK27">
            <v>55157581.758094795</v>
          </cell>
          <cell r="AT27">
            <v>50587</v>
          </cell>
          <cell r="AU27">
            <v>23</v>
          </cell>
          <cell r="AV27">
            <v>0</v>
          </cell>
        </row>
        <row r="28">
          <cell r="A28">
            <v>17</v>
          </cell>
          <cell r="B28">
            <v>48458</v>
          </cell>
          <cell r="C28">
            <v>48792</v>
          </cell>
          <cell r="D28">
            <v>-1607790.2893652362</v>
          </cell>
          <cell r="E28">
            <v>-2401585.7448399118</v>
          </cell>
          <cell r="F28">
            <v>-77716160.769584149</v>
          </cell>
          <cell r="AE28">
            <v>46966</v>
          </cell>
          <cell r="AF28">
            <v>24</v>
          </cell>
          <cell r="AG28">
            <v>55157581.758094795</v>
          </cell>
          <cell r="AH28">
            <v>-107099.75917198567</v>
          </cell>
          <cell r="AI28">
            <v>-227014.91034510999</v>
          </cell>
          <cell r="AJ28">
            <v>334114.66951709567</v>
          </cell>
          <cell r="AK28">
            <v>55050481.99892281</v>
          </cell>
          <cell r="AT28">
            <v>50618</v>
          </cell>
          <cell r="AU28">
            <v>24</v>
          </cell>
          <cell r="AV28">
            <v>0</v>
          </cell>
        </row>
        <row r="29">
          <cell r="A29">
            <v>18</v>
          </cell>
          <cell r="B29">
            <v>48823</v>
          </cell>
          <cell r="C29">
            <v>49157</v>
          </cell>
          <cell r="D29">
            <v>-1689019.8782791684</v>
          </cell>
          <cell r="E29">
            <v>-2320356.1559259798</v>
          </cell>
          <cell r="F29">
            <v>-76027140.89130497</v>
          </cell>
          <cell r="AE29">
            <v>46997</v>
          </cell>
          <cell r="AF29">
            <v>25</v>
          </cell>
          <cell r="AG29">
            <v>55050481.99892281</v>
          </cell>
          <cell r="AH29">
            <v>-107540.55518681178</v>
          </cell>
          <cell r="AI29">
            <v>-226574.11433028389</v>
          </cell>
          <cell r="AJ29">
            <v>334114.66951709567</v>
          </cell>
          <cell r="AK29">
            <v>54942941.443736002</v>
          </cell>
          <cell r="AT29">
            <v>50649</v>
          </cell>
          <cell r="AU29">
            <v>25</v>
          </cell>
          <cell r="AV29">
            <v>0</v>
          </cell>
        </row>
        <row r="30">
          <cell r="A30">
            <v>19</v>
          </cell>
          <cell r="B30">
            <v>49188</v>
          </cell>
          <cell r="C30">
            <v>49522</v>
          </cell>
          <cell r="D30">
            <v>-1774353.3893020784</v>
          </cell>
          <cell r="E30">
            <v>-2235022.6449030698</v>
          </cell>
          <cell r="F30">
            <v>-74252787.50200288</v>
          </cell>
          <cell r="AE30">
            <v>47027</v>
          </cell>
          <cell r="AF30">
            <v>26</v>
          </cell>
          <cell r="AG30">
            <v>54942941.443736002</v>
          </cell>
          <cell r="AH30">
            <v>-107983.16540858088</v>
          </cell>
          <cell r="AI30">
            <v>-226131.50410851478</v>
          </cell>
          <cell r="AJ30">
            <v>334114.66951709567</v>
          </cell>
          <cell r="AK30">
            <v>54834958.27832742</v>
          </cell>
          <cell r="AT30">
            <v>50679</v>
          </cell>
          <cell r="AU30">
            <v>26</v>
          </cell>
          <cell r="AV30">
            <v>0</v>
          </cell>
        </row>
        <row r="31">
          <cell r="A31">
            <v>20</v>
          </cell>
          <cell r="B31">
            <v>49553</v>
          </cell>
          <cell r="C31">
            <v>49888</v>
          </cell>
          <cell r="D31">
            <v>-1863998.1628489774</v>
          </cell>
          <cell r="E31">
            <v>-2145377.8713561706</v>
          </cell>
          <cell r="F31">
            <v>-72388789.339153901</v>
          </cell>
          <cell r="AE31">
            <v>47058</v>
          </cell>
          <cell r="AF31">
            <v>27</v>
          </cell>
          <cell r="AG31">
            <v>54834958.27832742</v>
          </cell>
          <cell r="AH31">
            <v>-108427.59730411824</v>
          </cell>
          <cell r="AI31">
            <v>-225687.07221297742</v>
          </cell>
          <cell r="AJ31">
            <v>334114.66951709567</v>
          </cell>
          <cell r="AK31">
            <v>54726530.6810233</v>
          </cell>
          <cell r="AT31">
            <v>50710</v>
          </cell>
          <cell r="AU31">
            <v>27</v>
          </cell>
          <cell r="AV31">
            <v>0</v>
          </cell>
        </row>
        <row r="32">
          <cell r="A32">
            <v>21</v>
          </cell>
          <cell r="B32">
            <v>49919</v>
          </cell>
          <cell r="C32">
            <v>50253</v>
          </cell>
          <cell r="D32">
            <v>-1958172.0146915121</v>
          </cell>
          <cell r="E32">
            <v>-2051204.0195136359</v>
          </cell>
          <cell r="F32">
            <v>-70430617.324462399</v>
          </cell>
          <cell r="AE32">
            <v>47088</v>
          </cell>
          <cell r="AF32">
            <v>28</v>
          </cell>
          <cell r="AG32">
            <v>54726530.6810233</v>
          </cell>
          <cell r="AH32">
            <v>-108873.85837098092</v>
          </cell>
          <cell r="AI32">
            <v>-225240.81114611475</v>
          </cell>
          <cell r="AJ32">
            <v>334114.66951709567</v>
          </cell>
          <cell r="AK32">
            <v>54617656.822652318</v>
          </cell>
          <cell r="AT32">
            <v>50740</v>
          </cell>
          <cell r="AU32">
            <v>28</v>
          </cell>
          <cell r="AV32">
            <v>0</v>
          </cell>
        </row>
        <row r="33">
          <cell r="AE33">
            <v>47119</v>
          </cell>
          <cell r="AF33">
            <v>29</v>
          </cell>
          <cell r="AG33">
            <v>54617656.822652318</v>
          </cell>
          <cell r="AH33">
            <v>-109321.95613758371</v>
          </cell>
          <cell r="AI33">
            <v>-224792.71337951196</v>
          </cell>
          <cell r="AJ33">
            <v>334114.66951709567</v>
          </cell>
          <cell r="AK33">
            <v>54508334.866514735</v>
          </cell>
          <cell r="AT33">
            <v>50771</v>
          </cell>
          <cell r="AU33">
            <v>29</v>
          </cell>
          <cell r="AV33">
            <v>0</v>
          </cell>
        </row>
        <row r="34">
          <cell r="AE34">
            <v>47150</v>
          </cell>
          <cell r="AF34">
            <v>30</v>
          </cell>
          <cell r="AG34">
            <v>54508334.866514735</v>
          </cell>
          <cell r="AH34">
            <v>-109771.89816332675</v>
          </cell>
          <cell r="AI34">
            <v>-224342.77135376891</v>
          </cell>
          <cell r="AJ34">
            <v>334114.66951709567</v>
          </cell>
          <cell r="AK34">
            <v>54398562.968351409</v>
          </cell>
          <cell r="AT34">
            <v>50802</v>
          </cell>
          <cell r="AU34">
            <v>30</v>
          </cell>
          <cell r="AV34">
            <v>0</v>
          </cell>
        </row>
        <row r="35">
          <cell r="AE35">
            <v>47178</v>
          </cell>
          <cell r="AF35">
            <v>31</v>
          </cell>
          <cell r="AG35">
            <v>54398562.968351409</v>
          </cell>
          <cell r="AH35">
            <v>-110223.6920387228</v>
          </cell>
          <cell r="AI35">
            <v>-223890.97747837286</v>
          </cell>
          <cell r="AJ35">
            <v>334114.66951709567</v>
          </cell>
          <cell r="AK35">
            <v>54288339.276312687</v>
          </cell>
          <cell r="AT35">
            <v>50830</v>
          </cell>
          <cell r="AU35">
            <v>31</v>
          </cell>
          <cell r="AV35">
            <v>0</v>
          </cell>
        </row>
        <row r="36">
          <cell r="AE36">
            <v>47209</v>
          </cell>
          <cell r="AF36">
            <v>32</v>
          </cell>
          <cell r="AG36">
            <v>54288339.276312687</v>
          </cell>
          <cell r="AH36">
            <v>-110677.34538552497</v>
          </cell>
          <cell r="AI36">
            <v>-223437.3241315707</v>
          </cell>
          <cell r="AJ36">
            <v>334114.66951709567</v>
          </cell>
          <cell r="AK36">
            <v>54177661.930927165</v>
          </cell>
          <cell r="AT36">
            <v>50861</v>
          </cell>
          <cell r="AU36">
            <v>32</v>
          </cell>
          <cell r="AV36">
            <v>0</v>
          </cell>
        </row>
        <row r="37">
          <cell r="AE37">
            <v>47239</v>
          </cell>
          <cell r="AF37">
            <v>33</v>
          </cell>
          <cell r="AG37">
            <v>54177661.930927165</v>
          </cell>
          <cell r="AH37">
            <v>-111132.86585685608</v>
          </cell>
          <cell r="AI37">
            <v>-222981.80366023959</v>
          </cell>
          <cell r="AJ37">
            <v>334114.66951709567</v>
          </cell>
          <cell r="AK37">
            <v>54066529.065070309</v>
          </cell>
          <cell r="AT37">
            <v>50891</v>
          </cell>
          <cell r="AU37">
            <v>33</v>
          </cell>
          <cell r="AV37">
            <v>0</v>
          </cell>
        </row>
        <row r="38">
          <cell r="AE38">
            <v>47270</v>
          </cell>
          <cell r="AF38">
            <v>34</v>
          </cell>
          <cell r="AG38">
            <v>54066529.065070309</v>
          </cell>
          <cell r="AH38">
            <v>-111590.26113733693</v>
          </cell>
          <cell r="AI38">
            <v>-222524.40837975874</v>
          </cell>
          <cell r="AJ38">
            <v>334114.66951709567</v>
          </cell>
          <cell r="AK38">
            <v>53954938.803932972</v>
          </cell>
          <cell r="AT38">
            <v>50922</v>
          </cell>
          <cell r="AU38">
            <v>34</v>
          </cell>
          <cell r="AV38">
            <v>0</v>
          </cell>
        </row>
        <row r="39">
          <cell r="AE39">
            <v>47300</v>
          </cell>
          <cell r="AF39">
            <v>35</v>
          </cell>
          <cell r="AG39">
            <v>53954938.803932972</v>
          </cell>
          <cell r="AH39">
            <v>-112049.5389432165</v>
          </cell>
          <cell r="AI39">
            <v>-222065.13057387917</v>
          </cell>
          <cell r="AJ39">
            <v>334114.66951709567</v>
          </cell>
          <cell r="AK39">
            <v>53842889.264989756</v>
          </cell>
          <cell r="AT39">
            <v>50952</v>
          </cell>
          <cell r="AU39">
            <v>35</v>
          </cell>
          <cell r="AV39">
            <v>0</v>
          </cell>
        </row>
        <row r="40">
          <cell r="AE40">
            <v>47331</v>
          </cell>
          <cell r="AF40">
            <v>36</v>
          </cell>
          <cell r="AG40">
            <v>53842889.264989756</v>
          </cell>
          <cell r="AH40">
            <v>-112510.70702250183</v>
          </cell>
          <cell r="AI40">
            <v>-221603.96249459384</v>
          </cell>
          <cell r="AJ40">
            <v>334114.66951709567</v>
          </cell>
          <cell r="AK40">
            <v>53730378.557967253</v>
          </cell>
          <cell r="AT40">
            <v>50983</v>
          </cell>
          <cell r="AU40">
            <v>36</v>
          </cell>
          <cell r="AV40">
            <v>0</v>
          </cell>
        </row>
        <row r="41">
          <cell r="AE41">
            <v>47362</v>
          </cell>
          <cell r="AF41">
            <v>37</v>
          </cell>
          <cell r="AG41">
            <v>53730378.557967253</v>
          </cell>
          <cell r="AH41">
            <v>-112973.77315508894</v>
          </cell>
          <cell r="AI41">
            <v>-221140.89636200672</v>
          </cell>
          <cell r="AJ41">
            <v>334114.66951709567</v>
          </cell>
          <cell r="AK41">
            <v>53617404.784812167</v>
          </cell>
          <cell r="AT41">
            <v>51014</v>
          </cell>
          <cell r="AU41">
            <v>37</v>
          </cell>
          <cell r="AV41">
            <v>0</v>
          </cell>
        </row>
        <row r="42">
          <cell r="AE42">
            <v>47392</v>
          </cell>
          <cell r="AF42">
            <v>38</v>
          </cell>
          <cell r="AG42">
            <v>53617404.784812167</v>
          </cell>
          <cell r="AH42">
            <v>-113438.74515289388</v>
          </cell>
          <cell r="AI42">
            <v>-220675.92436420178</v>
          </cell>
          <cell r="AJ42">
            <v>334114.66951709567</v>
          </cell>
          <cell r="AK42">
            <v>53503966.039659277</v>
          </cell>
          <cell r="AT42">
            <v>51044</v>
          </cell>
          <cell r="AU42">
            <v>38</v>
          </cell>
          <cell r="AV42">
            <v>0</v>
          </cell>
        </row>
        <row r="43">
          <cell r="AE43">
            <v>47423</v>
          </cell>
          <cell r="AF43">
            <v>39</v>
          </cell>
          <cell r="AG43">
            <v>53503966.039659277</v>
          </cell>
          <cell r="AH43">
            <v>-113905.63085998467</v>
          </cell>
          <cell r="AI43">
            <v>-220209.038657111</v>
          </cell>
          <cell r="AJ43">
            <v>334114.66951709567</v>
          </cell>
          <cell r="AK43">
            <v>53390060.408799291</v>
          </cell>
          <cell r="AT43">
            <v>51075</v>
          </cell>
          <cell r="AU43">
            <v>39</v>
          </cell>
          <cell r="AV43">
            <v>0</v>
          </cell>
        </row>
        <row r="44">
          <cell r="AE44">
            <v>47453</v>
          </cell>
          <cell r="AF44">
            <v>40</v>
          </cell>
          <cell r="AG44">
            <v>53390060.408799291</v>
          </cell>
          <cell r="AH44">
            <v>-114374.43815271356</v>
          </cell>
          <cell r="AI44">
            <v>-219740.23136438211</v>
          </cell>
          <cell r="AJ44">
            <v>334114.66951709567</v>
          </cell>
          <cell r="AK44">
            <v>53275685.970646575</v>
          </cell>
          <cell r="AT44">
            <v>51105</v>
          </cell>
          <cell r="AU44">
            <v>40</v>
          </cell>
          <cell r="AV44">
            <v>0</v>
          </cell>
        </row>
        <row r="45">
          <cell r="AE45">
            <v>47484</v>
          </cell>
          <cell r="AF45">
            <v>41</v>
          </cell>
          <cell r="AG45">
            <v>53275685.970646575</v>
          </cell>
          <cell r="AH45">
            <v>-114845.17493984979</v>
          </cell>
          <cell r="AI45">
            <v>-219269.49457724587</v>
          </cell>
          <cell r="AJ45">
            <v>334114.66951709567</v>
          </cell>
          <cell r="AK45">
            <v>53160840.795706727</v>
          </cell>
          <cell r="AT45">
            <v>51136</v>
          </cell>
          <cell r="AU45">
            <v>41</v>
          </cell>
          <cell r="AV45">
            <v>0</v>
          </cell>
        </row>
        <row r="46">
          <cell r="AE46">
            <v>47515</v>
          </cell>
          <cell r="AF46">
            <v>42</v>
          </cell>
          <cell r="AG46">
            <v>53160840.795706727</v>
          </cell>
          <cell r="AH46">
            <v>-115317.8491627133</v>
          </cell>
          <cell r="AI46">
            <v>-218796.82035438236</v>
          </cell>
          <cell r="AJ46">
            <v>334114.66951709567</v>
          </cell>
          <cell r="AK46">
            <v>53045522.946544014</v>
          </cell>
          <cell r="AT46">
            <v>51167</v>
          </cell>
          <cell r="AU46">
            <v>42</v>
          </cell>
          <cell r="AV46">
            <v>0</v>
          </cell>
        </row>
        <row r="47">
          <cell r="AE47">
            <v>47543</v>
          </cell>
          <cell r="AF47">
            <v>43</v>
          </cell>
          <cell r="AG47">
            <v>53045522.946544014</v>
          </cell>
          <cell r="AH47">
            <v>-115792.46879530841</v>
          </cell>
          <cell r="AI47">
            <v>-218322.20072178726</v>
          </cell>
          <cell r="AJ47">
            <v>334114.66951709567</v>
          </cell>
          <cell r="AK47">
            <v>52929730.477748707</v>
          </cell>
          <cell r="AT47">
            <v>51196</v>
          </cell>
          <cell r="AU47">
            <v>43</v>
          </cell>
          <cell r="AV47">
            <v>0</v>
          </cell>
        </row>
        <row r="48">
          <cell r="AE48">
            <v>47574</v>
          </cell>
          <cell r="AF48">
            <v>44</v>
          </cell>
          <cell r="AG48">
            <v>52929730.477748707</v>
          </cell>
          <cell r="AH48">
            <v>-116269.04184445867</v>
          </cell>
          <cell r="AI48">
            <v>-217845.627672637</v>
          </cell>
          <cell r="AJ48">
            <v>334114.66951709567</v>
          </cell>
          <cell r="AK48">
            <v>52813461.43590425</v>
          </cell>
          <cell r="AT48">
            <v>51227</v>
          </cell>
          <cell r="AU48">
            <v>44</v>
          </cell>
          <cell r="AV48">
            <v>0</v>
          </cell>
        </row>
        <row r="49">
          <cell r="AE49">
            <v>47604</v>
          </cell>
          <cell r="AF49">
            <v>45</v>
          </cell>
          <cell r="AG49">
            <v>52813461.43590425</v>
          </cell>
          <cell r="AH49">
            <v>-116747.57634994137</v>
          </cell>
          <cell r="AI49">
            <v>-217367.09316715429</v>
          </cell>
          <cell r="AJ49">
            <v>334114.66951709567</v>
          </cell>
          <cell r="AK49">
            <v>52696713.859554306</v>
          </cell>
          <cell r="AT49">
            <v>51257</v>
          </cell>
          <cell r="AU49">
            <v>45</v>
          </cell>
          <cell r="AV49">
            <v>0</v>
          </cell>
        </row>
        <row r="50">
          <cell r="AE50">
            <v>47635</v>
          </cell>
          <cell r="AF50">
            <v>46</v>
          </cell>
          <cell r="AG50">
            <v>52696713.859554306</v>
          </cell>
          <cell r="AH50">
            <v>-117228.08038462378</v>
          </cell>
          <cell r="AI50">
            <v>-216886.58913247188</v>
          </cell>
          <cell r="AJ50">
            <v>334114.66951709567</v>
          </cell>
          <cell r="AK50">
            <v>52579485.779169679</v>
          </cell>
          <cell r="AT50">
            <v>51288</v>
          </cell>
          <cell r="AU50">
            <v>46</v>
          </cell>
          <cell r="AV50">
            <v>0</v>
          </cell>
        </row>
        <row r="51">
          <cell r="AE51">
            <v>47665</v>
          </cell>
          <cell r="AF51">
            <v>47</v>
          </cell>
          <cell r="AG51">
            <v>52579485.779169679</v>
          </cell>
          <cell r="AH51">
            <v>-117710.56205459908</v>
          </cell>
          <cell r="AI51">
            <v>-216404.10746249658</v>
          </cell>
          <cell r="AJ51">
            <v>334114.66951709567</v>
          </cell>
          <cell r="AK51">
            <v>52461775.217115082</v>
          </cell>
          <cell r="AT51">
            <v>51318</v>
          </cell>
          <cell r="AU51">
            <v>47</v>
          </cell>
          <cell r="AV51">
            <v>0</v>
          </cell>
        </row>
        <row r="52">
          <cell r="AE52">
            <v>47696</v>
          </cell>
          <cell r="AF52">
            <v>48</v>
          </cell>
          <cell r="AG52">
            <v>52461775.217115082</v>
          </cell>
          <cell r="AH52">
            <v>-118195.02949932305</v>
          </cell>
          <cell r="AI52">
            <v>-215919.64001777262</v>
          </cell>
          <cell r="AJ52">
            <v>334114.66951709567</v>
          </cell>
          <cell r="AK52">
            <v>52343580.18761576</v>
          </cell>
          <cell r="AT52">
            <v>51349</v>
          </cell>
          <cell r="AU52">
            <v>48</v>
          </cell>
          <cell r="AV52">
            <v>0</v>
          </cell>
        </row>
        <row r="53">
          <cell r="AE53">
            <v>47727</v>
          </cell>
          <cell r="AF53">
            <v>49</v>
          </cell>
          <cell r="AG53">
            <v>52343580.18761576</v>
          </cell>
          <cell r="AH53">
            <v>-118681.49089175145</v>
          </cell>
          <cell r="AI53">
            <v>-215433.17862534421</v>
          </cell>
          <cell r="AJ53">
            <v>334114.66951709567</v>
          </cell>
          <cell r="AK53">
            <v>52224898.696724005</v>
          </cell>
          <cell r="AT53">
            <v>51380</v>
          </cell>
          <cell r="AU53">
            <v>49</v>
          </cell>
          <cell r="AV53">
            <v>0</v>
          </cell>
        </row>
        <row r="54">
          <cell r="AE54">
            <v>47757</v>
          </cell>
          <cell r="AF54">
            <v>50</v>
          </cell>
          <cell r="AG54">
            <v>52224898.696724005</v>
          </cell>
          <cell r="AH54">
            <v>-119169.9544384779</v>
          </cell>
          <cell r="AI54">
            <v>-214944.71507861777</v>
          </cell>
          <cell r="AJ54">
            <v>334114.66951709567</v>
          </cell>
          <cell r="AK54">
            <v>52105728.742285527</v>
          </cell>
          <cell r="AT54">
            <v>51410</v>
          </cell>
          <cell r="AU54">
            <v>50</v>
          </cell>
          <cell r="AV54">
            <v>0</v>
          </cell>
        </row>
        <row r="55">
          <cell r="AE55">
            <v>47788</v>
          </cell>
          <cell r="AF55">
            <v>51</v>
          </cell>
          <cell r="AG55">
            <v>52105728.742285527</v>
          </cell>
          <cell r="AH55">
            <v>-119660.42837987241</v>
          </cell>
          <cell r="AI55">
            <v>-214454.24113722326</v>
          </cell>
          <cell r="AJ55">
            <v>334114.66951709567</v>
          </cell>
          <cell r="AK55">
            <v>51986068.313905656</v>
          </cell>
          <cell r="AT55">
            <v>51441</v>
          </cell>
          <cell r="AU55">
            <v>51</v>
          </cell>
          <cell r="AV55">
            <v>0</v>
          </cell>
        </row>
        <row r="56">
          <cell r="AE56">
            <v>47818</v>
          </cell>
          <cell r="AF56">
            <v>52</v>
          </cell>
          <cell r="AG56">
            <v>51986068.313905656</v>
          </cell>
          <cell r="AH56">
            <v>-120152.92099022018</v>
          </cell>
          <cell r="AI56">
            <v>-213961.74852687548</v>
          </cell>
          <cell r="AJ56">
            <v>334114.66951709567</v>
          </cell>
          <cell r="AK56">
            <v>51865915.392915435</v>
          </cell>
          <cell r="AT56">
            <v>51471</v>
          </cell>
          <cell r="AU56">
            <v>52</v>
          </cell>
          <cell r="AV56">
            <v>0</v>
          </cell>
        </row>
        <row r="57">
          <cell r="AE57">
            <v>47849</v>
          </cell>
          <cell r="AF57">
            <v>53</v>
          </cell>
          <cell r="AG57">
            <v>51865915.392915435</v>
          </cell>
          <cell r="AH57">
            <v>-120647.44057786139</v>
          </cell>
          <cell r="AI57">
            <v>-213467.22893923428</v>
          </cell>
          <cell r="AJ57">
            <v>334114.66951709567</v>
          </cell>
          <cell r="AK57">
            <v>51745267.95233757</v>
          </cell>
          <cell r="AT57">
            <v>51502</v>
          </cell>
          <cell r="AU57">
            <v>53</v>
          </cell>
          <cell r="AV57">
            <v>0</v>
          </cell>
        </row>
        <row r="58">
          <cell r="AE58">
            <v>47880</v>
          </cell>
          <cell r="AF58">
            <v>54</v>
          </cell>
          <cell r="AG58">
            <v>51745267.95233757</v>
          </cell>
          <cell r="AH58">
            <v>-121143.99548533119</v>
          </cell>
          <cell r="AI58">
            <v>-212970.67403176447</v>
          </cell>
          <cell r="AJ58">
            <v>334114.66951709567</v>
          </cell>
          <cell r="AK58">
            <v>51624123.956852242</v>
          </cell>
          <cell r="AT58">
            <v>51533</v>
          </cell>
          <cell r="AU58">
            <v>54</v>
          </cell>
          <cell r="AV58">
            <v>0</v>
          </cell>
        </row>
        <row r="59">
          <cell r="AE59">
            <v>47908</v>
          </cell>
          <cell r="AF59">
            <v>55</v>
          </cell>
          <cell r="AG59">
            <v>51624123.956852242</v>
          </cell>
          <cell r="AH59">
            <v>-121642.59408950066</v>
          </cell>
          <cell r="AI59">
            <v>-212472.075427595</v>
          </cell>
          <cell r="AJ59">
            <v>334114.66951709567</v>
          </cell>
          <cell r="AK59">
            <v>51502481.362762742</v>
          </cell>
          <cell r="AT59">
            <v>51561</v>
          </cell>
          <cell r="AU59">
            <v>55</v>
          </cell>
          <cell r="AV59">
            <v>0</v>
          </cell>
        </row>
        <row r="60">
          <cell r="AE60">
            <v>47939</v>
          </cell>
          <cell r="AF60">
            <v>56</v>
          </cell>
          <cell r="AG60">
            <v>51502481.362762742</v>
          </cell>
          <cell r="AH60">
            <v>-122143.24480171801</v>
          </cell>
          <cell r="AI60">
            <v>-211971.42471537765</v>
          </cell>
          <cell r="AJ60">
            <v>334114.66951709567</v>
          </cell>
          <cell r="AK60">
            <v>51380338.117961027</v>
          </cell>
          <cell r="AT60">
            <v>51592</v>
          </cell>
          <cell r="AU60">
            <v>56</v>
          </cell>
          <cell r="AV60">
            <v>0</v>
          </cell>
        </row>
        <row r="61">
          <cell r="AE61">
            <v>47969</v>
          </cell>
          <cell r="AF61">
            <v>57</v>
          </cell>
          <cell r="AG61">
            <v>51380338.117961027</v>
          </cell>
          <cell r="AH61">
            <v>-122645.95606795029</v>
          </cell>
          <cell r="AI61">
            <v>-211468.71344914538</v>
          </cell>
          <cell r="AJ61">
            <v>334114.66951709567</v>
          </cell>
          <cell r="AK61">
            <v>51257692.161893077</v>
          </cell>
          <cell r="AT61">
            <v>51622</v>
          </cell>
          <cell r="AU61">
            <v>57</v>
          </cell>
          <cell r="AV61">
            <v>0</v>
          </cell>
        </row>
        <row r="62">
          <cell r="AE62">
            <v>48000</v>
          </cell>
          <cell r="AF62">
            <v>58</v>
          </cell>
          <cell r="AG62">
            <v>51257692.161893077</v>
          </cell>
          <cell r="AH62">
            <v>-123150.73636892618</v>
          </cell>
          <cell r="AI62">
            <v>-210963.93314816948</v>
          </cell>
          <cell r="AJ62">
            <v>334114.66951709567</v>
          </cell>
          <cell r="AK62">
            <v>51134541.425524153</v>
          </cell>
          <cell r="AT62">
            <v>51653</v>
          </cell>
          <cell r="AU62">
            <v>58</v>
          </cell>
          <cell r="AV62">
            <v>0</v>
          </cell>
        </row>
        <row r="63">
          <cell r="AE63">
            <v>48030</v>
          </cell>
          <cell r="AF63">
            <v>59</v>
          </cell>
          <cell r="AG63">
            <v>51134541.425524153</v>
          </cell>
          <cell r="AH63">
            <v>-123657.59422027905</v>
          </cell>
          <cell r="AI63">
            <v>-210457.07529681662</v>
          </cell>
          <cell r="AJ63">
            <v>334114.66951709567</v>
          </cell>
          <cell r="AK63">
            <v>51010883.831303872</v>
          </cell>
          <cell r="AT63">
            <v>51683</v>
          </cell>
          <cell r="AU63">
            <v>59</v>
          </cell>
          <cell r="AV63">
            <v>0</v>
          </cell>
        </row>
        <row r="64">
          <cell r="AE64">
            <v>48061</v>
          </cell>
          <cell r="AF64">
            <v>60</v>
          </cell>
          <cell r="AG64">
            <v>51010883.831303872</v>
          </cell>
          <cell r="AH64">
            <v>-124166.53817269029</v>
          </cell>
          <cell r="AI64">
            <v>-209948.13134440538</v>
          </cell>
          <cell r="AJ64">
            <v>334114.66951709567</v>
          </cell>
          <cell r="AK64">
            <v>50886717.29313118</v>
          </cell>
          <cell r="AT64">
            <v>51714</v>
          </cell>
          <cell r="AU64">
            <v>60</v>
          </cell>
          <cell r="AV64">
            <v>0</v>
          </cell>
        </row>
        <row r="65">
          <cell r="AE65">
            <v>48092</v>
          </cell>
          <cell r="AF65">
            <v>61</v>
          </cell>
          <cell r="AG65">
            <v>50886717.29313118</v>
          </cell>
          <cell r="AH65">
            <v>-124677.57681203377</v>
          </cell>
          <cell r="AI65">
            <v>-209437.09270506189</v>
          </cell>
          <cell r="AJ65">
            <v>334114.66951709567</v>
          </cell>
          <cell r="AK65">
            <v>50762039.716319144</v>
          </cell>
          <cell r="AT65">
            <v>51745</v>
          </cell>
          <cell r="AU65">
            <v>61</v>
          </cell>
          <cell r="AV65">
            <v>0</v>
          </cell>
        </row>
        <row r="66">
          <cell r="AE66">
            <v>48122</v>
          </cell>
          <cell r="AF66">
            <v>62</v>
          </cell>
          <cell r="AG66">
            <v>50762039.716319144</v>
          </cell>
          <cell r="AH66">
            <v>-125190.71875952091</v>
          </cell>
          <cell r="AI66">
            <v>-208923.95075757476</v>
          </cell>
          <cell r="AJ66">
            <v>334114.66951709567</v>
          </cell>
          <cell r="AK66">
            <v>50636848.997559622</v>
          </cell>
          <cell r="AT66">
            <v>51775</v>
          </cell>
          <cell r="AU66">
            <v>62</v>
          </cell>
          <cell r="AV66">
            <v>0</v>
          </cell>
        </row>
        <row r="67">
          <cell r="AE67">
            <v>48153</v>
          </cell>
          <cell r="AF67">
            <v>63</v>
          </cell>
          <cell r="AG67">
            <v>50636848.997559622</v>
          </cell>
          <cell r="AH67">
            <v>-125705.97267184572</v>
          </cell>
          <cell r="AI67">
            <v>-208408.69684524994</v>
          </cell>
          <cell r="AJ67">
            <v>334114.66951709567</v>
          </cell>
          <cell r="AK67">
            <v>50511143.024887778</v>
          </cell>
          <cell r="AT67">
            <v>51806</v>
          </cell>
          <cell r="AU67">
            <v>63</v>
          </cell>
          <cell r="AV67">
            <v>0</v>
          </cell>
        </row>
        <row r="68">
          <cell r="AE68">
            <v>48183</v>
          </cell>
          <cell r="AF68">
            <v>64</v>
          </cell>
          <cell r="AG68">
            <v>50511143.024887778</v>
          </cell>
          <cell r="AH68">
            <v>-126223.34724133095</v>
          </cell>
          <cell r="AI68">
            <v>-207891.32227576472</v>
          </cell>
          <cell r="AJ68">
            <v>334114.66951709567</v>
          </cell>
          <cell r="AK68">
            <v>50384919.677646443</v>
          </cell>
          <cell r="AT68">
            <v>51836</v>
          </cell>
          <cell r="AU68">
            <v>64</v>
          </cell>
          <cell r="AV68">
            <v>0</v>
          </cell>
        </row>
        <row r="69">
          <cell r="AE69">
            <v>48214</v>
          </cell>
          <cell r="AF69">
            <v>65</v>
          </cell>
          <cell r="AG69">
            <v>50384919.677646443</v>
          </cell>
          <cell r="AH69">
            <v>-126742.85119607506</v>
          </cell>
          <cell r="AI69">
            <v>-207371.8183210206</v>
          </cell>
          <cell r="AJ69">
            <v>334114.66951709567</v>
          </cell>
          <cell r="AK69">
            <v>50258176.82645037</v>
          </cell>
          <cell r="AT69">
            <v>51867</v>
          </cell>
          <cell r="AU69">
            <v>65</v>
          </cell>
          <cell r="AV69">
            <v>0</v>
          </cell>
        </row>
        <row r="70">
          <cell r="AE70">
            <v>48245</v>
          </cell>
          <cell r="AF70">
            <v>66</v>
          </cell>
          <cell r="AG70">
            <v>50258176.82645037</v>
          </cell>
          <cell r="AH70">
            <v>-127264.49330009893</v>
          </cell>
          <cell r="AI70">
            <v>-206850.17621699674</v>
          </cell>
          <cell r="AJ70">
            <v>334114.66951709567</v>
          </cell>
          <cell r="AK70">
            <v>50130912.333150268</v>
          </cell>
          <cell r="AT70">
            <v>51898</v>
          </cell>
          <cell r="AU70">
            <v>66</v>
          </cell>
          <cell r="AV70">
            <v>0</v>
          </cell>
        </row>
        <row r="71">
          <cell r="AE71">
            <v>48274</v>
          </cell>
          <cell r="AF71">
            <v>67</v>
          </cell>
          <cell r="AG71">
            <v>50130912.333150268</v>
          </cell>
          <cell r="AH71">
            <v>-127788.28235349408</v>
          </cell>
          <cell r="AI71">
            <v>-206326.38716360158</v>
          </cell>
          <cell r="AJ71">
            <v>334114.66951709567</v>
          </cell>
          <cell r="AK71">
            <v>50003124.050796777</v>
          </cell>
          <cell r="AT71">
            <v>51926</v>
          </cell>
          <cell r="AU71">
            <v>67</v>
          </cell>
          <cell r="AV71">
            <v>0</v>
          </cell>
        </row>
        <row r="72">
          <cell r="AE72">
            <v>48305</v>
          </cell>
          <cell r="AF72">
            <v>68</v>
          </cell>
          <cell r="AG72">
            <v>50003124.050796777</v>
          </cell>
          <cell r="AH72">
            <v>-128314.22719257104</v>
          </cell>
          <cell r="AI72">
            <v>-205800.44232452463</v>
          </cell>
          <cell r="AJ72">
            <v>334114.66951709567</v>
          </cell>
          <cell r="AK72">
            <v>49874809.823604204</v>
          </cell>
          <cell r="AT72">
            <v>51957</v>
          </cell>
          <cell r="AU72">
            <v>68</v>
          </cell>
          <cell r="AV72">
            <v>0</v>
          </cell>
        </row>
        <row r="73">
          <cell r="AE73">
            <v>48335</v>
          </cell>
          <cell r="AF73">
            <v>69</v>
          </cell>
          <cell r="AG73">
            <v>49874809.823604204</v>
          </cell>
          <cell r="AH73">
            <v>-128842.33669000823</v>
          </cell>
          <cell r="AI73">
            <v>-205272.33282708743</v>
          </cell>
          <cell r="AJ73">
            <v>334114.66951709567</v>
          </cell>
          <cell r="AK73">
            <v>49745967.486914195</v>
          </cell>
          <cell r="AT73">
            <v>51987</v>
          </cell>
          <cell r="AU73">
            <v>69</v>
          </cell>
          <cell r="AV73">
            <v>0</v>
          </cell>
        </row>
        <row r="74">
          <cell r="AE74">
            <v>48366</v>
          </cell>
          <cell r="AF74">
            <v>70</v>
          </cell>
          <cell r="AG74">
            <v>49745967.486914195</v>
          </cell>
          <cell r="AH74">
            <v>-129372.61975500226</v>
          </cell>
          <cell r="AI74">
            <v>-204742.0497620934</v>
          </cell>
          <cell r="AJ74">
            <v>334114.66951709567</v>
          </cell>
          <cell r="AK74">
            <v>49616594.867159195</v>
          </cell>
          <cell r="AT74">
            <v>52018</v>
          </cell>
          <cell r="AU74">
            <v>70</v>
          </cell>
          <cell r="AV74">
            <v>0</v>
          </cell>
        </row>
        <row r="75">
          <cell r="AE75">
            <v>48396</v>
          </cell>
          <cell r="AF75">
            <v>71</v>
          </cell>
          <cell r="AG75">
            <v>49616594.867159195</v>
          </cell>
          <cell r="AH75">
            <v>-129905.08533341714</v>
          </cell>
          <cell r="AI75">
            <v>-204209.58418367853</v>
          </cell>
          <cell r="AJ75">
            <v>334114.66951709567</v>
          </cell>
          <cell r="AK75">
            <v>49486689.781825781</v>
          </cell>
          <cell r="AT75">
            <v>52048</v>
          </cell>
          <cell r="AU75">
            <v>71</v>
          </cell>
          <cell r="AV75">
            <v>0</v>
          </cell>
        </row>
        <row r="76">
          <cell r="AE76">
            <v>48427</v>
          </cell>
          <cell r="AF76">
            <v>72</v>
          </cell>
          <cell r="AG76">
            <v>49486689.781825781</v>
          </cell>
          <cell r="AH76">
            <v>-130439.74240793646</v>
          </cell>
          <cell r="AI76">
            <v>-203674.92710915921</v>
          </cell>
          <cell r="AJ76">
            <v>334114.66951709567</v>
          </cell>
          <cell r="AK76">
            <v>49356250.039417848</v>
          </cell>
          <cell r="AT76">
            <v>52079</v>
          </cell>
          <cell r="AU76">
            <v>72</v>
          </cell>
          <cell r="AV76">
            <v>0</v>
          </cell>
        </row>
        <row r="77">
          <cell r="AE77">
            <v>48458</v>
          </cell>
          <cell r="AF77">
            <v>73</v>
          </cell>
          <cell r="AG77">
            <v>49356250.039417848</v>
          </cell>
          <cell r="AH77">
            <v>-130976.59999821385</v>
          </cell>
          <cell r="AI77">
            <v>-203138.06951888182</v>
          </cell>
          <cell r="AJ77">
            <v>334114.66951709567</v>
          </cell>
          <cell r="AK77">
            <v>49225273.439419635</v>
          </cell>
          <cell r="AT77">
            <v>52110</v>
          </cell>
          <cell r="AU77">
            <v>73</v>
          </cell>
          <cell r="AV77">
            <v>0</v>
          </cell>
        </row>
        <row r="78">
          <cell r="AE78">
            <v>48488</v>
          </cell>
          <cell r="AF78">
            <v>74</v>
          </cell>
          <cell r="AG78">
            <v>49225273.439419635</v>
          </cell>
          <cell r="AH78">
            <v>-131515.66716102569</v>
          </cell>
          <cell r="AI78">
            <v>-202599.00235606998</v>
          </cell>
          <cell r="AJ78">
            <v>334114.66951709567</v>
          </cell>
          <cell r="AK78">
            <v>49093757.77225861</v>
          </cell>
          <cell r="AT78">
            <v>52140</v>
          </cell>
          <cell r="AU78">
            <v>74</v>
          </cell>
          <cell r="AV78">
            <v>0</v>
          </cell>
        </row>
        <row r="79">
          <cell r="AE79">
            <v>48519</v>
          </cell>
          <cell r="AF79">
            <v>75</v>
          </cell>
          <cell r="AG79">
            <v>49093757.77225861</v>
          </cell>
          <cell r="AH79">
            <v>-132056.95299042403</v>
          </cell>
          <cell r="AI79">
            <v>-202057.71652667163</v>
          </cell>
          <cell r="AJ79">
            <v>334114.66951709567</v>
          </cell>
          <cell r="AK79">
            <v>48961700.819268182</v>
          </cell>
          <cell r="AT79">
            <v>52171</v>
          </cell>
          <cell r="AU79">
            <v>75</v>
          </cell>
          <cell r="AV79">
            <v>0</v>
          </cell>
        </row>
        <row r="80">
          <cell r="AE80">
            <v>48549</v>
          </cell>
          <cell r="AF80">
            <v>76</v>
          </cell>
          <cell r="AG80">
            <v>48961700.819268182</v>
          </cell>
          <cell r="AH80">
            <v>-132600.46661788964</v>
          </cell>
          <cell r="AI80">
            <v>-201514.20289920602</v>
          </cell>
          <cell r="AJ80">
            <v>334114.66951709567</v>
          </cell>
          <cell r="AK80">
            <v>48829100.352650292</v>
          </cell>
          <cell r="AT80">
            <v>52201</v>
          </cell>
          <cell r="AU80">
            <v>76</v>
          </cell>
          <cell r="AV80">
            <v>0</v>
          </cell>
        </row>
        <row r="81">
          <cell r="AE81">
            <v>48580</v>
          </cell>
          <cell r="AF81">
            <v>77</v>
          </cell>
          <cell r="AG81">
            <v>48829100.352650292</v>
          </cell>
          <cell r="AH81">
            <v>-133146.21721248596</v>
          </cell>
          <cell r="AI81">
            <v>-200968.4523046097</v>
          </cell>
          <cell r="AJ81">
            <v>334114.66951709567</v>
          </cell>
          <cell r="AK81">
            <v>48695954.135437809</v>
          </cell>
          <cell r="AT81">
            <v>52232</v>
          </cell>
          <cell r="AU81">
            <v>77</v>
          </cell>
          <cell r="AV81">
            <v>0</v>
          </cell>
        </row>
        <row r="82">
          <cell r="AE82">
            <v>48611</v>
          </cell>
          <cell r="AF82">
            <v>78</v>
          </cell>
          <cell r="AG82">
            <v>48695954.135437809</v>
          </cell>
          <cell r="AH82">
            <v>-133694.2139810145</v>
          </cell>
          <cell r="AI82">
            <v>-200420.45553608116</v>
          </cell>
          <cell r="AJ82">
            <v>334114.66951709567</v>
          </cell>
          <cell r="AK82">
            <v>48562259.921456791</v>
          </cell>
          <cell r="AT82">
            <v>52263</v>
          </cell>
          <cell r="AU82">
            <v>78</v>
          </cell>
          <cell r="AV82">
            <v>0</v>
          </cell>
        </row>
        <row r="83">
          <cell r="AE83">
            <v>48639</v>
          </cell>
          <cell r="AF83">
            <v>79</v>
          </cell>
          <cell r="AG83">
            <v>48562259.921456791</v>
          </cell>
          <cell r="AH83">
            <v>-134244.46616816928</v>
          </cell>
          <cell r="AI83">
            <v>-199870.20334892638</v>
          </cell>
          <cell r="AJ83">
            <v>334114.66951709567</v>
          </cell>
          <cell r="AK83">
            <v>48428015.455288619</v>
          </cell>
          <cell r="AT83">
            <v>52291</v>
          </cell>
          <cell r="AU83">
            <v>79</v>
          </cell>
          <cell r="AV83">
            <v>0</v>
          </cell>
        </row>
        <row r="84">
          <cell r="AE84">
            <v>48670</v>
          </cell>
          <cell r="AF84">
            <v>80</v>
          </cell>
          <cell r="AG84">
            <v>48428015.455288619</v>
          </cell>
          <cell r="AH84">
            <v>-134796.98305669337</v>
          </cell>
          <cell r="AI84">
            <v>-199317.6864604023</v>
          </cell>
          <cell r="AJ84">
            <v>334114.66951709567</v>
          </cell>
          <cell r="AK84">
            <v>48293218.472231925</v>
          </cell>
          <cell r="AT84">
            <v>52322</v>
          </cell>
          <cell r="AU84">
            <v>80</v>
          </cell>
          <cell r="AV84">
            <v>0</v>
          </cell>
        </row>
        <row r="85">
          <cell r="AE85">
            <v>48700</v>
          </cell>
          <cell r="AF85">
            <v>81</v>
          </cell>
          <cell r="AG85">
            <v>48293218.472231925</v>
          </cell>
          <cell r="AH85">
            <v>-135351.77396753512</v>
          </cell>
          <cell r="AI85">
            <v>-198762.89554956055</v>
          </cell>
          <cell r="AJ85">
            <v>334114.66951709567</v>
          </cell>
          <cell r="AK85">
            <v>48157866.69826439</v>
          </cell>
          <cell r="AT85">
            <v>52352</v>
          </cell>
          <cell r="AU85">
            <v>81</v>
          </cell>
          <cell r="AV85">
            <v>0</v>
          </cell>
        </row>
        <row r="86">
          <cell r="AE86">
            <v>48731</v>
          </cell>
          <cell r="AF86">
            <v>82</v>
          </cell>
          <cell r="AG86">
            <v>48157866.69826439</v>
          </cell>
          <cell r="AH86">
            <v>-135908.84826000602</v>
          </cell>
          <cell r="AI86">
            <v>-198205.82125708964</v>
          </cell>
          <cell r="AJ86">
            <v>334114.66951709567</v>
          </cell>
          <cell r="AK86">
            <v>48021957.850004382</v>
          </cell>
          <cell r="AT86">
            <v>52383</v>
          </cell>
          <cell r="AU86">
            <v>82</v>
          </cell>
          <cell r="AV86">
            <v>0</v>
          </cell>
        </row>
        <row r="87">
          <cell r="AE87">
            <v>48761</v>
          </cell>
          <cell r="AF87">
            <v>83</v>
          </cell>
          <cell r="AG87">
            <v>48021957.850004382</v>
          </cell>
          <cell r="AH87">
            <v>-136468.21533193759</v>
          </cell>
          <cell r="AI87">
            <v>-197646.45418515807</v>
          </cell>
          <cell r="AJ87">
            <v>334114.66951709567</v>
          </cell>
          <cell r="AK87">
            <v>47885489.634672448</v>
          </cell>
          <cell r="AT87">
            <v>52413</v>
          </cell>
          <cell r="AU87">
            <v>83</v>
          </cell>
          <cell r="AV87">
            <v>0</v>
          </cell>
        </row>
        <row r="88">
          <cell r="AE88">
            <v>48792</v>
          </cell>
          <cell r="AF88">
            <v>84</v>
          </cell>
          <cell r="AG88">
            <v>47885489.634672448</v>
          </cell>
          <cell r="AH88">
            <v>-137029.88461984086</v>
          </cell>
          <cell r="AI88">
            <v>-197084.78489725481</v>
          </cell>
          <cell r="AJ88">
            <v>334114.66951709567</v>
          </cell>
          <cell r="AK88">
            <v>47748459.750052609</v>
          </cell>
          <cell r="AT88">
            <v>52444</v>
          </cell>
          <cell r="AU88">
            <v>84</v>
          </cell>
          <cell r="AV88">
            <v>0</v>
          </cell>
        </row>
        <row r="89">
          <cell r="AE89">
            <v>48823</v>
          </cell>
          <cell r="AF89">
            <v>85</v>
          </cell>
          <cell r="AG89">
            <v>47748459.750052609</v>
          </cell>
          <cell r="AH89">
            <v>-137593.86559906518</v>
          </cell>
          <cell r="AI89">
            <v>-196520.80391803049</v>
          </cell>
          <cell r="AJ89">
            <v>334114.66951709567</v>
          </cell>
          <cell r="AK89">
            <v>47610865.884453543</v>
          </cell>
          <cell r="AT89">
            <v>52475</v>
          </cell>
          <cell r="AU89">
            <v>85</v>
          </cell>
          <cell r="AV89">
            <v>0</v>
          </cell>
        </row>
        <row r="90">
          <cell r="AE90">
            <v>48853</v>
          </cell>
          <cell r="AF90">
            <v>86</v>
          </cell>
          <cell r="AG90">
            <v>47610865.884453543</v>
          </cell>
          <cell r="AH90">
            <v>-138160.16778395788</v>
          </cell>
          <cell r="AI90">
            <v>-195954.50173313779</v>
          </cell>
          <cell r="AJ90">
            <v>334114.66951709567</v>
          </cell>
          <cell r="AK90">
            <v>47472705.716669582</v>
          </cell>
          <cell r="AT90">
            <v>52505</v>
          </cell>
          <cell r="AU90">
            <v>86</v>
          </cell>
          <cell r="AV90">
            <v>0</v>
          </cell>
        </row>
        <row r="91">
          <cell r="AE91">
            <v>48884</v>
          </cell>
          <cell r="AF91">
            <v>87</v>
          </cell>
          <cell r="AG91">
            <v>47472705.716669582</v>
          </cell>
          <cell r="AH91">
            <v>-138728.80072802526</v>
          </cell>
          <cell r="AI91">
            <v>-195385.8687890704</v>
          </cell>
          <cell r="AJ91">
            <v>334114.66951709567</v>
          </cell>
          <cell r="AK91">
            <v>47333976.915941559</v>
          </cell>
          <cell r="AT91">
            <v>52536</v>
          </cell>
          <cell r="AU91">
            <v>87</v>
          </cell>
          <cell r="AV91">
            <v>0</v>
          </cell>
        </row>
        <row r="92">
          <cell r="AE92">
            <v>48914</v>
          </cell>
          <cell r="AF92">
            <v>88</v>
          </cell>
          <cell r="AG92">
            <v>47333976.915941559</v>
          </cell>
          <cell r="AH92">
            <v>-139299.77402409323</v>
          </cell>
          <cell r="AI92">
            <v>-194814.89549300243</v>
          </cell>
          <cell r="AJ92">
            <v>334114.66951709567</v>
          </cell>
          <cell r="AK92">
            <v>47194677.141917467</v>
          </cell>
          <cell r="AT92">
            <v>52566</v>
          </cell>
          <cell r="AU92">
            <v>88</v>
          </cell>
          <cell r="AV92">
            <v>0</v>
          </cell>
        </row>
        <row r="93">
          <cell r="AE93">
            <v>48945</v>
          </cell>
          <cell r="AF93">
            <v>89</v>
          </cell>
          <cell r="AG93">
            <v>47194677.141917467</v>
          </cell>
          <cell r="AH93">
            <v>-139873.0973044695</v>
          </cell>
          <cell r="AI93">
            <v>-194241.57221262617</v>
          </cell>
          <cell r="AJ93">
            <v>334114.66951709567</v>
          </cell>
          <cell r="AK93">
            <v>47054804.044612996</v>
          </cell>
          <cell r="AT93">
            <v>52597</v>
          </cell>
          <cell r="AU93">
            <v>89</v>
          </cell>
          <cell r="AV93">
            <v>0</v>
          </cell>
        </row>
        <row r="94">
          <cell r="AE94">
            <v>48976</v>
          </cell>
          <cell r="AF94">
            <v>90</v>
          </cell>
          <cell r="AG94">
            <v>47054804.044612996</v>
          </cell>
          <cell r="AH94">
            <v>-140448.78024110594</v>
          </cell>
          <cell r="AI94">
            <v>-193665.88927598973</v>
          </cell>
          <cell r="AJ94">
            <v>334114.66951709567</v>
          </cell>
          <cell r="AK94">
            <v>46914355.264371887</v>
          </cell>
          <cell r="AT94">
            <v>52628</v>
          </cell>
          <cell r="AU94">
            <v>90</v>
          </cell>
          <cell r="AV94">
            <v>0</v>
          </cell>
        </row>
        <row r="95">
          <cell r="AE95">
            <v>49004</v>
          </cell>
          <cell r="AF95">
            <v>91</v>
          </cell>
          <cell r="AG95">
            <v>46914355.264371887</v>
          </cell>
          <cell r="AH95">
            <v>-141026.83254576189</v>
          </cell>
          <cell r="AI95">
            <v>-193087.83697133377</v>
          </cell>
          <cell r="AJ95">
            <v>334114.66951709567</v>
          </cell>
          <cell r="AK95">
            <v>46773328.431826122</v>
          </cell>
          <cell r="AT95">
            <v>52657</v>
          </cell>
          <cell r="AU95">
            <v>91</v>
          </cell>
          <cell r="AV95">
            <v>0</v>
          </cell>
        </row>
        <row r="96">
          <cell r="AE96">
            <v>49035</v>
          </cell>
          <cell r="AF96">
            <v>92</v>
          </cell>
          <cell r="AG96">
            <v>46773328.431826122</v>
          </cell>
          <cell r="AH96">
            <v>-141607.26397016773</v>
          </cell>
          <cell r="AI96">
            <v>-192507.40554692794</v>
          </cell>
          <cell r="AJ96">
            <v>334114.66951709567</v>
          </cell>
          <cell r="AK96">
            <v>46631721.167855956</v>
          </cell>
          <cell r="AT96">
            <v>52688</v>
          </cell>
          <cell r="AU96">
            <v>92</v>
          </cell>
          <cell r="AV96">
            <v>0</v>
          </cell>
        </row>
        <row r="97">
          <cell r="AE97">
            <v>49065</v>
          </cell>
          <cell r="AF97">
            <v>93</v>
          </cell>
          <cell r="AG97">
            <v>46631721.167855956</v>
          </cell>
          <cell r="AH97">
            <v>-142190.08430618953</v>
          </cell>
          <cell r="AI97">
            <v>-191924.58521090614</v>
          </cell>
          <cell r="AJ97">
            <v>334114.66951709567</v>
          </cell>
          <cell r="AK97">
            <v>46489531.083549768</v>
          </cell>
          <cell r="AT97">
            <v>52718</v>
          </cell>
          <cell r="AU97">
            <v>93</v>
          </cell>
          <cell r="AV97">
            <v>0</v>
          </cell>
        </row>
        <row r="98">
          <cell r="AE98">
            <v>49096</v>
          </cell>
          <cell r="AF98">
            <v>94</v>
          </cell>
          <cell r="AG98">
            <v>46489531.083549768</v>
          </cell>
          <cell r="AH98">
            <v>-142775.30338599437</v>
          </cell>
          <cell r="AI98">
            <v>-191339.3661311013</v>
          </cell>
          <cell r="AJ98">
            <v>334114.66951709567</v>
          </cell>
          <cell r="AK98">
            <v>46346755.780163772</v>
          </cell>
          <cell r="AT98">
            <v>52749</v>
          </cell>
          <cell r="AU98">
            <v>94</v>
          </cell>
          <cell r="AV98">
            <v>0</v>
          </cell>
        </row>
        <row r="99">
          <cell r="AE99">
            <v>49126</v>
          </cell>
          <cell r="AF99">
            <v>95</v>
          </cell>
          <cell r="AG99">
            <v>46346755.780163772</v>
          </cell>
          <cell r="AH99">
            <v>-143362.93108221603</v>
          </cell>
          <cell r="AI99">
            <v>-190751.73843487963</v>
          </cell>
          <cell r="AJ99">
            <v>334114.66951709567</v>
          </cell>
          <cell r="AK99">
            <v>46203392.849081554</v>
          </cell>
          <cell r="AT99">
            <v>52779</v>
          </cell>
          <cell r="AU99">
            <v>95</v>
          </cell>
          <cell r="AV99">
            <v>0</v>
          </cell>
        </row>
        <row r="100">
          <cell r="AE100">
            <v>49157</v>
          </cell>
          <cell r="AF100">
            <v>96</v>
          </cell>
          <cell r="AG100">
            <v>46203392.849081554</v>
          </cell>
          <cell r="AH100">
            <v>-143952.9773081216</v>
          </cell>
          <cell r="AI100">
            <v>-190161.69220897407</v>
          </cell>
          <cell r="AJ100">
            <v>334114.66951709567</v>
          </cell>
          <cell r="AK100">
            <v>46059439.871773429</v>
          </cell>
          <cell r="AT100">
            <v>52810</v>
          </cell>
          <cell r="AU100">
            <v>96</v>
          </cell>
          <cell r="AV100">
            <v>0</v>
          </cell>
        </row>
        <row r="101">
          <cell r="AE101">
            <v>49188</v>
          </cell>
          <cell r="AF101">
            <v>97</v>
          </cell>
          <cell r="AG101">
            <v>46059439.871773429</v>
          </cell>
          <cell r="AH101">
            <v>-144545.45201777868</v>
          </cell>
          <cell r="AI101">
            <v>-189569.21749931699</v>
          </cell>
          <cell r="AJ101">
            <v>334114.66951709567</v>
          </cell>
          <cell r="AK101">
            <v>45914894.419755653</v>
          </cell>
          <cell r="AT101">
            <v>52841</v>
          </cell>
          <cell r="AU101">
            <v>97</v>
          </cell>
          <cell r="AV101">
            <v>0</v>
          </cell>
        </row>
        <row r="102">
          <cell r="AE102">
            <v>49218</v>
          </cell>
          <cell r="AF102">
            <v>98</v>
          </cell>
          <cell r="AG102">
            <v>45914894.419755653</v>
          </cell>
          <cell r="AH102">
            <v>-145140.36520622342</v>
          </cell>
          <cell r="AI102">
            <v>-188974.30431087225</v>
          </cell>
          <cell r="AJ102">
            <v>334114.66951709567</v>
          </cell>
          <cell r="AK102">
            <v>45769754.054549426</v>
          </cell>
          <cell r="AT102">
            <v>52871</v>
          </cell>
          <cell r="AU102">
            <v>98</v>
          </cell>
          <cell r="AV102">
            <v>0</v>
          </cell>
        </row>
        <row r="103">
          <cell r="AE103">
            <v>49249</v>
          </cell>
          <cell r="AF103">
            <v>99</v>
          </cell>
          <cell r="AG103">
            <v>45769754.054549426</v>
          </cell>
          <cell r="AH103">
            <v>-145737.72690962904</v>
          </cell>
          <cell r="AI103">
            <v>-188376.94260746663</v>
          </cell>
          <cell r="AJ103">
            <v>334114.66951709567</v>
          </cell>
          <cell r="AK103">
            <v>45624016.327639796</v>
          </cell>
          <cell r="AT103">
            <v>52902</v>
          </cell>
          <cell r="AU103">
            <v>99</v>
          </cell>
          <cell r="AV103">
            <v>0</v>
          </cell>
        </row>
        <row r="104">
          <cell r="AE104">
            <v>49279</v>
          </cell>
          <cell r="AF104">
            <v>100</v>
          </cell>
          <cell r="AG104">
            <v>45624016.327639796</v>
          </cell>
          <cell r="AH104">
            <v>-146337.54720547501</v>
          </cell>
          <cell r="AI104">
            <v>-187777.12231162065</v>
          </cell>
          <cell r="AJ104">
            <v>334114.66951709567</v>
          </cell>
          <cell r="AK104">
            <v>45477678.780434318</v>
          </cell>
          <cell r="AT104">
            <v>52932</v>
          </cell>
          <cell r="AU104">
            <v>100</v>
          </cell>
          <cell r="AV104">
            <v>0</v>
          </cell>
        </row>
        <row r="105">
          <cell r="AE105">
            <v>49310</v>
          </cell>
          <cell r="AF105">
            <v>101</v>
          </cell>
          <cell r="AG105">
            <v>45477678.780434318</v>
          </cell>
          <cell r="AH105">
            <v>-146939.83621271738</v>
          </cell>
          <cell r="AI105">
            <v>-187174.83330437829</v>
          </cell>
          <cell r="AJ105">
            <v>334114.66951709567</v>
          </cell>
          <cell r="AK105">
            <v>45330738.944221601</v>
          </cell>
          <cell r="AT105">
            <v>52963</v>
          </cell>
          <cell r="AU105">
            <v>101</v>
          </cell>
          <cell r="AV105">
            <v>0</v>
          </cell>
        </row>
        <row r="106">
          <cell r="AE106">
            <v>49341</v>
          </cell>
          <cell r="AF106">
            <v>102</v>
          </cell>
          <cell r="AG106">
            <v>45330738.944221601</v>
          </cell>
          <cell r="AH106">
            <v>-147544.60409195931</v>
          </cell>
          <cell r="AI106">
            <v>-186570.06542513636</v>
          </cell>
          <cell r="AJ106">
            <v>334114.66951709567</v>
          </cell>
          <cell r="AK106">
            <v>45183194.340129644</v>
          </cell>
          <cell r="AT106">
            <v>52994</v>
          </cell>
          <cell r="AU106">
            <v>102</v>
          </cell>
          <cell r="AV106">
            <v>0</v>
          </cell>
        </row>
        <row r="107">
          <cell r="AE107">
            <v>49369</v>
          </cell>
          <cell r="AF107">
            <v>103</v>
          </cell>
          <cell r="AG107">
            <v>45183194.340129644</v>
          </cell>
          <cell r="AH107">
            <v>-148151.86104562235</v>
          </cell>
          <cell r="AI107">
            <v>-185962.80847147331</v>
          </cell>
          <cell r="AJ107">
            <v>334114.66951709567</v>
          </cell>
          <cell r="AK107">
            <v>45035042.479084022</v>
          </cell>
          <cell r="AT107">
            <v>53022</v>
          </cell>
          <cell r="AU107">
            <v>103</v>
          </cell>
          <cell r="AV107">
            <v>0</v>
          </cell>
        </row>
        <row r="108">
          <cell r="AE108">
            <v>49400</v>
          </cell>
          <cell r="AF108">
            <v>104</v>
          </cell>
          <cell r="AG108">
            <v>45035042.479084022</v>
          </cell>
          <cell r="AH108">
            <v>-148761.61731811878</v>
          </cell>
          <cell r="AI108">
            <v>-185353.05219897689</v>
          </cell>
          <cell r="AJ108">
            <v>334114.66951709567</v>
          </cell>
          <cell r="AK108">
            <v>44886280.861765906</v>
          </cell>
          <cell r="AT108">
            <v>53053</v>
          </cell>
          <cell r="AU108">
            <v>104</v>
          </cell>
          <cell r="AV108">
            <v>0</v>
          </cell>
        </row>
        <row r="109">
          <cell r="AE109">
            <v>49430</v>
          </cell>
          <cell r="AF109">
            <v>105</v>
          </cell>
          <cell r="AG109">
            <v>44886280.861765906</v>
          </cell>
          <cell r="AH109">
            <v>-149373.88319602431</v>
          </cell>
          <cell r="AI109">
            <v>-184740.78632107135</v>
          </cell>
          <cell r="AJ109">
            <v>334114.66951709567</v>
          </cell>
          <cell r="AK109">
            <v>44736906.97856988</v>
          </cell>
          <cell r="AT109">
            <v>53083</v>
          </cell>
          <cell r="AU109">
            <v>105</v>
          </cell>
          <cell r="AV109">
            <v>0</v>
          </cell>
        </row>
        <row r="110">
          <cell r="AE110">
            <v>49461</v>
          </cell>
          <cell r="AF110">
            <v>106</v>
          </cell>
          <cell r="AG110">
            <v>44736906.97856988</v>
          </cell>
          <cell r="AH110">
            <v>-149988.66900825163</v>
          </cell>
          <cell r="AI110">
            <v>-184126.00050884404</v>
          </cell>
          <cell r="AJ110">
            <v>334114.66951709567</v>
          </cell>
          <cell r="AK110">
            <v>44586918.309561625</v>
          </cell>
          <cell r="AT110">
            <v>53114</v>
          </cell>
          <cell r="AU110">
            <v>106</v>
          </cell>
          <cell r="AV110">
            <v>0</v>
          </cell>
        </row>
        <row r="111">
          <cell r="AE111">
            <v>49491</v>
          </cell>
          <cell r="AF111">
            <v>107</v>
          </cell>
          <cell r="AG111">
            <v>44586918.309561625</v>
          </cell>
          <cell r="AH111">
            <v>-150605.98512622472</v>
          </cell>
          <cell r="AI111">
            <v>-183508.68439087094</v>
          </cell>
          <cell r="AJ111">
            <v>334114.66951709567</v>
          </cell>
          <cell r="AK111">
            <v>44436312.324435398</v>
          </cell>
          <cell r="AT111">
            <v>53144</v>
          </cell>
          <cell r="AU111">
            <v>107</v>
          </cell>
          <cell r="AV111">
            <v>0</v>
          </cell>
        </row>
        <row r="112">
          <cell r="AE112">
            <v>49522</v>
          </cell>
          <cell r="AF112">
            <v>108</v>
          </cell>
          <cell r="AG112">
            <v>44436312.324435398</v>
          </cell>
          <cell r="AH112">
            <v>-151225.84196405375</v>
          </cell>
          <cell r="AI112">
            <v>-182888.82755304192</v>
          </cell>
          <cell r="AJ112">
            <v>334114.66951709567</v>
          </cell>
          <cell r="AK112">
            <v>44285086.482471347</v>
          </cell>
          <cell r="AT112">
            <v>53175</v>
          </cell>
          <cell r="AU112">
            <v>108</v>
          </cell>
          <cell r="AV112">
            <v>0</v>
          </cell>
        </row>
        <row r="113">
          <cell r="AE113">
            <v>49553</v>
          </cell>
          <cell r="AF113">
            <v>109</v>
          </cell>
          <cell r="AG113">
            <v>44285086.482471347</v>
          </cell>
          <cell r="AH113">
            <v>-151848.24997871069</v>
          </cell>
          <cell r="AI113">
            <v>-182266.41953838497</v>
          </cell>
          <cell r="AJ113">
            <v>334114.66951709567</v>
          </cell>
          <cell r="AK113">
            <v>44133238.232492633</v>
          </cell>
          <cell r="AT113">
            <v>53206</v>
          </cell>
          <cell r="AU113">
            <v>109</v>
          </cell>
          <cell r="AV113">
            <v>0</v>
          </cell>
        </row>
        <row r="114">
          <cell r="AE114">
            <v>49583</v>
          </cell>
          <cell r="AF114">
            <v>110</v>
          </cell>
          <cell r="AG114">
            <v>44133238.232492633</v>
          </cell>
          <cell r="AH114">
            <v>-152473.2196702059</v>
          </cell>
          <cell r="AI114">
            <v>-181641.44984688977</v>
          </cell>
          <cell r="AJ114">
            <v>334114.66951709567</v>
          </cell>
          <cell r="AK114">
            <v>43980765.012822427</v>
          </cell>
          <cell r="AT114">
            <v>53236</v>
          </cell>
          <cell r="AU114">
            <v>110</v>
          </cell>
          <cell r="AV114">
            <v>0</v>
          </cell>
        </row>
        <row r="115">
          <cell r="AE115">
            <v>49614</v>
          </cell>
          <cell r="AF115">
            <v>111</v>
          </cell>
          <cell r="AG115">
            <v>43980765.012822427</v>
          </cell>
          <cell r="AH115">
            <v>-153100.76158176517</v>
          </cell>
          <cell r="AI115">
            <v>-181013.9079353305</v>
          </cell>
          <cell r="AJ115">
            <v>334114.66951709567</v>
          </cell>
          <cell r="AK115">
            <v>43827664.251240663</v>
          </cell>
          <cell r="AT115">
            <v>53267</v>
          </cell>
          <cell r="AU115">
            <v>111</v>
          </cell>
          <cell r="AV115">
            <v>0</v>
          </cell>
        </row>
        <row r="116">
          <cell r="AE116">
            <v>49644</v>
          </cell>
          <cell r="AF116">
            <v>112</v>
          </cell>
          <cell r="AG116">
            <v>43827664.251240663</v>
          </cell>
          <cell r="AH116">
            <v>-153730.88630000761</v>
          </cell>
          <cell r="AI116">
            <v>-180383.78321708806</v>
          </cell>
          <cell r="AJ116">
            <v>334114.66951709567</v>
          </cell>
          <cell r="AK116">
            <v>43673933.364940658</v>
          </cell>
          <cell r="AT116">
            <v>53297</v>
          </cell>
          <cell r="AU116">
            <v>112</v>
          </cell>
          <cell r="AV116">
            <v>0</v>
          </cell>
        </row>
        <row r="117">
          <cell r="AE117">
            <v>49675</v>
          </cell>
          <cell r="AF117">
            <v>113</v>
          </cell>
          <cell r="AG117">
            <v>43673933.364940658</v>
          </cell>
          <cell r="AH117">
            <v>-154363.60445512409</v>
          </cell>
          <cell r="AI117">
            <v>-179751.06506197157</v>
          </cell>
          <cell r="AJ117">
            <v>334114.66951709567</v>
          </cell>
          <cell r="AK117">
            <v>43519569.760485537</v>
          </cell>
          <cell r="AT117">
            <v>53328</v>
          </cell>
          <cell r="AU117">
            <v>113</v>
          </cell>
          <cell r="AV117">
            <v>0</v>
          </cell>
        </row>
        <row r="118">
          <cell r="AE118">
            <v>49706</v>
          </cell>
          <cell r="AF118">
            <v>114</v>
          </cell>
          <cell r="AG118">
            <v>43519569.760485537</v>
          </cell>
          <cell r="AH118">
            <v>-154998.92672105695</v>
          </cell>
          <cell r="AI118">
            <v>-179115.74279603871</v>
          </cell>
          <cell r="AJ118">
            <v>334114.66951709567</v>
          </cell>
          <cell r="AK118">
            <v>43364570.833764479</v>
          </cell>
          <cell r="AT118">
            <v>53359</v>
          </cell>
          <cell r="AU118">
            <v>114</v>
          </cell>
          <cell r="AV118">
            <v>0</v>
          </cell>
        </row>
        <row r="119">
          <cell r="AE119">
            <v>49735</v>
          </cell>
          <cell r="AF119">
            <v>115</v>
          </cell>
          <cell r="AG119">
            <v>43364570.833764479</v>
          </cell>
          <cell r="AH119">
            <v>-155636.86381567956</v>
          </cell>
          <cell r="AI119">
            <v>-178477.8057014161</v>
          </cell>
          <cell r="AJ119">
            <v>334114.66951709567</v>
          </cell>
          <cell r="AK119">
            <v>43208933.969948798</v>
          </cell>
          <cell r="AT119">
            <v>53387</v>
          </cell>
          <cell r="AU119">
            <v>115</v>
          </cell>
          <cell r="AV119">
            <v>0</v>
          </cell>
        </row>
        <row r="120">
          <cell r="AE120">
            <v>49766</v>
          </cell>
          <cell r="AF120">
            <v>116</v>
          </cell>
          <cell r="AG120">
            <v>43208933.969948798</v>
          </cell>
          <cell r="AH120">
            <v>-156277.42650097757</v>
          </cell>
          <cell r="AI120">
            <v>-177837.2430161181</v>
          </cell>
          <cell r="AJ120">
            <v>334114.66951709567</v>
          </cell>
          <cell r="AK120">
            <v>43052656.543447822</v>
          </cell>
          <cell r="AT120">
            <v>53418</v>
          </cell>
          <cell r="AU120">
            <v>116</v>
          </cell>
          <cell r="AV120">
            <v>0</v>
          </cell>
        </row>
        <row r="121">
          <cell r="AE121">
            <v>49796</v>
          </cell>
          <cell r="AF121">
            <v>117</v>
          </cell>
          <cell r="AG121">
            <v>43052656.543447822</v>
          </cell>
          <cell r="AH121">
            <v>-156920.62558323028</v>
          </cell>
          <cell r="AI121">
            <v>-177194.04393386538</v>
          </cell>
          <cell r="AJ121">
            <v>334114.66951709567</v>
          </cell>
          <cell r="AK121">
            <v>42895735.917864591</v>
          </cell>
          <cell r="AT121">
            <v>53448</v>
          </cell>
          <cell r="AU121">
            <v>117</v>
          </cell>
          <cell r="AV121">
            <v>0</v>
          </cell>
        </row>
        <row r="122">
          <cell r="AE122">
            <v>49827</v>
          </cell>
          <cell r="AF122">
            <v>118</v>
          </cell>
          <cell r="AG122">
            <v>42895735.917864591</v>
          </cell>
          <cell r="AH122">
            <v>-157566.47191319289</v>
          </cell>
          <cell r="AI122">
            <v>-176548.19760390278</v>
          </cell>
          <cell r="AJ122">
            <v>334114.66951709567</v>
          </cell>
          <cell r="AK122">
            <v>42738169.445951395</v>
          </cell>
          <cell r="AT122">
            <v>53479</v>
          </cell>
          <cell r="AU122">
            <v>118</v>
          </cell>
          <cell r="AV122">
            <v>0</v>
          </cell>
        </row>
        <row r="123">
          <cell r="AE123">
            <v>49857</v>
          </cell>
          <cell r="AF123">
            <v>119</v>
          </cell>
          <cell r="AG123">
            <v>42738169.445951395</v>
          </cell>
          <cell r="AH123">
            <v>-158214.97638627951</v>
          </cell>
          <cell r="AI123">
            <v>-175899.69313081616</v>
          </cell>
          <cell r="AJ123">
            <v>334114.66951709567</v>
          </cell>
          <cell r="AK123">
            <v>42579954.469565116</v>
          </cell>
          <cell r="AT123">
            <v>53509</v>
          </cell>
          <cell r="AU123">
            <v>119</v>
          </cell>
          <cell r="AV123">
            <v>0</v>
          </cell>
        </row>
        <row r="124">
          <cell r="AE124">
            <v>49888</v>
          </cell>
          <cell r="AF124">
            <v>120</v>
          </cell>
          <cell r="AG124">
            <v>42579954.469565116</v>
          </cell>
          <cell r="AH124">
            <v>-158866.14994274738</v>
          </cell>
          <cell r="AI124">
            <v>-175248.51957434829</v>
          </cell>
          <cell r="AJ124">
            <v>334114.66951709567</v>
          </cell>
          <cell r="AK124">
            <v>42421088.319622368</v>
          </cell>
          <cell r="AT124">
            <v>53540</v>
          </cell>
          <cell r="AU124">
            <v>120</v>
          </cell>
          <cell r="AV124">
            <v>0</v>
          </cell>
        </row>
        <row r="125">
          <cell r="AE125">
            <v>49919</v>
          </cell>
          <cell r="AF125">
            <v>121</v>
          </cell>
          <cell r="AG125">
            <v>42421088.319622368</v>
          </cell>
          <cell r="AH125">
            <v>-159520.00356788083</v>
          </cell>
          <cell r="AI125">
            <v>-174594.66594921483</v>
          </cell>
          <cell r="AJ125">
            <v>334114.66951709567</v>
          </cell>
          <cell r="AK125">
            <v>42261568.316054486</v>
          </cell>
          <cell r="AT125">
            <v>53571</v>
          </cell>
          <cell r="AU125">
            <v>121</v>
          </cell>
          <cell r="AV125">
            <v>0</v>
          </cell>
        </row>
        <row r="126">
          <cell r="AE126">
            <v>49949</v>
          </cell>
          <cell r="AF126">
            <v>122</v>
          </cell>
          <cell r="AG126">
            <v>42261568.316054486</v>
          </cell>
          <cell r="AH126">
            <v>-160176.54829217703</v>
          </cell>
          <cell r="AI126">
            <v>-173938.12122491864</v>
          </cell>
          <cell r="AJ126">
            <v>334114.66951709567</v>
          </cell>
          <cell r="AK126">
            <v>42101391.767762311</v>
          </cell>
          <cell r="AT126">
            <v>53601</v>
          </cell>
          <cell r="AU126">
            <v>122</v>
          </cell>
          <cell r="AV126">
            <v>0</v>
          </cell>
        </row>
        <row r="127">
          <cell r="AE127">
            <v>49980</v>
          </cell>
          <cell r="AF127">
            <v>123</v>
          </cell>
          <cell r="AG127">
            <v>42101391.767762311</v>
          </cell>
          <cell r="AH127">
            <v>-160835.79519153194</v>
          </cell>
          <cell r="AI127">
            <v>-173278.87432556372</v>
          </cell>
          <cell r="AJ127">
            <v>334114.66951709567</v>
          </cell>
          <cell r="AK127">
            <v>41940555.972570777</v>
          </cell>
          <cell r="AT127">
            <v>53632</v>
          </cell>
          <cell r="AU127">
            <v>123</v>
          </cell>
          <cell r="AV127">
            <v>0</v>
          </cell>
        </row>
        <row r="128">
          <cell r="AE128">
            <v>50010</v>
          </cell>
          <cell r="AF128">
            <v>124</v>
          </cell>
          <cell r="AG128">
            <v>41940555.972570777</v>
          </cell>
          <cell r="AH128">
            <v>-161497.75538742705</v>
          </cell>
          <cell r="AI128">
            <v>-172616.91412966861</v>
          </cell>
          <cell r="AJ128">
            <v>334114.66951709567</v>
          </cell>
          <cell r="AK128">
            <v>41779058.217183352</v>
          </cell>
          <cell r="AT128">
            <v>53662</v>
          </cell>
          <cell r="AU128">
            <v>124</v>
          </cell>
          <cell r="AV128">
            <v>0</v>
          </cell>
        </row>
        <row r="129">
          <cell r="AE129">
            <v>50041</v>
          </cell>
          <cell r="AF129">
            <v>125</v>
          </cell>
          <cell r="AG129">
            <v>41779058.217183352</v>
          </cell>
          <cell r="AH129">
            <v>-162162.44004711724</v>
          </cell>
          <cell r="AI129">
            <v>-171952.22946997843</v>
          </cell>
          <cell r="AJ129">
            <v>334114.66951709567</v>
          </cell>
          <cell r="AK129">
            <v>41616895.777136236</v>
          </cell>
          <cell r="AT129">
            <v>53693</v>
          </cell>
          <cell r="AU129">
            <v>125</v>
          </cell>
          <cell r="AV129">
            <v>0</v>
          </cell>
        </row>
        <row r="130">
          <cell r="AE130">
            <v>50072</v>
          </cell>
          <cell r="AF130">
            <v>126</v>
          </cell>
          <cell r="AG130">
            <v>41616895.777136236</v>
          </cell>
          <cell r="AH130">
            <v>-162829.86038381903</v>
          </cell>
          <cell r="AI130">
            <v>-171284.80913327663</v>
          </cell>
          <cell r="AJ130">
            <v>334114.66951709567</v>
          </cell>
          <cell r="AK130">
            <v>41454065.91675242</v>
          </cell>
          <cell r="AT130">
            <v>53724</v>
          </cell>
          <cell r="AU130">
            <v>126</v>
          </cell>
          <cell r="AV130">
            <v>0</v>
          </cell>
        </row>
        <row r="131">
          <cell r="AE131">
            <v>50100</v>
          </cell>
          <cell r="AF131">
            <v>127</v>
          </cell>
          <cell r="AG131">
            <v>41454065.91675242</v>
          </cell>
          <cell r="AH131">
            <v>-163500.02765689956</v>
          </cell>
          <cell r="AI131">
            <v>-170614.6418601961</v>
          </cell>
          <cell r="AJ131">
            <v>334114.66951709567</v>
          </cell>
          <cell r="AK131">
            <v>41290565.889095522</v>
          </cell>
          <cell r="AT131">
            <v>53752</v>
          </cell>
          <cell r="AU131">
            <v>127</v>
          </cell>
          <cell r="AV131">
            <v>0</v>
          </cell>
        </row>
        <row r="132">
          <cell r="AE132">
            <v>50131</v>
          </cell>
          <cell r="AF132">
            <v>128</v>
          </cell>
          <cell r="AG132">
            <v>41290565.889095522</v>
          </cell>
          <cell r="AH132">
            <v>-164172.95317206692</v>
          </cell>
          <cell r="AI132">
            <v>-169941.71634502875</v>
          </cell>
          <cell r="AJ132">
            <v>334114.66951709567</v>
          </cell>
          <cell r="AK132">
            <v>41126392.935923457</v>
          </cell>
          <cell r="AT132">
            <v>53783</v>
          </cell>
          <cell r="AU132">
            <v>128</v>
          </cell>
          <cell r="AV132">
            <v>0</v>
          </cell>
        </row>
        <row r="133">
          <cell r="AE133">
            <v>50161</v>
          </cell>
          <cell r="AF133">
            <v>129</v>
          </cell>
          <cell r="AG133">
            <v>41126392.935923457</v>
          </cell>
          <cell r="AH133">
            <v>-164848.64828156075</v>
          </cell>
          <cell r="AI133">
            <v>-169266.02123553492</v>
          </cell>
          <cell r="AJ133">
            <v>334114.66951709567</v>
          </cell>
          <cell r="AK133">
            <v>40961544.287641898</v>
          </cell>
          <cell r="AT133">
            <v>53813</v>
          </cell>
          <cell r="AU133">
            <v>129</v>
          </cell>
          <cell r="AV133">
            <v>0</v>
          </cell>
        </row>
        <row r="134">
          <cell r="AE134">
            <v>50192</v>
          </cell>
          <cell r="AF134">
            <v>130</v>
          </cell>
          <cell r="AG134">
            <v>40961544.287641898</v>
          </cell>
          <cell r="AH134">
            <v>-165527.12438434345</v>
          </cell>
          <cell r="AI134">
            <v>-168587.54513275222</v>
          </cell>
          <cell r="AJ134">
            <v>334114.66951709567</v>
          </cell>
          <cell r="AK134">
            <v>40796017.163257554</v>
          </cell>
          <cell r="AT134">
            <v>53844</v>
          </cell>
          <cell r="AU134">
            <v>130</v>
          </cell>
          <cell r="AV134">
            <v>0</v>
          </cell>
        </row>
        <row r="135">
          <cell r="AE135">
            <v>50222</v>
          </cell>
          <cell r="AF135">
            <v>131</v>
          </cell>
          <cell r="AG135">
            <v>40796017.163257554</v>
          </cell>
          <cell r="AH135">
            <v>-166208.3929262929</v>
          </cell>
          <cell r="AI135">
            <v>-167906.27659080276</v>
          </cell>
          <cell r="AJ135">
            <v>334114.66951709567</v>
          </cell>
          <cell r="AK135">
            <v>40629808.770331264</v>
          </cell>
          <cell r="AT135">
            <v>53874</v>
          </cell>
          <cell r="AU135">
            <v>131</v>
          </cell>
          <cell r="AV135">
            <v>0</v>
          </cell>
        </row>
        <row r="136">
          <cell r="AE136">
            <v>50253</v>
          </cell>
          <cell r="AF136">
            <v>132</v>
          </cell>
          <cell r="AG136">
            <v>40629808.770331264</v>
          </cell>
          <cell r="AH136">
            <v>-166892.46540039533</v>
          </cell>
          <cell r="AI136">
            <v>-167222.20411670033</v>
          </cell>
          <cell r="AJ136">
            <v>334114.66951709567</v>
          </cell>
          <cell r="AK136">
            <v>40462916.304930866</v>
          </cell>
          <cell r="AT136">
            <v>53905</v>
          </cell>
          <cell r="AU136">
            <v>132</v>
          </cell>
          <cell r="AV136">
            <v>0</v>
          </cell>
        </row>
        <row r="137">
          <cell r="AE137">
            <v>50284</v>
          </cell>
          <cell r="AF137">
            <v>133</v>
          </cell>
          <cell r="AG137">
            <v>40462916.304930866</v>
          </cell>
          <cell r="AH137">
            <v>-167579.35334693926</v>
          </cell>
          <cell r="AI137">
            <v>-166535.31617015641</v>
          </cell>
          <cell r="AJ137">
            <v>334114.66951709567</v>
          </cell>
          <cell r="AK137">
            <v>40295336.951583929</v>
          </cell>
          <cell r="AT137">
            <v>53936</v>
          </cell>
          <cell r="AU137">
            <v>133</v>
          </cell>
          <cell r="AV137">
            <v>0</v>
          </cell>
        </row>
        <row r="138">
          <cell r="AE138">
            <v>50314</v>
          </cell>
          <cell r="AF138">
            <v>134</v>
          </cell>
          <cell r="AG138">
            <v>40295336.951583929</v>
          </cell>
          <cell r="AH138">
            <v>-168269.06835371006</v>
          </cell>
          <cell r="AI138">
            <v>-165845.60116338561</v>
          </cell>
          <cell r="AJ138">
            <v>334114.66951709567</v>
          </cell>
          <cell r="AK138">
            <v>40127067.883230217</v>
          </cell>
          <cell r="AT138">
            <v>53966</v>
          </cell>
          <cell r="AU138">
            <v>134</v>
          </cell>
          <cell r="AV138">
            <v>0</v>
          </cell>
        </row>
        <row r="139">
          <cell r="AE139">
            <v>50345</v>
          </cell>
          <cell r="AF139">
            <v>135</v>
          </cell>
          <cell r="AG139">
            <v>40127067.883230217</v>
          </cell>
          <cell r="AH139">
            <v>-168961.62205618573</v>
          </cell>
          <cell r="AI139">
            <v>-165153.04746090993</v>
          </cell>
          <cell r="AJ139">
            <v>334114.66951709567</v>
          </cell>
          <cell r="AK139">
            <v>39958106.261174031</v>
          </cell>
          <cell r="AT139">
            <v>53997</v>
          </cell>
          <cell r="AU139">
            <v>135</v>
          </cell>
          <cell r="AV139">
            <v>0</v>
          </cell>
        </row>
        <row r="140">
          <cell r="AE140">
            <v>50375</v>
          </cell>
          <cell r="AF140">
            <v>136</v>
          </cell>
          <cell r="AG140">
            <v>39958106.261174031</v>
          </cell>
          <cell r="AH140">
            <v>-169657.02613773287</v>
          </cell>
          <cell r="AI140">
            <v>-164457.64337936279</v>
          </cell>
          <cell r="AJ140">
            <v>334114.66951709567</v>
          </cell>
          <cell r="AK140">
            <v>39788449.235036299</v>
          </cell>
          <cell r="AT140">
            <v>54027</v>
          </cell>
          <cell r="AU140">
            <v>136</v>
          </cell>
          <cell r="AV140">
            <v>0</v>
          </cell>
        </row>
        <row r="141">
          <cell r="AE141">
            <v>50406</v>
          </cell>
          <cell r="AF141">
            <v>137</v>
          </cell>
          <cell r="AG141">
            <v>39788449.235036299</v>
          </cell>
          <cell r="AH141">
            <v>-170355.29232980401</v>
          </cell>
          <cell r="AI141">
            <v>-163759.37718729165</v>
          </cell>
          <cell r="AJ141">
            <v>334114.66951709567</v>
          </cell>
          <cell r="AK141">
            <v>39618093.942706496</v>
          </cell>
          <cell r="AT141">
            <v>54058</v>
          </cell>
          <cell r="AU141">
            <v>137</v>
          </cell>
          <cell r="AV141">
            <v>0</v>
          </cell>
        </row>
        <row r="142">
          <cell r="AE142">
            <v>50437</v>
          </cell>
          <cell r="AF142">
            <v>138</v>
          </cell>
          <cell r="AG142">
            <v>39618093.942706496</v>
          </cell>
          <cell r="AH142">
            <v>-171056.4324121353</v>
          </cell>
          <cell r="AI142">
            <v>-163058.23710496037</v>
          </cell>
          <cell r="AJ142">
            <v>334114.66951709567</v>
          </cell>
          <cell r="AK142">
            <v>39447037.510294363</v>
          </cell>
          <cell r="AT142">
            <v>54089</v>
          </cell>
          <cell r="AU142">
            <v>138</v>
          </cell>
          <cell r="AV142">
            <v>0</v>
          </cell>
        </row>
        <row r="143">
          <cell r="AE143">
            <v>50465</v>
          </cell>
          <cell r="AF143">
            <v>139</v>
          </cell>
          <cell r="AG143">
            <v>39447037.510294363</v>
          </cell>
          <cell r="AH143">
            <v>-171760.45821294544</v>
          </cell>
          <cell r="AI143">
            <v>-162354.21130415023</v>
          </cell>
          <cell r="AJ143">
            <v>334114.66951709567</v>
          </cell>
          <cell r="AK143">
            <v>39275277.052081421</v>
          </cell>
          <cell r="AT143">
            <v>54118</v>
          </cell>
          <cell r="AU143">
            <v>139</v>
          </cell>
          <cell r="AV143">
            <v>0</v>
          </cell>
        </row>
        <row r="144">
          <cell r="AE144">
            <v>50496</v>
          </cell>
          <cell r="AF144">
            <v>140</v>
          </cell>
          <cell r="AG144">
            <v>39275277.052081421</v>
          </cell>
          <cell r="AH144">
            <v>-172467.38160913522</v>
          </cell>
          <cell r="AI144">
            <v>-161647.28790796045</v>
          </cell>
          <cell r="AJ144">
            <v>334114.66951709567</v>
          </cell>
          <cell r="AK144">
            <v>39102809.670472287</v>
          </cell>
          <cell r="AT144">
            <v>54149</v>
          </cell>
          <cell r="AU144">
            <v>140</v>
          </cell>
          <cell r="AV144">
            <v>0</v>
          </cell>
        </row>
        <row r="145">
          <cell r="AE145">
            <v>50526</v>
          </cell>
          <cell r="AF145">
            <v>141</v>
          </cell>
          <cell r="AG145">
            <v>39102809.670472287</v>
          </cell>
          <cell r="AH145">
            <v>-173177.21452648763</v>
          </cell>
          <cell r="AI145">
            <v>-160937.45499060804</v>
          </cell>
          <cell r="AJ145">
            <v>334114.66951709567</v>
          </cell>
          <cell r="AK145">
            <v>38929632.455945797</v>
          </cell>
          <cell r="AT145">
            <v>54179</v>
          </cell>
          <cell r="AU145">
            <v>141</v>
          </cell>
          <cell r="AV145">
            <v>0</v>
          </cell>
        </row>
        <row r="146">
          <cell r="AE146">
            <v>50557</v>
          </cell>
          <cell r="AF146">
            <v>142</v>
          </cell>
          <cell r="AG146">
            <v>38929632.455945797</v>
          </cell>
          <cell r="AH146">
            <v>-173889.96893986937</v>
          </cell>
          <cell r="AI146">
            <v>-160224.70057722629</v>
          </cell>
          <cell r="AJ146">
            <v>334114.66951709567</v>
          </cell>
          <cell r="AK146">
            <v>38755742.487005927</v>
          </cell>
          <cell r="AT146">
            <v>54210</v>
          </cell>
          <cell r="AU146">
            <v>142</v>
          </cell>
          <cell r="AV146">
            <v>0</v>
          </cell>
        </row>
        <row r="147">
          <cell r="AE147">
            <v>50587</v>
          </cell>
          <cell r="AF147">
            <v>143</v>
          </cell>
          <cell r="AG147">
            <v>38755742.487005927</v>
          </cell>
          <cell r="AH147">
            <v>-174605.65687343266</v>
          </cell>
          <cell r="AI147">
            <v>-159509.01264366301</v>
          </cell>
          <cell r="AJ147">
            <v>334114.66951709567</v>
          </cell>
          <cell r="AK147">
            <v>38581136.830132492</v>
          </cell>
          <cell r="AT147">
            <v>54240</v>
          </cell>
          <cell r="AU147">
            <v>143</v>
          </cell>
          <cell r="AV147">
            <v>0</v>
          </cell>
        </row>
        <row r="148">
          <cell r="AE148">
            <v>50618</v>
          </cell>
          <cell r="AF148">
            <v>144</v>
          </cell>
          <cell r="AG148">
            <v>38581136.830132492</v>
          </cell>
          <cell r="AH148">
            <v>-175324.29040081814</v>
          </cell>
          <cell r="AI148">
            <v>-158790.37911627753</v>
          </cell>
          <cell r="AJ148">
            <v>334114.66951709567</v>
          </cell>
          <cell r="AK148">
            <v>38405812.539731674</v>
          </cell>
          <cell r="AT148">
            <v>54271</v>
          </cell>
          <cell r="AU148">
            <v>144</v>
          </cell>
          <cell r="AV148">
            <v>0</v>
          </cell>
        </row>
        <row r="149">
          <cell r="AE149">
            <v>50649</v>
          </cell>
          <cell r="AF149">
            <v>145</v>
          </cell>
          <cell r="AG149">
            <v>38405812.539731674</v>
          </cell>
          <cell r="AH149">
            <v>-176045.88164535846</v>
          </cell>
          <cell r="AI149">
            <v>-158068.78787173721</v>
          </cell>
          <cell r="AJ149">
            <v>334114.66951709567</v>
          </cell>
          <cell r="AK149">
            <v>38229766.658086315</v>
          </cell>
          <cell r="AT149">
            <v>54302</v>
          </cell>
          <cell r="AU149">
            <v>145</v>
          </cell>
          <cell r="AV149">
            <v>0</v>
          </cell>
        </row>
        <row r="150">
          <cell r="AE150">
            <v>50679</v>
          </cell>
          <cell r="AF150">
            <v>146</v>
          </cell>
          <cell r="AG150">
            <v>38229766.658086315</v>
          </cell>
          <cell r="AH150">
            <v>-176770.44278028319</v>
          </cell>
          <cell r="AI150">
            <v>-157344.22673681247</v>
          </cell>
          <cell r="AJ150">
            <v>334114.66951709567</v>
          </cell>
          <cell r="AK150">
            <v>38052996.215306029</v>
          </cell>
          <cell r="AT150">
            <v>54332</v>
          </cell>
          <cell r="AU150">
            <v>146</v>
          </cell>
          <cell r="AV150">
            <v>0</v>
          </cell>
        </row>
        <row r="151">
          <cell r="AE151">
            <v>50710</v>
          </cell>
          <cell r="AF151">
            <v>147</v>
          </cell>
          <cell r="AG151">
            <v>38052996.215306029</v>
          </cell>
          <cell r="AH151">
            <v>-177497.98602892354</v>
          </cell>
          <cell r="AI151">
            <v>-156616.68348817213</v>
          </cell>
          <cell r="AJ151">
            <v>334114.66951709567</v>
          </cell>
          <cell r="AK151">
            <v>37875498.229277104</v>
          </cell>
          <cell r="AT151">
            <v>54363</v>
          </cell>
          <cell r="AU151">
            <v>147</v>
          </cell>
          <cell r="AV151">
            <v>0</v>
          </cell>
        </row>
        <row r="152">
          <cell r="AE152">
            <v>50740</v>
          </cell>
          <cell r="AF152">
            <v>148</v>
          </cell>
          <cell r="AG152">
            <v>37875498.229277104</v>
          </cell>
          <cell r="AH152">
            <v>-178228.52366491919</v>
          </cell>
          <cell r="AI152">
            <v>-155886.14585217647</v>
          </cell>
          <cell r="AJ152">
            <v>334114.66951709567</v>
          </cell>
          <cell r="AK152">
            <v>37697269.705612183</v>
          </cell>
          <cell r="AT152">
            <v>54393</v>
          </cell>
          <cell r="AU152">
            <v>148</v>
          </cell>
          <cell r="AV152">
            <v>0</v>
          </cell>
        </row>
        <row r="153">
          <cell r="AE153">
            <v>50771</v>
          </cell>
          <cell r="AF153">
            <v>149</v>
          </cell>
          <cell r="AG153">
            <v>37697269.705612183</v>
          </cell>
          <cell r="AH153">
            <v>-178962.06801242489</v>
          </cell>
          <cell r="AI153">
            <v>-155152.60150467078</v>
          </cell>
          <cell r="AJ153">
            <v>334114.66951709567</v>
          </cell>
          <cell r="AK153">
            <v>37518307.637599759</v>
          </cell>
          <cell r="AT153">
            <v>54424</v>
          </cell>
          <cell r="AU153">
            <v>149</v>
          </cell>
          <cell r="AV153">
            <v>0</v>
          </cell>
        </row>
        <row r="154">
          <cell r="AE154">
            <v>50802</v>
          </cell>
          <cell r="AF154">
            <v>150</v>
          </cell>
          <cell r="AG154">
            <v>37518307.637599759</v>
          </cell>
          <cell r="AH154">
            <v>-179698.63144631858</v>
          </cell>
          <cell r="AI154">
            <v>-154416.03807077708</v>
          </cell>
          <cell r="AJ154">
            <v>334114.66951709567</v>
          </cell>
          <cell r="AK154">
            <v>37338609.006153442</v>
          </cell>
          <cell r="AT154">
            <v>54455</v>
          </cell>
          <cell r="AU154">
            <v>150</v>
          </cell>
          <cell r="AV154">
            <v>0</v>
          </cell>
        </row>
        <row r="155">
          <cell r="AE155">
            <v>50830</v>
          </cell>
          <cell r="AF155">
            <v>151</v>
          </cell>
          <cell r="AG155">
            <v>37338609.006153442</v>
          </cell>
          <cell r="AH155">
            <v>-180438.22639241026</v>
          </cell>
          <cell r="AI155">
            <v>-153676.44312468541</v>
          </cell>
          <cell r="AJ155">
            <v>334114.66951709567</v>
          </cell>
          <cell r="AK155">
            <v>37158170.779761031</v>
          </cell>
          <cell r="AT155">
            <v>54483</v>
          </cell>
          <cell r="AU155">
            <v>151</v>
          </cell>
          <cell r="AV155">
            <v>0</v>
          </cell>
        </row>
        <row r="156">
          <cell r="AE156">
            <v>50861</v>
          </cell>
          <cell r="AF156">
            <v>152</v>
          </cell>
          <cell r="AG156">
            <v>37158170.779761031</v>
          </cell>
          <cell r="AH156">
            <v>-181180.86532765135</v>
          </cell>
          <cell r="AI156">
            <v>-152933.80418944432</v>
          </cell>
          <cell r="AJ156">
            <v>334114.66951709567</v>
          </cell>
          <cell r="AK156">
            <v>36976989.914433382</v>
          </cell>
          <cell r="AT156">
            <v>54514</v>
          </cell>
          <cell r="AU156">
            <v>152</v>
          </cell>
          <cell r="AV156">
            <v>0</v>
          </cell>
        </row>
        <row r="157">
          <cell r="AE157">
            <v>50891</v>
          </cell>
          <cell r="AF157">
            <v>153</v>
          </cell>
          <cell r="AG157">
            <v>36976989.914433382</v>
          </cell>
          <cell r="AH157">
            <v>-181926.56078034532</v>
          </cell>
          <cell r="AI157">
            <v>-152188.10873675035</v>
          </cell>
          <cell r="AJ157">
            <v>334114.66951709567</v>
          </cell>
          <cell r="AK157">
            <v>36795063.353653036</v>
          </cell>
          <cell r="AT157">
            <v>54544</v>
          </cell>
          <cell r="AU157">
            <v>153</v>
          </cell>
          <cell r="AV157">
            <v>0</v>
          </cell>
        </row>
        <row r="158">
          <cell r="AE158">
            <v>50922</v>
          </cell>
          <cell r="AF158">
            <v>154</v>
          </cell>
          <cell r="AG158">
            <v>36795063.353653036</v>
          </cell>
          <cell r="AH158">
            <v>-182675.32533035899</v>
          </cell>
          <cell r="AI158">
            <v>-151439.34418673668</v>
          </cell>
          <cell r="AJ158">
            <v>334114.66951709567</v>
          </cell>
          <cell r="AK158">
            <v>36612388.028322674</v>
          </cell>
          <cell r="AT158">
            <v>54575</v>
          </cell>
          <cell r="AU158">
            <v>154</v>
          </cell>
          <cell r="AV158">
            <v>0</v>
          </cell>
        </row>
        <row r="159">
          <cell r="AE159">
            <v>50952</v>
          </cell>
          <cell r="AF159">
            <v>155</v>
          </cell>
          <cell r="AG159">
            <v>36612388.028322674</v>
          </cell>
          <cell r="AH159">
            <v>-183427.17160933494</v>
          </cell>
          <cell r="AI159">
            <v>-150687.49790776073</v>
          </cell>
          <cell r="AJ159">
            <v>334114.66951709567</v>
          </cell>
          <cell r="AK159">
            <v>36428960.85671334</v>
          </cell>
          <cell r="AT159">
            <v>54605</v>
          </cell>
          <cell r="AU159">
            <v>155</v>
          </cell>
          <cell r="AV159">
            <v>0</v>
          </cell>
        </row>
        <row r="160">
          <cell r="AE160">
            <v>50983</v>
          </cell>
          <cell r="AF160">
            <v>156</v>
          </cell>
          <cell r="AG160">
            <v>36428960.85671334</v>
          </cell>
          <cell r="AH160">
            <v>-184182.11230090429</v>
          </cell>
          <cell r="AI160">
            <v>-149932.55721619137</v>
          </cell>
          <cell r="AJ160">
            <v>334114.66951709567</v>
          </cell>
          <cell r="AK160">
            <v>36244778.744412437</v>
          </cell>
          <cell r="AT160">
            <v>54636</v>
          </cell>
          <cell r="AU160">
            <v>156</v>
          </cell>
          <cell r="AV160">
            <v>0</v>
          </cell>
        </row>
        <row r="161">
          <cell r="AE161">
            <v>51014</v>
          </cell>
          <cell r="AF161">
            <v>157</v>
          </cell>
          <cell r="AG161">
            <v>36244778.744412437</v>
          </cell>
          <cell r="AH161">
            <v>-184940.16014090099</v>
          </cell>
          <cell r="AI161">
            <v>-149174.50937619468</v>
          </cell>
          <cell r="AJ161">
            <v>334114.66951709567</v>
          </cell>
          <cell r="AK161">
            <v>36059838.584271535</v>
          </cell>
          <cell r="AT161">
            <v>54667</v>
          </cell>
          <cell r="AU161">
            <v>157</v>
          </cell>
          <cell r="AV161">
            <v>0</v>
          </cell>
        </row>
        <row r="162">
          <cell r="AE162">
            <v>51044</v>
          </cell>
          <cell r="AF162">
            <v>158</v>
          </cell>
          <cell r="AG162">
            <v>36059838.584271535</v>
          </cell>
          <cell r="AH162">
            <v>-185701.32791757627</v>
          </cell>
          <cell r="AI162">
            <v>-148413.34159951939</v>
          </cell>
          <cell r="AJ162">
            <v>334114.66951709567</v>
          </cell>
          <cell r="AK162">
            <v>35874137.256353959</v>
          </cell>
          <cell r="AT162">
            <v>54697</v>
          </cell>
          <cell r="AU162">
            <v>158</v>
          </cell>
          <cell r="AV162">
            <v>0</v>
          </cell>
        </row>
        <row r="163">
          <cell r="AE163">
            <v>51075</v>
          </cell>
          <cell r="AF163">
            <v>159</v>
          </cell>
          <cell r="AG163">
            <v>35874137.256353959</v>
          </cell>
          <cell r="AH163">
            <v>-186465.62847181497</v>
          </cell>
          <cell r="AI163">
            <v>-147649.0410452807</v>
          </cell>
          <cell r="AJ163">
            <v>334114.66951709567</v>
          </cell>
          <cell r="AK163">
            <v>35687671.627882145</v>
          </cell>
          <cell r="AT163">
            <v>54728</v>
          </cell>
          <cell r="AU163">
            <v>159</v>
          </cell>
          <cell r="AV163">
            <v>0</v>
          </cell>
        </row>
        <row r="164">
          <cell r="AE164">
            <v>51105</v>
          </cell>
          <cell r="AF164">
            <v>160</v>
          </cell>
          <cell r="AG164">
            <v>35687671.627882145</v>
          </cell>
          <cell r="AH164">
            <v>-187233.07469735152</v>
          </cell>
          <cell r="AI164">
            <v>-146881.59481974415</v>
          </cell>
          <cell r="AJ164">
            <v>334114.66951709567</v>
          </cell>
          <cell r="AK164">
            <v>35500438.553184792</v>
          </cell>
          <cell r="AT164">
            <v>54758</v>
          </cell>
          <cell r="AU164">
            <v>160</v>
          </cell>
          <cell r="AV164">
            <v>0</v>
          </cell>
        </row>
        <row r="165">
          <cell r="AE165">
            <v>51136</v>
          </cell>
          <cell r="AF165">
            <v>161</v>
          </cell>
          <cell r="AG165">
            <v>35500438.553184792</v>
          </cell>
          <cell r="AH165">
            <v>-188003.67954098791</v>
          </cell>
          <cell r="AI165">
            <v>-146110.98997610775</v>
          </cell>
          <cell r="AJ165">
            <v>334114.66951709567</v>
          </cell>
          <cell r="AK165">
            <v>35312434.873643808</v>
          </cell>
          <cell r="AT165">
            <v>54789</v>
          </cell>
          <cell r="AU165">
            <v>161</v>
          </cell>
          <cell r="AV165">
            <v>0</v>
          </cell>
        </row>
        <row r="166">
          <cell r="AE166">
            <v>51167</v>
          </cell>
          <cell r="AF166">
            <v>162</v>
          </cell>
          <cell r="AG166">
            <v>35312434.873643808</v>
          </cell>
          <cell r="AH166">
            <v>-188777.45600281196</v>
          </cell>
          <cell r="AI166">
            <v>-145337.21351428371</v>
          </cell>
          <cell r="AJ166">
            <v>334114.66951709567</v>
          </cell>
          <cell r="AK166">
            <v>35123657.417640999</v>
          </cell>
          <cell r="AT166">
            <v>54820</v>
          </cell>
          <cell r="AU166">
            <v>162</v>
          </cell>
          <cell r="AV166">
            <v>0</v>
          </cell>
        </row>
        <row r="167">
          <cell r="AE167">
            <v>51196</v>
          </cell>
          <cell r="AF167">
            <v>163</v>
          </cell>
          <cell r="AG167">
            <v>35123657.417640999</v>
          </cell>
          <cell r="AH167">
            <v>-189554.41713641654</v>
          </cell>
          <cell r="AI167">
            <v>-144560.25238067913</v>
          </cell>
          <cell r="AJ167">
            <v>334114.66951709567</v>
          </cell>
          <cell r="AK167">
            <v>34934103.000504583</v>
          </cell>
          <cell r="AT167">
            <v>54848</v>
          </cell>
          <cell r="AU167">
            <v>163</v>
          </cell>
          <cell r="AV167">
            <v>0</v>
          </cell>
        </row>
        <row r="168">
          <cell r="AE168">
            <v>51227</v>
          </cell>
          <cell r="AF168">
            <v>164</v>
          </cell>
          <cell r="AG168">
            <v>34934103.000504583</v>
          </cell>
          <cell r="AH168">
            <v>-190334.57604911987</v>
          </cell>
          <cell r="AI168">
            <v>-143780.09346797579</v>
          </cell>
          <cell r="AJ168">
            <v>334114.66951709567</v>
          </cell>
          <cell r="AK168">
            <v>34743768.424455464</v>
          </cell>
          <cell r="AT168">
            <v>54879</v>
          </cell>
          <cell r="AU168">
            <v>164</v>
          </cell>
          <cell r="AV168">
            <v>0</v>
          </cell>
        </row>
        <row r="169">
          <cell r="AE169">
            <v>51257</v>
          </cell>
          <cell r="AF169">
            <v>165</v>
          </cell>
          <cell r="AG169">
            <v>34743768.424455464</v>
          </cell>
          <cell r="AH169">
            <v>-191117.94590218682</v>
          </cell>
          <cell r="AI169">
            <v>-142996.72361490884</v>
          </cell>
          <cell r="AJ169">
            <v>334114.66951709567</v>
          </cell>
          <cell r="AK169">
            <v>34552650.47855328</v>
          </cell>
          <cell r="AT169">
            <v>54909</v>
          </cell>
          <cell r="AU169">
            <v>165</v>
          </cell>
          <cell r="AV169">
            <v>0</v>
          </cell>
        </row>
        <row r="170">
          <cell r="AE170">
            <v>51288</v>
          </cell>
          <cell r="AF170">
            <v>166</v>
          </cell>
          <cell r="AG170">
            <v>34552650.47855328</v>
          </cell>
          <cell r="AH170">
            <v>-191904.53991105052</v>
          </cell>
          <cell r="AI170">
            <v>-142210.12960604514</v>
          </cell>
          <cell r="AJ170">
            <v>334114.66951709567</v>
          </cell>
          <cell r="AK170">
            <v>34360745.938642226</v>
          </cell>
          <cell r="AT170">
            <v>54940</v>
          </cell>
          <cell r="AU170">
            <v>166</v>
          </cell>
          <cell r="AV170">
            <v>0</v>
          </cell>
        </row>
        <row r="171">
          <cell r="AE171">
            <v>51318</v>
          </cell>
          <cell r="AF171">
            <v>167</v>
          </cell>
          <cell r="AG171">
            <v>34360745.938642226</v>
          </cell>
          <cell r="AH171">
            <v>-192694.37134553562</v>
          </cell>
          <cell r="AI171">
            <v>-141420.29817156005</v>
          </cell>
          <cell r="AJ171">
            <v>334114.66951709567</v>
          </cell>
          <cell r="AK171">
            <v>34168051.567296691</v>
          </cell>
          <cell r="AT171">
            <v>54970</v>
          </cell>
          <cell r="AU171">
            <v>167</v>
          </cell>
          <cell r="AV171">
            <v>0</v>
          </cell>
        </row>
        <row r="172">
          <cell r="AE172">
            <v>51349</v>
          </cell>
          <cell r="AF172">
            <v>168</v>
          </cell>
          <cell r="AG172">
            <v>34168051.567296691</v>
          </cell>
          <cell r="AH172">
            <v>-193487.45353008219</v>
          </cell>
          <cell r="AI172">
            <v>-140627.21598701348</v>
          </cell>
          <cell r="AJ172">
            <v>334114.66951709567</v>
          </cell>
          <cell r="AK172">
            <v>33974564.113766611</v>
          </cell>
          <cell r="AT172">
            <v>55001</v>
          </cell>
          <cell r="AU172">
            <v>168</v>
          </cell>
          <cell r="AV172">
            <v>0</v>
          </cell>
        </row>
        <row r="173">
          <cell r="AE173">
            <v>51380</v>
          </cell>
          <cell r="AF173">
            <v>169</v>
          </cell>
          <cell r="AG173">
            <v>33974564.113766611</v>
          </cell>
          <cell r="AH173">
            <v>-194283.79984397019</v>
          </cell>
          <cell r="AI173">
            <v>-139830.86967312547</v>
          </cell>
          <cell r="AJ173">
            <v>334114.66951709567</v>
          </cell>
          <cell r="AK173">
            <v>33780280.313922644</v>
          </cell>
          <cell r="AT173">
            <v>55032</v>
          </cell>
          <cell r="AU173">
            <v>169</v>
          </cell>
          <cell r="AV173">
            <v>0</v>
          </cell>
        </row>
        <row r="174">
          <cell r="AE174">
            <v>51410</v>
          </cell>
          <cell r="AF174">
            <v>170</v>
          </cell>
          <cell r="AG174">
            <v>33780280.313922644</v>
          </cell>
          <cell r="AH174">
            <v>-195083.42372154552</v>
          </cell>
          <cell r="AI174">
            <v>-139031.24579555014</v>
          </cell>
          <cell r="AJ174">
            <v>334114.66951709567</v>
          </cell>
          <cell r="AK174">
            <v>33585196.890201099</v>
          </cell>
          <cell r="AT174">
            <v>55062</v>
          </cell>
          <cell r="AU174">
            <v>170</v>
          </cell>
          <cell r="AV174">
            <v>0</v>
          </cell>
        </row>
        <row r="175">
          <cell r="AE175">
            <v>51441</v>
          </cell>
          <cell r="AF175">
            <v>171</v>
          </cell>
          <cell r="AG175">
            <v>33585196.890201099</v>
          </cell>
          <cell r="AH175">
            <v>-195886.33865244646</v>
          </cell>
          <cell r="AI175">
            <v>-138228.33086464921</v>
          </cell>
          <cell r="AJ175">
            <v>334114.66951709567</v>
          </cell>
          <cell r="AK175">
            <v>33389310.551548652</v>
          </cell>
          <cell r="AT175">
            <v>55093</v>
          </cell>
          <cell r="AU175">
            <v>171</v>
          </cell>
          <cell r="AV175">
            <v>0</v>
          </cell>
        </row>
        <row r="176">
          <cell r="AE176">
            <v>51471</v>
          </cell>
          <cell r="AF176">
            <v>172</v>
          </cell>
          <cell r="AG176">
            <v>33389310.551548652</v>
          </cell>
          <cell r="AH176">
            <v>-196692.55818183129</v>
          </cell>
          <cell r="AI176">
            <v>-137422.11133526437</v>
          </cell>
          <cell r="AJ176">
            <v>334114.66951709567</v>
          </cell>
          <cell r="AK176">
            <v>33192617.993366823</v>
          </cell>
          <cell r="AT176">
            <v>55123</v>
          </cell>
          <cell r="AU176">
            <v>172</v>
          </cell>
          <cell r="AV176">
            <v>0</v>
          </cell>
        </row>
        <row r="177">
          <cell r="AE177">
            <v>51502</v>
          </cell>
          <cell r="AF177">
            <v>173</v>
          </cell>
          <cell r="AG177">
            <v>33192617.993366823</v>
          </cell>
          <cell r="AH177">
            <v>-197502.09591060685</v>
          </cell>
          <cell r="AI177">
            <v>-136612.57360648882</v>
          </cell>
          <cell r="AJ177">
            <v>334114.66951709567</v>
          </cell>
          <cell r="AK177">
            <v>32995115.897456218</v>
          </cell>
          <cell r="AT177">
            <v>55154</v>
          </cell>
          <cell r="AU177">
            <v>173</v>
          </cell>
          <cell r="AV177">
            <v>0</v>
          </cell>
        </row>
        <row r="178">
          <cell r="AE178">
            <v>51533</v>
          </cell>
          <cell r="AF178">
            <v>174</v>
          </cell>
          <cell r="AG178">
            <v>32995115.897456218</v>
          </cell>
          <cell r="AH178">
            <v>-198314.96549565782</v>
          </cell>
          <cell r="AI178">
            <v>-135799.70402143785</v>
          </cell>
          <cell r="AJ178">
            <v>334114.66951709567</v>
          </cell>
          <cell r="AK178">
            <v>32796800.93196056</v>
          </cell>
          <cell r="AT178">
            <v>55185</v>
          </cell>
          <cell r="AU178">
            <v>174</v>
          </cell>
          <cell r="AV178">
            <v>0</v>
          </cell>
        </row>
        <row r="179">
          <cell r="AE179">
            <v>51561</v>
          </cell>
          <cell r="AF179">
            <v>175</v>
          </cell>
          <cell r="AG179">
            <v>32796800.93196056</v>
          </cell>
          <cell r="AH179">
            <v>-199131.18065007732</v>
          </cell>
          <cell r="AI179">
            <v>-134983.48886701834</v>
          </cell>
          <cell r="AJ179">
            <v>334114.66951709567</v>
          </cell>
          <cell r="AK179">
            <v>32597669.751310483</v>
          </cell>
          <cell r="AT179">
            <v>55213</v>
          </cell>
          <cell r="AU179">
            <v>175</v>
          </cell>
          <cell r="AV179">
            <v>0</v>
          </cell>
        </row>
        <row r="180">
          <cell r="AE180">
            <v>51592</v>
          </cell>
          <cell r="AF180">
            <v>176</v>
          </cell>
          <cell r="AG180">
            <v>32597669.751310483</v>
          </cell>
          <cell r="AH180">
            <v>-199950.75514339816</v>
          </cell>
          <cell r="AI180">
            <v>-134163.91437369751</v>
          </cell>
          <cell r="AJ180">
            <v>334114.66951709567</v>
          </cell>
          <cell r="AK180">
            <v>32397718.996167086</v>
          </cell>
          <cell r="AT180">
            <v>55244</v>
          </cell>
          <cell r="AU180">
            <v>176</v>
          </cell>
          <cell r="AV180">
            <v>0</v>
          </cell>
        </row>
        <row r="181">
          <cell r="AE181">
            <v>51622</v>
          </cell>
          <cell r="AF181">
            <v>177</v>
          </cell>
          <cell r="AG181">
            <v>32397718.996167086</v>
          </cell>
          <cell r="AH181">
            <v>-200773.7028018251</v>
          </cell>
          <cell r="AI181">
            <v>-133340.96671527057</v>
          </cell>
          <cell r="AJ181">
            <v>334114.66951709567</v>
          </cell>
          <cell r="AK181">
            <v>32196945.293365262</v>
          </cell>
          <cell r="AT181">
            <v>55274</v>
          </cell>
          <cell r="AU181">
            <v>177</v>
          </cell>
          <cell r="AV181">
            <v>0</v>
          </cell>
        </row>
        <row r="182">
          <cell r="AE182">
            <v>51653</v>
          </cell>
          <cell r="AF182">
            <v>178</v>
          </cell>
          <cell r="AG182">
            <v>32196945.293365262</v>
          </cell>
          <cell r="AH182">
            <v>-201600.03750846806</v>
          </cell>
          <cell r="AI182">
            <v>-132514.63200862761</v>
          </cell>
          <cell r="AJ182">
            <v>334114.66951709567</v>
          </cell>
          <cell r="AK182">
            <v>31995345.255856793</v>
          </cell>
          <cell r="AT182">
            <v>55305</v>
          </cell>
          <cell r="AU182">
            <v>178</v>
          </cell>
          <cell r="AV182">
            <v>0</v>
          </cell>
        </row>
        <row r="183">
          <cell r="AE183">
            <v>51683</v>
          </cell>
          <cell r="AF183">
            <v>179</v>
          </cell>
          <cell r="AG183">
            <v>31995345.255856793</v>
          </cell>
          <cell r="AH183">
            <v>-202429.77320357657</v>
          </cell>
          <cell r="AI183">
            <v>-131684.8963135191</v>
          </cell>
          <cell r="AJ183">
            <v>334114.66951709567</v>
          </cell>
          <cell r="AK183">
            <v>31792915.482653216</v>
          </cell>
          <cell r="AT183">
            <v>55335</v>
          </cell>
          <cell r="AU183">
            <v>179</v>
          </cell>
          <cell r="AV183">
            <v>0</v>
          </cell>
        </row>
        <row r="184">
          <cell r="AE184">
            <v>51714</v>
          </cell>
          <cell r="AF184">
            <v>180</v>
          </cell>
          <cell r="AG184">
            <v>31792915.482653216</v>
          </cell>
          <cell r="AH184">
            <v>-203262.92388477456</v>
          </cell>
          <cell r="AI184">
            <v>-130851.74563232111</v>
          </cell>
          <cell r="AJ184">
            <v>334114.66951709567</v>
          </cell>
          <cell r="AK184">
            <v>31589652.55876844</v>
          </cell>
          <cell r="AT184">
            <v>55366</v>
          </cell>
          <cell r="AU184">
            <v>180</v>
          </cell>
          <cell r="AV184">
            <v>0</v>
          </cell>
        </row>
        <row r="185">
          <cell r="AE185">
            <v>51745</v>
          </cell>
          <cell r="AF185">
            <v>181</v>
          </cell>
          <cell r="AG185">
            <v>31589652.55876844</v>
          </cell>
          <cell r="AH185">
            <v>-204099.50360729685</v>
          </cell>
          <cell r="AI185">
            <v>-130015.16590979883</v>
          </cell>
          <cell r="AJ185">
            <v>334114.66951709567</v>
          </cell>
          <cell r="AK185">
            <v>31385553.055161145</v>
          </cell>
          <cell r="AT185">
            <v>55397</v>
          </cell>
          <cell r="AU185">
            <v>181</v>
          </cell>
          <cell r="AV185">
            <v>0</v>
          </cell>
        </row>
        <row r="186">
          <cell r="AE186">
            <v>51775</v>
          </cell>
          <cell r="AF186">
            <v>182</v>
          </cell>
          <cell r="AG186">
            <v>31385553.055161145</v>
          </cell>
          <cell r="AH186">
            <v>-204939.52648422605</v>
          </cell>
          <cell r="AI186">
            <v>-129175.14303286963</v>
          </cell>
          <cell r="AJ186">
            <v>334114.66951709567</v>
          </cell>
          <cell r="AK186">
            <v>31180613.52867692</v>
          </cell>
          <cell r="AT186">
            <v>55427</v>
          </cell>
          <cell r="AU186">
            <v>182</v>
          </cell>
          <cell r="AV186">
            <v>0</v>
          </cell>
        </row>
        <row r="187">
          <cell r="AE187">
            <v>51806</v>
          </cell>
          <cell r="AF187">
            <v>183</v>
          </cell>
          <cell r="AG187">
            <v>31180613.52867692</v>
          </cell>
          <cell r="AH187">
            <v>-205783.00668673072</v>
          </cell>
          <cell r="AI187">
            <v>-128331.66283036496</v>
          </cell>
          <cell r="AJ187">
            <v>334114.66951709567</v>
          </cell>
          <cell r="AK187">
            <v>30974830.521990187</v>
          </cell>
          <cell r="AT187">
            <v>55458</v>
          </cell>
          <cell r="AU187">
            <v>183</v>
          </cell>
          <cell r="AV187">
            <v>0</v>
          </cell>
        </row>
        <row r="188">
          <cell r="AE188">
            <v>51836</v>
          </cell>
          <cell r="AF188">
            <v>184</v>
          </cell>
          <cell r="AG188">
            <v>30974830.521990187</v>
          </cell>
          <cell r="AH188">
            <v>-206629.95844430442</v>
          </cell>
          <cell r="AI188">
            <v>-127484.71107279124</v>
          </cell>
          <cell r="AJ188">
            <v>334114.66951709567</v>
          </cell>
          <cell r="AK188">
            <v>30768200.563545883</v>
          </cell>
          <cell r="AT188">
            <v>55488</v>
          </cell>
          <cell r="AU188">
            <v>184</v>
          </cell>
          <cell r="AV188">
            <v>0</v>
          </cell>
        </row>
        <row r="189">
          <cell r="AE189">
            <v>51867</v>
          </cell>
          <cell r="AF189">
            <v>185</v>
          </cell>
          <cell r="AG189">
            <v>30768200.563545883</v>
          </cell>
          <cell r="AH189">
            <v>-207480.39604500588</v>
          </cell>
          <cell r="AI189">
            <v>-126634.2734720898</v>
          </cell>
          <cell r="AJ189">
            <v>334114.66951709567</v>
          </cell>
          <cell r="AK189">
            <v>30560720.167500876</v>
          </cell>
          <cell r="AT189">
            <v>55519</v>
          </cell>
          <cell r="AU189">
            <v>185</v>
          </cell>
          <cell r="AV189">
            <v>0</v>
          </cell>
        </row>
        <row r="190">
          <cell r="AE190">
            <v>51898</v>
          </cell>
          <cell r="AF190">
            <v>186</v>
          </cell>
          <cell r="AG190">
            <v>30560720.167500876</v>
          </cell>
          <cell r="AH190">
            <v>-208334.33383569977</v>
          </cell>
          <cell r="AI190">
            <v>-125780.3356813959</v>
          </cell>
          <cell r="AJ190">
            <v>334114.66951709567</v>
          </cell>
          <cell r="AK190">
            <v>30352385.833665177</v>
          </cell>
          <cell r="AT190">
            <v>55550</v>
          </cell>
          <cell r="AU190">
            <v>186</v>
          </cell>
          <cell r="AV190">
            <v>0</v>
          </cell>
        </row>
        <row r="191">
          <cell r="AE191">
            <v>51926</v>
          </cell>
          <cell r="AF191">
            <v>187</v>
          </cell>
          <cell r="AG191">
            <v>30352385.833665177</v>
          </cell>
          <cell r="AH191">
            <v>-209191.78622229898</v>
          </cell>
          <cell r="AI191">
            <v>-124922.8832947967</v>
          </cell>
          <cell r="AJ191">
            <v>334114.66951709567</v>
          </cell>
          <cell r="AK191">
            <v>30143194.04744288</v>
          </cell>
          <cell r="AT191">
            <v>55579</v>
          </cell>
          <cell r="AU191">
            <v>187</v>
          </cell>
          <cell r="AV191">
            <v>0</v>
          </cell>
        </row>
        <row r="192">
          <cell r="AE192">
            <v>51957</v>
          </cell>
          <cell r="AF192">
            <v>188</v>
          </cell>
          <cell r="AG192">
            <v>30143194.04744288</v>
          </cell>
          <cell r="AH192">
            <v>-210052.76767000754</v>
          </cell>
          <cell r="AI192">
            <v>-124061.90184708811</v>
          </cell>
          <cell r="AJ192">
            <v>334114.66951709567</v>
          </cell>
          <cell r="AK192">
            <v>29933141.27977287</v>
          </cell>
          <cell r="AT192">
            <v>55610</v>
          </cell>
          <cell r="AU192">
            <v>188</v>
          </cell>
          <cell r="AV192">
            <v>0</v>
          </cell>
        </row>
        <row r="193">
          <cell r="AE193">
            <v>51987</v>
          </cell>
          <cell r="AF193">
            <v>189</v>
          </cell>
          <cell r="AG193">
            <v>29933141.27977287</v>
          </cell>
          <cell r="AH193">
            <v>-210917.29270356469</v>
          </cell>
          <cell r="AI193">
            <v>-123197.37681353097</v>
          </cell>
          <cell r="AJ193">
            <v>334114.66951709567</v>
          </cell>
          <cell r="AK193">
            <v>29722223.987069305</v>
          </cell>
          <cell r="AT193">
            <v>55640</v>
          </cell>
          <cell r="AU193">
            <v>189</v>
          </cell>
          <cell r="AV193">
            <v>0</v>
          </cell>
        </row>
        <row r="194">
          <cell r="AE194">
            <v>52018</v>
          </cell>
          <cell r="AF194">
            <v>190</v>
          </cell>
          <cell r="AG194">
            <v>29722223.987069305</v>
          </cell>
          <cell r="AH194">
            <v>-211785.37590748991</v>
          </cell>
          <cell r="AI194">
            <v>-122329.29360960575</v>
          </cell>
          <cell r="AJ194">
            <v>334114.66951709567</v>
          </cell>
          <cell r="AK194">
            <v>29510438.611161817</v>
          </cell>
          <cell r="AT194">
            <v>55671</v>
          </cell>
          <cell r="AU194">
            <v>190</v>
          </cell>
          <cell r="AV194">
            <v>0</v>
          </cell>
        </row>
        <row r="195">
          <cell r="AE195">
            <v>52048</v>
          </cell>
          <cell r="AF195">
            <v>191</v>
          </cell>
          <cell r="AG195">
            <v>29510438.611161817</v>
          </cell>
          <cell r="AH195">
            <v>-212657.03192632887</v>
          </cell>
          <cell r="AI195">
            <v>-121457.6375907668</v>
          </cell>
          <cell r="AJ195">
            <v>334114.66951709567</v>
          </cell>
          <cell r="AK195">
            <v>29297781.579235487</v>
          </cell>
          <cell r="AT195">
            <v>55701</v>
          </cell>
          <cell r="AU195">
            <v>191</v>
          </cell>
          <cell r="AV195">
            <v>0</v>
          </cell>
        </row>
        <row r="196">
          <cell r="AE196">
            <v>52079</v>
          </cell>
          <cell r="AF196">
            <v>192</v>
          </cell>
          <cell r="AG196">
            <v>29297781.579235487</v>
          </cell>
          <cell r="AH196">
            <v>-213532.27546490054</v>
          </cell>
          <cell r="AI196">
            <v>-120582.39405219512</v>
          </cell>
          <cell r="AJ196">
            <v>334114.66951709567</v>
          </cell>
          <cell r="AK196">
            <v>29084249.303770587</v>
          </cell>
          <cell r="AT196">
            <v>55732</v>
          </cell>
          <cell r="AU196">
            <v>192</v>
          </cell>
          <cell r="AV196">
            <v>0</v>
          </cell>
        </row>
        <row r="197">
          <cell r="AE197">
            <v>52110</v>
          </cell>
          <cell r="AF197">
            <v>193</v>
          </cell>
          <cell r="AG197">
            <v>29084249.303770587</v>
          </cell>
          <cell r="AH197">
            <v>-214411.12128854543</v>
          </cell>
          <cell r="AI197">
            <v>-119703.54822855022</v>
          </cell>
          <cell r="AJ197">
            <v>334114.66951709567</v>
          </cell>
          <cell r="AK197">
            <v>28869838.182482041</v>
          </cell>
          <cell r="AT197">
            <v>55763</v>
          </cell>
          <cell r="AU197">
            <v>193</v>
          </cell>
          <cell r="AV197">
            <v>0</v>
          </cell>
        </row>
        <row r="198">
          <cell r="AE198">
            <v>52140</v>
          </cell>
          <cell r="AF198">
            <v>194</v>
          </cell>
          <cell r="AG198">
            <v>28869838.182482041</v>
          </cell>
          <cell r="AH198">
            <v>-215293.58422337432</v>
          </cell>
          <cell r="AI198">
            <v>-118821.08529372135</v>
          </cell>
          <cell r="AJ198">
            <v>334114.66951709567</v>
          </cell>
          <cell r="AK198">
            <v>28654544.598258667</v>
          </cell>
          <cell r="AT198">
            <v>55793</v>
          </cell>
          <cell r="AU198">
            <v>194</v>
          </cell>
          <cell r="AV198">
            <v>0</v>
          </cell>
        </row>
        <row r="199">
          <cell r="AE199">
            <v>52171</v>
          </cell>
          <cell r="AF199">
            <v>195</v>
          </cell>
          <cell r="AG199">
            <v>28654544.598258667</v>
          </cell>
          <cell r="AH199">
            <v>-216179.67915651872</v>
          </cell>
          <cell r="AI199">
            <v>-117934.99036057694</v>
          </cell>
          <cell r="AJ199">
            <v>334114.66951709567</v>
          </cell>
          <cell r="AK199">
            <v>28438364.919102147</v>
          </cell>
          <cell r="AT199">
            <v>55824</v>
          </cell>
          <cell r="AU199">
            <v>195</v>
          </cell>
          <cell r="AV199">
            <v>0</v>
          </cell>
        </row>
        <row r="200">
          <cell r="AE200">
            <v>52201</v>
          </cell>
          <cell r="AF200">
            <v>196</v>
          </cell>
          <cell r="AG200">
            <v>28438364.919102147</v>
          </cell>
          <cell r="AH200">
            <v>-217069.42103638186</v>
          </cell>
          <cell r="AI200">
            <v>-117045.2484807138</v>
          </cell>
          <cell r="AJ200">
            <v>334114.66951709567</v>
          </cell>
          <cell r="AK200">
            <v>28221295.498065766</v>
          </cell>
          <cell r="AT200">
            <v>55854</v>
          </cell>
          <cell r="AU200">
            <v>196</v>
          </cell>
          <cell r="AV200">
            <v>0</v>
          </cell>
        </row>
        <row r="201">
          <cell r="AE201">
            <v>52232</v>
          </cell>
          <cell r="AF201">
            <v>197</v>
          </cell>
          <cell r="AG201">
            <v>28221295.498065766</v>
          </cell>
          <cell r="AH201">
            <v>-217962.82487289084</v>
          </cell>
          <cell r="AI201">
            <v>-116151.84464420482</v>
          </cell>
          <cell r="AJ201">
            <v>334114.66951709567</v>
          </cell>
          <cell r="AK201">
            <v>28003332.673192874</v>
          </cell>
          <cell r="AT201">
            <v>55885</v>
          </cell>
          <cell r="AU201">
            <v>197</v>
          </cell>
          <cell r="AV201">
            <v>0</v>
          </cell>
        </row>
        <row r="202">
          <cell r="AE202">
            <v>52263</v>
          </cell>
          <cell r="AF202">
            <v>198</v>
          </cell>
          <cell r="AG202">
            <v>28003332.673192874</v>
          </cell>
          <cell r="AH202">
            <v>-218859.90573774988</v>
          </cell>
          <cell r="AI202">
            <v>-115254.76377934577</v>
          </cell>
          <cell r="AJ202">
            <v>334114.66951709567</v>
          </cell>
          <cell r="AK202">
            <v>27784472.767455123</v>
          </cell>
          <cell r="AT202">
            <v>55916</v>
          </cell>
          <cell r="AU202">
            <v>198</v>
          </cell>
          <cell r="AV202">
            <v>0</v>
          </cell>
        </row>
        <row r="203">
          <cell r="AE203">
            <v>52291</v>
          </cell>
          <cell r="AF203">
            <v>199</v>
          </cell>
          <cell r="AG203">
            <v>27784472.767455123</v>
          </cell>
          <cell r="AH203">
            <v>-219760.67876469472</v>
          </cell>
          <cell r="AI203">
            <v>-114353.99075240096</v>
          </cell>
          <cell r="AJ203">
            <v>334114.66951709567</v>
          </cell>
          <cell r="AK203">
            <v>27564712.08869043</v>
          </cell>
          <cell r="AT203">
            <v>55944</v>
          </cell>
          <cell r="AU203">
            <v>199</v>
          </cell>
          <cell r="AV203">
            <v>0</v>
          </cell>
        </row>
        <row r="204">
          <cell r="AE204">
            <v>52322</v>
          </cell>
          <cell r="AF204">
            <v>200</v>
          </cell>
          <cell r="AG204">
            <v>27564712.08869043</v>
          </cell>
          <cell r="AH204">
            <v>-220665.1591497476</v>
          </cell>
          <cell r="AI204">
            <v>-113449.51036734806</v>
          </cell>
          <cell r="AJ204">
            <v>334114.66951709567</v>
          </cell>
          <cell r="AK204">
            <v>27344046.929540683</v>
          </cell>
          <cell r="AT204">
            <v>55975</v>
          </cell>
          <cell r="AU204">
            <v>200</v>
          </cell>
          <cell r="AV204">
            <v>0</v>
          </cell>
        </row>
        <row r="205">
          <cell r="AE205">
            <v>52352</v>
          </cell>
          <cell r="AF205">
            <v>201</v>
          </cell>
          <cell r="AG205">
            <v>27344046.929540683</v>
          </cell>
          <cell r="AH205">
            <v>-221573.36215147399</v>
          </cell>
          <cell r="AI205">
            <v>-112541.30736562169</v>
          </cell>
          <cell r="AJ205">
            <v>334114.66951709567</v>
          </cell>
          <cell r="AK205">
            <v>27122473.567389209</v>
          </cell>
          <cell r="AT205">
            <v>56005</v>
          </cell>
          <cell r="AU205">
            <v>201</v>
          </cell>
          <cell r="AV205">
            <v>0</v>
          </cell>
        </row>
        <row r="206">
          <cell r="AE206">
            <v>52383</v>
          </cell>
          <cell r="AF206">
            <v>202</v>
          </cell>
          <cell r="AG206">
            <v>27122473.567389209</v>
          </cell>
          <cell r="AH206">
            <v>-222485.30309123965</v>
          </cell>
          <cell r="AI206">
            <v>-111629.366425856</v>
          </cell>
          <cell r="AJ206">
            <v>334114.66951709567</v>
          </cell>
          <cell r="AK206">
            <v>26899988.26429797</v>
          </cell>
          <cell r="AT206">
            <v>56036</v>
          </cell>
          <cell r="AU206">
            <v>202</v>
          </cell>
          <cell r="AV206">
            <v>0</v>
          </cell>
        </row>
        <row r="207">
          <cell r="AE207">
            <v>52413</v>
          </cell>
          <cell r="AF207">
            <v>203</v>
          </cell>
          <cell r="AG207">
            <v>26899988.26429797</v>
          </cell>
          <cell r="AH207">
            <v>-223400.99735346955</v>
          </cell>
          <cell r="AI207">
            <v>-110713.67216362612</v>
          </cell>
          <cell r="AJ207">
            <v>334114.66951709567</v>
          </cell>
          <cell r="AK207">
            <v>26676587.266944502</v>
          </cell>
          <cell r="AT207">
            <v>56066</v>
          </cell>
          <cell r="AU207">
            <v>203</v>
          </cell>
          <cell r="AV207">
            <v>0</v>
          </cell>
        </row>
        <row r="208">
          <cell r="AE208">
            <v>52444</v>
          </cell>
          <cell r="AF208">
            <v>204</v>
          </cell>
          <cell r="AG208">
            <v>26676587.266944502</v>
          </cell>
          <cell r="AH208">
            <v>-224320.46038590686</v>
          </cell>
          <cell r="AI208">
            <v>-109794.20913118881</v>
          </cell>
          <cell r="AJ208">
            <v>334114.66951709567</v>
          </cell>
          <cell r="AK208">
            <v>26452266.806558594</v>
          </cell>
          <cell r="AT208">
            <v>56097</v>
          </cell>
          <cell r="AU208">
            <v>204</v>
          </cell>
          <cell r="AV208">
            <v>0</v>
          </cell>
        </row>
        <row r="209">
          <cell r="AE209">
            <v>52475</v>
          </cell>
          <cell r="AF209">
            <v>205</v>
          </cell>
          <cell r="AG209">
            <v>26452266.806558594</v>
          </cell>
          <cell r="AH209">
            <v>-225243.70769987395</v>
          </cell>
          <cell r="AI209">
            <v>-108870.96181722173</v>
          </cell>
          <cell r="AJ209">
            <v>334114.66951709567</v>
          </cell>
          <cell r="AK209">
            <v>26227023.098858722</v>
          </cell>
          <cell r="AT209">
            <v>56128</v>
          </cell>
          <cell r="AU209">
            <v>205</v>
          </cell>
          <cell r="AV209">
            <v>0</v>
          </cell>
        </row>
        <row r="210">
          <cell r="AE210">
            <v>52505</v>
          </cell>
          <cell r="AF210">
            <v>206</v>
          </cell>
          <cell r="AG210">
            <v>26227023.098858722</v>
          </cell>
          <cell r="AH210">
            <v>-226170.75487053388</v>
          </cell>
          <cell r="AI210">
            <v>-107943.91464656178</v>
          </cell>
          <cell r="AJ210">
            <v>334114.66951709567</v>
          </cell>
          <cell r="AK210">
            <v>26000852.343988188</v>
          </cell>
          <cell r="AT210">
            <v>56158</v>
          </cell>
          <cell r="AU210">
            <v>206</v>
          </cell>
          <cell r="AV210">
            <v>0</v>
          </cell>
        </row>
        <row r="211">
          <cell r="AE211">
            <v>52536</v>
          </cell>
          <cell r="AF211">
            <v>207</v>
          </cell>
          <cell r="AG211">
            <v>26000852.343988188</v>
          </cell>
          <cell r="AH211">
            <v>-227101.61753715333</v>
          </cell>
          <cell r="AI211">
            <v>-107013.05197994233</v>
          </cell>
          <cell r="AJ211">
            <v>334114.66951709567</v>
          </cell>
          <cell r="AK211">
            <v>25773750.726451036</v>
          </cell>
          <cell r="AT211">
            <v>56189</v>
          </cell>
          <cell r="AU211">
            <v>207</v>
          </cell>
          <cell r="AV211">
            <v>0</v>
          </cell>
        </row>
        <row r="212">
          <cell r="AE212">
            <v>52566</v>
          </cell>
          <cell r="AF212">
            <v>208</v>
          </cell>
          <cell r="AG212">
            <v>25773750.726451036</v>
          </cell>
          <cell r="AH212">
            <v>-228036.31140336621</v>
          </cell>
          <cell r="AI212">
            <v>-106078.35811372945</v>
          </cell>
          <cell r="AJ212">
            <v>334114.66951709567</v>
          </cell>
          <cell r="AK212">
            <v>25545714.415047668</v>
          </cell>
          <cell r="AT212">
            <v>56219</v>
          </cell>
          <cell r="AU212">
            <v>208</v>
          </cell>
          <cell r="AV212">
            <v>0</v>
          </cell>
        </row>
        <row r="213">
          <cell r="AE213">
            <v>52597</v>
          </cell>
          <cell r="AF213">
            <v>209</v>
          </cell>
          <cell r="AG213">
            <v>25545714.415047668</v>
          </cell>
          <cell r="AH213">
            <v>-228974.85223743872</v>
          </cell>
          <cell r="AI213">
            <v>-105139.81727965696</v>
          </cell>
          <cell r="AJ213">
            <v>334114.66951709567</v>
          </cell>
          <cell r="AK213">
            <v>25316739.562810231</v>
          </cell>
          <cell r="AT213">
            <v>56250</v>
          </cell>
          <cell r="AU213">
            <v>209</v>
          </cell>
          <cell r="AV213">
            <v>0</v>
          </cell>
        </row>
        <row r="214">
          <cell r="AE214">
            <v>52628</v>
          </cell>
          <cell r="AF214">
            <v>210</v>
          </cell>
          <cell r="AG214">
            <v>25316739.562810231</v>
          </cell>
          <cell r="AH214">
            <v>-229917.25587253532</v>
          </cell>
          <cell r="AI214">
            <v>-104197.41364456035</v>
          </cell>
          <cell r="AJ214">
            <v>334114.66951709567</v>
          </cell>
          <cell r="AK214">
            <v>25086822.306937695</v>
          </cell>
          <cell r="AT214">
            <v>56281</v>
          </cell>
          <cell r="AU214">
            <v>210</v>
          </cell>
          <cell r="AV214">
            <v>0</v>
          </cell>
        </row>
        <row r="215">
          <cell r="AE215">
            <v>52657</v>
          </cell>
          <cell r="AF215">
            <v>211</v>
          </cell>
          <cell r="AG215">
            <v>25086822.306937695</v>
          </cell>
          <cell r="AH215">
            <v>-230863.53820698586</v>
          </cell>
          <cell r="AI215">
            <v>-103251.13131010979</v>
          </cell>
          <cell r="AJ215">
            <v>334114.66951709567</v>
          </cell>
          <cell r="AK215">
            <v>24855958.768730707</v>
          </cell>
          <cell r="AT215">
            <v>56309</v>
          </cell>
          <cell r="AU215">
            <v>211</v>
          </cell>
          <cell r="AV215">
            <v>0</v>
          </cell>
        </row>
        <row r="216">
          <cell r="AE216">
            <v>52688</v>
          </cell>
          <cell r="AF216">
            <v>212</v>
          </cell>
          <cell r="AG216">
            <v>24855958.768730707</v>
          </cell>
          <cell r="AH216">
            <v>-231813.7152045538</v>
          </cell>
          <cell r="AI216">
            <v>-102300.95431254186</v>
          </cell>
          <cell r="AJ216">
            <v>334114.66951709567</v>
          </cell>
          <cell r="AK216">
            <v>24624145.053526152</v>
          </cell>
          <cell r="AT216">
            <v>56340</v>
          </cell>
          <cell r="AU216">
            <v>212</v>
          </cell>
          <cell r="AV216">
            <v>0</v>
          </cell>
        </row>
        <row r="217">
          <cell r="AE217">
            <v>52718</v>
          </cell>
          <cell r="AF217">
            <v>213</v>
          </cell>
          <cell r="AG217">
            <v>24624145.053526152</v>
          </cell>
          <cell r="AH217">
            <v>-232767.80289470538</v>
          </cell>
          <cell r="AI217">
            <v>-101346.86662239027</v>
          </cell>
          <cell r="AJ217">
            <v>334114.66951709567</v>
          </cell>
          <cell r="AK217">
            <v>24391377.250631448</v>
          </cell>
          <cell r="AT217">
            <v>56370</v>
          </cell>
          <cell r="AU217">
            <v>213</v>
          </cell>
          <cell r="AV217">
            <v>0</v>
          </cell>
        </row>
        <row r="218">
          <cell r="AE218">
            <v>52749</v>
          </cell>
          <cell r="AF218">
            <v>214</v>
          </cell>
          <cell r="AG218">
            <v>24391377.250631448</v>
          </cell>
          <cell r="AH218">
            <v>-233725.81737288029</v>
          </cell>
          <cell r="AI218">
            <v>-100388.85214421537</v>
          </cell>
          <cell r="AJ218">
            <v>334114.66951709567</v>
          </cell>
          <cell r="AK218">
            <v>24157651.433258567</v>
          </cell>
          <cell r="AT218">
            <v>56401</v>
          </cell>
          <cell r="AU218">
            <v>214</v>
          </cell>
          <cell r="AV218">
            <v>0</v>
          </cell>
        </row>
        <row r="219">
          <cell r="AE219">
            <v>52779</v>
          </cell>
          <cell r="AF219">
            <v>215</v>
          </cell>
          <cell r="AG219">
            <v>24157651.433258567</v>
          </cell>
          <cell r="AH219">
            <v>-234687.77480076291</v>
          </cell>
          <cell r="AI219">
            <v>-99426.894716332754</v>
          </cell>
          <cell r="AJ219">
            <v>334114.66951709567</v>
          </cell>
          <cell r="AK219">
            <v>23922963.658457804</v>
          </cell>
          <cell r="AT219">
            <v>56431</v>
          </cell>
          <cell r="AU219">
            <v>215</v>
          </cell>
          <cell r="AV219">
            <v>0</v>
          </cell>
        </row>
        <row r="220">
          <cell r="AE220">
            <v>52810</v>
          </cell>
          <cell r="AF220">
            <v>216</v>
          </cell>
          <cell r="AG220">
            <v>23922963.658457804</v>
          </cell>
          <cell r="AH220">
            <v>-235653.69140655518</v>
          </cell>
          <cell r="AI220">
            <v>-98460.978110540498</v>
          </cell>
          <cell r="AJ220">
            <v>334114.66951709567</v>
          </cell>
          <cell r="AK220">
            <v>23687309.967051249</v>
          </cell>
          <cell r="AT220">
            <v>56462</v>
          </cell>
          <cell r="AU220">
            <v>216</v>
          </cell>
          <cell r="AV220">
            <v>0</v>
          </cell>
        </row>
        <row r="221">
          <cell r="AE221">
            <v>52841</v>
          </cell>
          <cell r="AF221">
            <v>217</v>
          </cell>
          <cell r="AG221">
            <v>23687309.967051249</v>
          </cell>
          <cell r="AH221">
            <v>-236623.58348525024</v>
          </cell>
          <cell r="AI221">
            <v>-97491.086031845407</v>
          </cell>
          <cell r="AJ221">
            <v>334114.66951709567</v>
          </cell>
          <cell r="AK221">
            <v>23450686.383566</v>
          </cell>
          <cell r="AT221">
            <v>56493</v>
          </cell>
          <cell r="AU221">
            <v>217</v>
          </cell>
          <cell r="AV221">
            <v>0</v>
          </cell>
        </row>
        <row r="222">
          <cell r="AE222">
            <v>52871</v>
          </cell>
          <cell r="AF222">
            <v>218</v>
          </cell>
          <cell r="AG222">
            <v>23450686.383566</v>
          </cell>
          <cell r="AH222">
            <v>-237597.46739890752</v>
          </cell>
          <cell r="AI222">
            <v>-96517.202118188157</v>
          </cell>
          <cell r="AJ222">
            <v>334114.66951709567</v>
          </cell>
          <cell r="AK222">
            <v>23213088.916167092</v>
          </cell>
          <cell r="AT222">
            <v>56523</v>
          </cell>
          <cell r="AU222">
            <v>218</v>
          </cell>
          <cell r="AV222">
            <v>0</v>
          </cell>
        </row>
        <row r="223">
          <cell r="AE223">
            <v>52902</v>
          </cell>
          <cell r="AF223">
            <v>219</v>
          </cell>
          <cell r="AG223">
            <v>23213088.916167092</v>
          </cell>
          <cell r="AH223">
            <v>-238575.35957692837</v>
          </cell>
          <cell r="AI223">
            <v>-95539.309940167281</v>
          </cell>
          <cell r="AJ223">
            <v>334114.66951709567</v>
          </cell>
          <cell r="AK223">
            <v>22974513.556590162</v>
          </cell>
          <cell r="AT223">
            <v>56554</v>
          </cell>
          <cell r="AU223">
            <v>219</v>
          </cell>
          <cell r="AV223">
            <v>0</v>
          </cell>
        </row>
        <row r="224">
          <cell r="AE224">
            <v>52932</v>
          </cell>
          <cell r="AF224">
            <v>220</v>
          </cell>
          <cell r="AG224">
            <v>22974513.556590162</v>
          </cell>
          <cell r="AH224">
            <v>-239557.27651633375</v>
          </cell>
          <cell r="AI224">
            <v>-94557.393000761935</v>
          </cell>
          <cell r="AJ224">
            <v>334114.66951709567</v>
          </cell>
          <cell r="AK224">
            <v>22734956.280073829</v>
          </cell>
          <cell r="AT224">
            <v>56584</v>
          </cell>
          <cell r="AU224">
            <v>220</v>
          </cell>
          <cell r="AV224">
            <v>0</v>
          </cell>
        </row>
        <row r="225">
          <cell r="AE225">
            <v>52963</v>
          </cell>
          <cell r="AF225">
            <v>221</v>
          </cell>
          <cell r="AG225">
            <v>22734956.280073829</v>
          </cell>
          <cell r="AH225">
            <v>-240543.23478204204</v>
          </cell>
          <cell r="AI225">
            <v>-93571.434735053641</v>
          </cell>
          <cell r="AJ225">
            <v>334114.66951709567</v>
          </cell>
          <cell r="AK225">
            <v>22494413.045291785</v>
          </cell>
          <cell r="AT225">
            <v>56615</v>
          </cell>
          <cell r="AU225">
            <v>221</v>
          </cell>
          <cell r="AV225">
            <v>0</v>
          </cell>
        </row>
        <row r="226">
          <cell r="AE226">
            <v>52994</v>
          </cell>
          <cell r="AF226">
            <v>222</v>
          </cell>
          <cell r="AG226">
            <v>22494413.045291785</v>
          </cell>
          <cell r="AH226">
            <v>-241533.25100714882</v>
          </cell>
          <cell r="AI226">
            <v>-92581.418509946845</v>
          </cell>
          <cell r="AJ226">
            <v>334114.66951709567</v>
          </cell>
          <cell r="AK226">
            <v>22252879.794284638</v>
          </cell>
          <cell r="AT226">
            <v>56646</v>
          </cell>
          <cell r="AU226">
            <v>222</v>
          </cell>
          <cell r="AV226">
            <v>0</v>
          </cell>
        </row>
        <row r="227">
          <cell r="AE227">
            <v>53022</v>
          </cell>
          <cell r="AF227">
            <v>223</v>
          </cell>
          <cell r="AG227">
            <v>22252879.794284638</v>
          </cell>
          <cell r="AH227">
            <v>-242527.34189320734</v>
          </cell>
          <cell r="AI227">
            <v>-91587.327623888312</v>
          </cell>
          <cell r="AJ227">
            <v>334114.66951709567</v>
          </cell>
          <cell r="AK227">
            <v>22010352.452391431</v>
          </cell>
          <cell r="AT227">
            <v>56674</v>
          </cell>
          <cell r="AU227">
            <v>223</v>
          </cell>
          <cell r="AV227">
            <v>0</v>
          </cell>
        </row>
        <row r="228">
          <cell r="AE228">
            <v>53053</v>
          </cell>
          <cell r="AF228">
            <v>224</v>
          </cell>
          <cell r="AG228">
            <v>22010352.452391431</v>
          </cell>
          <cell r="AH228">
            <v>-243525.52421051034</v>
          </cell>
          <cell r="AI228">
            <v>-90589.145306585327</v>
          </cell>
          <cell r="AJ228">
            <v>334114.66951709567</v>
          </cell>
          <cell r="AK228">
            <v>21766826.928180922</v>
          </cell>
          <cell r="AT228">
            <v>56705</v>
          </cell>
          <cell r="AU228">
            <v>224</v>
          </cell>
          <cell r="AV228">
            <v>0</v>
          </cell>
        </row>
        <row r="229">
          <cell r="AE229">
            <v>53083</v>
          </cell>
          <cell r="AF229">
            <v>225</v>
          </cell>
          <cell r="AG229">
            <v>21766826.928180922</v>
          </cell>
          <cell r="AH229">
            <v>-244527.81479837286</v>
          </cell>
          <cell r="AI229">
            <v>-89586.854718722796</v>
          </cell>
          <cell r="AJ229">
            <v>334114.66951709567</v>
          </cell>
          <cell r="AK229">
            <v>21522299.113382548</v>
          </cell>
          <cell r="AT229">
            <v>56735</v>
          </cell>
          <cell r="AU229">
            <v>225</v>
          </cell>
          <cell r="AV229">
            <v>0</v>
          </cell>
        </row>
        <row r="230">
          <cell r="AE230">
            <v>53114</v>
          </cell>
          <cell r="AF230">
            <v>226</v>
          </cell>
          <cell r="AG230">
            <v>21522299.113382548</v>
          </cell>
          <cell r="AH230">
            <v>-245534.23056541634</v>
          </cell>
          <cell r="AI230">
            <v>-88580.438951679316</v>
          </cell>
          <cell r="AJ230">
            <v>334114.66951709567</v>
          </cell>
          <cell r="AK230">
            <v>21276764.882817131</v>
          </cell>
          <cell r="AT230">
            <v>56766</v>
          </cell>
          <cell r="AU230">
            <v>226</v>
          </cell>
          <cell r="AV230">
            <v>0</v>
          </cell>
        </row>
        <row r="231">
          <cell r="AE231">
            <v>53144</v>
          </cell>
          <cell r="AF231">
            <v>227</v>
          </cell>
          <cell r="AG231">
            <v>21276764.882817131</v>
          </cell>
          <cell r="AH231">
            <v>-246544.78848985405</v>
          </cell>
          <cell r="AI231">
            <v>-87569.881027241616</v>
          </cell>
          <cell r="AJ231">
            <v>334114.66951709567</v>
          </cell>
          <cell r="AK231">
            <v>21030220.094327275</v>
          </cell>
          <cell r="AT231">
            <v>56796</v>
          </cell>
          <cell r="AU231">
            <v>227</v>
          </cell>
          <cell r="AV231">
            <v>0</v>
          </cell>
        </row>
        <row r="232">
          <cell r="AE232">
            <v>53175</v>
          </cell>
          <cell r="AF232">
            <v>228</v>
          </cell>
          <cell r="AG232">
            <v>21030220.094327275</v>
          </cell>
          <cell r="AH232">
            <v>-247559.50561977725</v>
          </cell>
          <cell r="AI232">
            <v>-86555.163897318402</v>
          </cell>
          <cell r="AJ232">
            <v>334114.66951709567</v>
          </cell>
          <cell r="AK232">
            <v>20782660.588707499</v>
          </cell>
          <cell r="AT232">
            <v>56827</v>
          </cell>
          <cell r="AU232">
            <v>228</v>
          </cell>
          <cell r="AV232">
            <v>0</v>
          </cell>
        </row>
        <row r="233">
          <cell r="AE233">
            <v>53206</v>
          </cell>
          <cell r="AF233">
            <v>229</v>
          </cell>
          <cell r="AG233">
            <v>20782660.588707499</v>
          </cell>
          <cell r="AH233">
            <v>-248578.39907344297</v>
          </cell>
          <cell r="AI233">
            <v>-85536.270443652698</v>
          </cell>
          <cell r="AJ233">
            <v>334114.66951709567</v>
          </cell>
          <cell r="AK233">
            <v>20534082.189634055</v>
          </cell>
          <cell r="AT233">
            <v>56858</v>
          </cell>
          <cell r="AU233">
            <v>229</v>
          </cell>
          <cell r="AV233">
            <v>0</v>
          </cell>
        </row>
        <row r="234">
          <cell r="AE234">
            <v>53236</v>
          </cell>
          <cell r="AF234">
            <v>230</v>
          </cell>
          <cell r="AG234">
            <v>20534082.189634055</v>
          </cell>
          <cell r="AH234">
            <v>-249601.48603956267</v>
          </cell>
          <cell r="AI234">
            <v>-84513.183477532992</v>
          </cell>
          <cell r="AJ234">
            <v>334114.66951709567</v>
          </cell>
          <cell r="AK234">
            <v>20284480.703594491</v>
          </cell>
          <cell r="AT234">
            <v>56888</v>
          </cell>
          <cell r="AU234">
            <v>230</v>
          </cell>
          <cell r="AV234">
            <v>0</v>
          </cell>
        </row>
        <row r="235">
          <cell r="AE235">
            <v>53267</v>
          </cell>
          <cell r="AF235">
            <v>231</v>
          </cell>
          <cell r="AG235">
            <v>20284480.703594491</v>
          </cell>
          <cell r="AH235">
            <v>-250628.78377759233</v>
          </cell>
          <cell r="AI235">
            <v>-83485.885739503341</v>
          </cell>
          <cell r="AJ235">
            <v>334114.66951709567</v>
          </cell>
          <cell r="AK235">
            <v>20033851.9198169</v>
          </cell>
          <cell r="AT235">
            <v>56919</v>
          </cell>
          <cell r="AU235">
            <v>231</v>
          </cell>
          <cell r="AV235">
            <v>0</v>
          </cell>
        </row>
        <row r="236">
          <cell r="AE236">
            <v>53297</v>
          </cell>
          <cell r="AF236">
            <v>232</v>
          </cell>
          <cell r="AG236">
            <v>20033851.9198169</v>
          </cell>
          <cell r="AH236">
            <v>-251660.3096180236</v>
          </cell>
          <cell r="AI236">
            <v>-82454.359899072064</v>
          </cell>
          <cell r="AJ236">
            <v>334114.66951709567</v>
          </cell>
          <cell r="AK236">
            <v>19782191.610198878</v>
          </cell>
          <cell r="AT236">
            <v>56949</v>
          </cell>
          <cell r="AU236">
            <v>232</v>
          </cell>
          <cell r="AV236">
            <v>0</v>
          </cell>
        </row>
        <row r="237">
          <cell r="AE237">
            <v>53328</v>
          </cell>
          <cell r="AF237">
            <v>233</v>
          </cell>
          <cell r="AG237">
            <v>19782191.610198878</v>
          </cell>
          <cell r="AH237">
            <v>-252696.08096267603</v>
          </cell>
          <cell r="AI237">
            <v>-81418.588554419621</v>
          </cell>
          <cell r="AJ237">
            <v>334114.66951709567</v>
          </cell>
          <cell r="AK237">
            <v>19529495.529236201</v>
          </cell>
          <cell r="AT237">
            <v>56980</v>
          </cell>
          <cell r="AU237">
            <v>233</v>
          </cell>
          <cell r="AV237">
            <v>0</v>
          </cell>
        </row>
        <row r="238">
          <cell r="AE238">
            <v>53359</v>
          </cell>
          <cell r="AF238">
            <v>234</v>
          </cell>
          <cell r="AG238">
            <v>19529495.529236201</v>
          </cell>
          <cell r="AH238">
            <v>-253736.11528499081</v>
          </cell>
          <cell r="AI238">
            <v>-80378.554232104842</v>
          </cell>
          <cell r="AJ238">
            <v>334114.66951709567</v>
          </cell>
          <cell r="AK238">
            <v>19275759.413951211</v>
          </cell>
          <cell r="AT238">
            <v>57011</v>
          </cell>
          <cell r="AU238">
            <v>234</v>
          </cell>
          <cell r="AV238">
            <v>0</v>
          </cell>
        </row>
        <row r="239">
          <cell r="AE239">
            <v>53387</v>
          </cell>
          <cell r="AF239">
            <v>235</v>
          </cell>
          <cell r="AG239">
            <v>19275759.413951211</v>
          </cell>
          <cell r="AH239">
            <v>-254780.43013032546</v>
          </cell>
          <cell r="AI239">
            <v>-79334.239386770205</v>
          </cell>
          <cell r="AJ239">
            <v>334114.66951709567</v>
          </cell>
          <cell r="AK239">
            <v>19020978.983820885</v>
          </cell>
          <cell r="AT239">
            <v>57040</v>
          </cell>
          <cell r="AU239">
            <v>235</v>
          </cell>
          <cell r="AV239">
            <v>0</v>
          </cell>
        </row>
        <row r="240">
          <cell r="AE240">
            <v>53418</v>
          </cell>
          <cell r="AF240">
            <v>236</v>
          </cell>
          <cell r="AG240">
            <v>19020978.983820885</v>
          </cell>
          <cell r="AH240">
            <v>-255829.04311624984</v>
          </cell>
          <cell r="AI240">
            <v>-78285.626400845809</v>
          </cell>
          <cell r="AJ240">
            <v>334114.66951709567</v>
          </cell>
          <cell r="AK240">
            <v>18765149.940704636</v>
          </cell>
          <cell r="AT240">
            <v>57071</v>
          </cell>
          <cell r="AU240">
            <v>236</v>
          </cell>
          <cell r="AV240">
            <v>0</v>
          </cell>
        </row>
        <row r="241">
          <cell r="AE241">
            <v>53448</v>
          </cell>
          <cell r="AF241">
            <v>237</v>
          </cell>
          <cell r="AG241">
            <v>18765149.940704636</v>
          </cell>
          <cell r="AH241">
            <v>-256881.97193284339</v>
          </cell>
          <cell r="AI241">
            <v>-77232.697584252295</v>
          </cell>
          <cell r="AJ241">
            <v>334114.66951709567</v>
          </cell>
          <cell r="AK241">
            <v>18508267.968771793</v>
          </cell>
          <cell r="AT241">
            <v>57101</v>
          </cell>
          <cell r="AU241">
            <v>237</v>
          </cell>
          <cell r="AV241">
            <v>0</v>
          </cell>
        </row>
        <row r="242">
          <cell r="AE242">
            <v>53479</v>
          </cell>
          <cell r="AF242">
            <v>238</v>
          </cell>
          <cell r="AG242">
            <v>18508267.968771793</v>
          </cell>
          <cell r="AH242">
            <v>-257939.23434299338</v>
          </cell>
          <cell r="AI242">
            <v>-76175.435174102284</v>
          </cell>
          <cell r="AJ242">
            <v>334114.66951709567</v>
          </cell>
          <cell r="AK242">
            <v>18250328.734428801</v>
          </cell>
          <cell r="AT242">
            <v>57132</v>
          </cell>
          <cell r="AU242">
            <v>238</v>
          </cell>
          <cell r="AV242">
            <v>0</v>
          </cell>
        </row>
        <row r="243">
          <cell r="AE243">
            <v>53509</v>
          </cell>
          <cell r="AF243">
            <v>239</v>
          </cell>
          <cell r="AG243">
            <v>18250328.734428801</v>
          </cell>
          <cell r="AH243">
            <v>-259000.8481826949</v>
          </cell>
          <cell r="AI243">
            <v>-75113.821334400767</v>
          </cell>
          <cell r="AJ243">
            <v>334114.66951709567</v>
          </cell>
          <cell r="AK243">
            <v>17991327.886246108</v>
          </cell>
          <cell r="AT243">
            <v>57162</v>
          </cell>
          <cell r="AU243">
            <v>239</v>
          </cell>
          <cell r="AV243">
            <v>0</v>
          </cell>
        </row>
        <row r="244">
          <cell r="AE244">
            <v>53540</v>
          </cell>
          <cell r="AF244">
            <v>240</v>
          </cell>
          <cell r="AG244">
            <v>17991327.886246108</v>
          </cell>
          <cell r="AH244">
            <v>-260066.83136135145</v>
          </cell>
          <cell r="AI244">
            <v>-74047.838155744219</v>
          </cell>
          <cell r="AJ244">
            <v>334114.66951709567</v>
          </cell>
          <cell r="AK244">
            <v>17731261.054884758</v>
          </cell>
          <cell r="AT244">
            <v>57193</v>
          </cell>
          <cell r="AU244">
            <v>240</v>
          </cell>
          <cell r="AV244">
            <v>0</v>
          </cell>
        </row>
        <row r="245">
          <cell r="AE245">
            <v>53571</v>
          </cell>
          <cell r="AF245">
            <v>241</v>
          </cell>
          <cell r="AG245">
            <v>17731261.054884758</v>
          </cell>
          <cell r="AH245">
            <v>-261137.2018620772</v>
          </cell>
          <cell r="AI245">
            <v>-72977.467655018467</v>
          </cell>
          <cell r="AJ245">
            <v>334114.66951709567</v>
          </cell>
          <cell r="AK245">
            <v>17470123.85302268</v>
          </cell>
          <cell r="AT245">
            <v>57224</v>
          </cell>
          <cell r="AU245">
            <v>241</v>
          </cell>
          <cell r="AV245">
            <v>0</v>
          </cell>
        </row>
        <row r="246">
          <cell r="AE246">
            <v>53601</v>
          </cell>
          <cell r="AF246">
            <v>242</v>
          </cell>
          <cell r="AG246">
            <v>17470123.85302268</v>
          </cell>
          <cell r="AH246">
            <v>-262211.97774200042</v>
          </cell>
          <cell r="AI246">
            <v>-71902.691775095256</v>
          </cell>
          <cell r="AJ246">
            <v>334114.66951709567</v>
          </cell>
          <cell r="AK246">
            <v>17207911.875280678</v>
          </cell>
          <cell r="AT246">
            <v>57254</v>
          </cell>
          <cell r="AU246">
            <v>242</v>
          </cell>
          <cell r="AV246">
            <v>0</v>
          </cell>
        </row>
        <row r="247">
          <cell r="AE247">
            <v>53632</v>
          </cell>
          <cell r="AF247">
            <v>243</v>
          </cell>
          <cell r="AG247">
            <v>17207911.875280678</v>
          </cell>
          <cell r="AH247">
            <v>-263291.17713256791</v>
          </cell>
          <cell r="AI247">
            <v>-70823.492384527737</v>
          </cell>
          <cell r="AJ247">
            <v>334114.66951709567</v>
          </cell>
          <cell r="AK247">
            <v>16944620.698148109</v>
          </cell>
          <cell r="AT247">
            <v>57285</v>
          </cell>
          <cell r="AU247">
            <v>243</v>
          </cell>
          <cell r="AV247">
            <v>0</v>
          </cell>
        </row>
        <row r="248">
          <cell r="AE248">
            <v>53662</v>
          </cell>
          <cell r="AF248">
            <v>244</v>
          </cell>
          <cell r="AG248">
            <v>16944620.698148109</v>
          </cell>
          <cell r="AH248">
            <v>-264374.81823985116</v>
          </cell>
          <cell r="AI248">
            <v>-69739.851277244481</v>
          </cell>
          <cell r="AJ248">
            <v>334114.66951709567</v>
          </cell>
          <cell r="AK248">
            <v>16680245.879908258</v>
          </cell>
          <cell r="AT248">
            <v>57315</v>
          </cell>
          <cell r="AU248">
            <v>244</v>
          </cell>
          <cell r="AV248">
            <v>0</v>
          </cell>
        </row>
        <row r="249">
          <cell r="AE249">
            <v>53693</v>
          </cell>
          <cell r="AF249">
            <v>245</v>
          </cell>
          <cell r="AG249">
            <v>16680245.879908258</v>
          </cell>
          <cell r="AH249">
            <v>-265462.91934485326</v>
          </cell>
          <cell r="AI249">
            <v>-68651.750172242435</v>
          </cell>
          <cell r="AJ249">
            <v>334114.66951709567</v>
          </cell>
          <cell r="AK249">
            <v>16414782.960563404</v>
          </cell>
          <cell r="AT249">
            <v>57346</v>
          </cell>
          <cell r="AU249">
            <v>245</v>
          </cell>
          <cell r="AV249">
            <v>0</v>
          </cell>
        </row>
        <row r="250">
          <cell r="AE250">
            <v>53724</v>
          </cell>
          <cell r="AF250">
            <v>246</v>
          </cell>
          <cell r="AG250">
            <v>16414782.960563404</v>
          </cell>
          <cell r="AH250">
            <v>-266555.49880381726</v>
          </cell>
          <cell r="AI250">
            <v>-67559.170713278407</v>
          </cell>
          <cell r="AJ250">
            <v>334114.66951709567</v>
          </cell>
          <cell r="AK250">
            <v>16148227.461759588</v>
          </cell>
          <cell r="AT250">
            <v>57377</v>
          </cell>
          <cell r="AU250">
            <v>246</v>
          </cell>
          <cell r="AV250">
            <v>0</v>
          </cell>
        </row>
        <row r="251">
          <cell r="AE251">
            <v>53752</v>
          </cell>
          <cell r="AF251">
            <v>247</v>
          </cell>
          <cell r="AG251">
            <v>16148227.461759588</v>
          </cell>
          <cell r="AH251">
            <v>-267652.57504853612</v>
          </cell>
          <cell r="AI251">
            <v>-66462.094468559531</v>
          </cell>
          <cell r="AJ251">
            <v>334114.66951709567</v>
          </cell>
          <cell r="AK251">
            <v>15880574.886711052</v>
          </cell>
          <cell r="AT251">
            <v>57405</v>
          </cell>
          <cell r="AU251">
            <v>247</v>
          </cell>
          <cell r="AV251">
            <v>0</v>
          </cell>
        </row>
        <row r="252">
          <cell r="AE252">
            <v>53783</v>
          </cell>
          <cell r="AF252">
            <v>248</v>
          </cell>
          <cell r="AG252">
            <v>15880574.886711052</v>
          </cell>
          <cell r="AH252">
            <v>-268754.1665866634</v>
          </cell>
          <cell r="AI252">
            <v>-65360.502930432245</v>
          </cell>
          <cell r="AJ252">
            <v>334114.66951709567</v>
          </cell>
          <cell r="AK252">
            <v>15611820.720124388</v>
          </cell>
          <cell r="AT252">
            <v>57436</v>
          </cell>
          <cell r="AU252">
            <v>248</v>
          </cell>
          <cell r="AV252">
            <v>0</v>
          </cell>
        </row>
        <row r="253">
          <cell r="AE253">
            <v>53813</v>
          </cell>
          <cell r="AF253">
            <v>249</v>
          </cell>
          <cell r="AG253">
            <v>15611820.720124388</v>
          </cell>
          <cell r="AH253">
            <v>-269860.29200202558</v>
          </cell>
          <cell r="AI253">
            <v>-64254.37751507006</v>
          </cell>
          <cell r="AJ253">
            <v>334114.66951709567</v>
          </cell>
          <cell r="AK253">
            <v>15341960.428122362</v>
          </cell>
          <cell r="AT253">
            <v>57466</v>
          </cell>
          <cell r="AU253">
            <v>249</v>
          </cell>
          <cell r="AV253">
            <v>0</v>
          </cell>
        </row>
        <row r="254">
          <cell r="AE254">
            <v>53844</v>
          </cell>
          <cell r="AF254">
            <v>250</v>
          </cell>
          <cell r="AG254">
            <v>15341960.428122362</v>
          </cell>
          <cell r="AH254">
            <v>-270970.9699549356</v>
          </cell>
          <cell r="AI254">
            <v>-63143.699562160095</v>
          </cell>
          <cell r="AJ254">
            <v>334114.66951709567</v>
          </cell>
          <cell r="AK254">
            <v>15070989.458167426</v>
          </cell>
          <cell r="AT254">
            <v>57497</v>
          </cell>
          <cell r="AU254">
            <v>250</v>
          </cell>
          <cell r="AV254">
            <v>0</v>
          </cell>
        </row>
        <row r="255">
          <cell r="AE255">
            <v>53874</v>
          </cell>
          <cell r="AF255">
            <v>251</v>
          </cell>
          <cell r="AG255">
            <v>15070989.458167426</v>
          </cell>
          <cell r="AH255">
            <v>-272086.21918250743</v>
          </cell>
          <cell r="AI255">
            <v>-62028.450334588226</v>
          </cell>
          <cell r="AJ255">
            <v>334114.66951709567</v>
          </cell>
          <cell r="AK255">
            <v>14798903.238984918</v>
          </cell>
          <cell r="AT255">
            <v>57527</v>
          </cell>
          <cell r="AU255">
            <v>251</v>
          </cell>
          <cell r="AV255">
            <v>0</v>
          </cell>
        </row>
        <row r="256">
          <cell r="AE256">
            <v>53905</v>
          </cell>
          <cell r="AF256">
            <v>252</v>
          </cell>
          <cell r="AG256">
            <v>14798903.238984918</v>
          </cell>
          <cell r="AH256">
            <v>-273206.05849897262</v>
          </cell>
          <cell r="AI256">
            <v>-60908.611018123069</v>
          </cell>
          <cell r="AJ256">
            <v>334114.66951709567</v>
          </cell>
          <cell r="AK256">
            <v>14525697.180485945</v>
          </cell>
          <cell r="AT256">
            <v>57558</v>
          </cell>
          <cell r="AU256">
            <v>252</v>
          </cell>
          <cell r="AV256">
            <v>0</v>
          </cell>
        </row>
        <row r="257">
          <cell r="AE257">
            <v>53936</v>
          </cell>
          <cell r="AF257">
            <v>253</v>
          </cell>
          <cell r="AG257">
            <v>14525697.180485945</v>
          </cell>
          <cell r="AH257">
            <v>-274330.50679599721</v>
          </cell>
          <cell r="AI257">
            <v>-59784.162721098452</v>
          </cell>
          <cell r="AJ257">
            <v>334114.66951709567</v>
          </cell>
          <cell r="AK257">
            <v>14251366.673689948</v>
          </cell>
          <cell r="AT257">
            <v>57589</v>
          </cell>
          <cell r="AU257">
            <v>253</v>
          </cell>
          <cell r="AV257">
            <v>0</v>
          </cell>
        </row>
        <row r="258">
          <cell r="AE258">
            <v>53966</v>
          </cell>
          <cell r="AF258">
            <v>254</v>
          </cell>
          <cell r="AG258">
            <v>14251366.673689948</v>
          </cell>
          <cell r="AH258">
            <v>-275459.58304300078</v>
          </cell>
          <cell r="AI258">
            <v>-58655.086474094882</v>
          </cell>
          <cell r="AJ258">
            <v>334114.66951709567</v>
          </cell>
          <cell r="AK258">
            <v>13975907.090646947</v>
          </cell>
          <cell r="AT258">
            <v>57619</v>
          </cell>
          <cell r="AU258">
            <v>254</v>
          </cell>
          <cell r="AV258">
            <v>0</v>
          </cell>
        </row>
        <row r="259">
          <cell r="AE259">
            <v>53997</v>
          </cell>
          <cell r="AF259">
            <v>255</v>
          </cell>
          <cell r="AG259">
            <v>13975907.090646947</v>
          </cell>
          <cell r="AH259">
            <v>-276593.30628747621</v>
          </cell>
          <cell r="AI259">
            <v>-57521.363229619426</v>
          </cell>
          <cell r="AJ259">
            <v>334114.66951709567</v>
          </cell>
          <cell r="AK259">
            <v>13699313.78435947</v>
          </cell>
          <cell r="AT259">
            <v>57650</v>
          </cell>
          <cell r="AU259">
            <v>255</v>
          </cell>
          <cell r="AV259">
            <v>0</v>
          </cell>
        </row>
        <row r="260">
          <cell r="AE260">
            <v>54027</v>
          </cell>
          <cell r="AF260">
            <v>256</v>
          </cell>
          <cell r="AG260">
            <v>13699313.78435947</v>
          </cell>
          <cell r="AH260">
            <v>-277731.69565531134</v>
          </cell>
          <cell r="AI260">
            <v>-56382.97386178434</v>
          </cell>
          <cell r="AJ260">
            <v>334114.66951709567</v>
          </cell>
          <cell r="AK260">
            <v>13421582.088704159</v>
          </cell>
          <cell r="AT260">
            <v>57680</v>
          </cell>
          <cell r="AU260">
            <v>256</v>
          </cell>
          <cell r="AV260">
            <v>0</v>
          </cell>
        </row>
        <row r="261">
          <cell r="AE261">
            <v>54058</v>
          </cell>
          <cell r="AF261">
            <v>257</v>
          </cell>
          <cell r="AG261">
            <v>13421582.088704159</v>
          </cell>
          <cell r="AH261">
            <v>-278874.77035111107</v>
          </cell>
          <cell r="AI261">
            <v>-55239.899165984571</v>
          </cell>
          <cell r="AJ261">
            <v>334114.66951709567</v>
          </cell>
          <cell r="AK261">
            <v>13142707.318353048</v>
          </cell>
          <cell r="AT261">
            <v>57711</v>
          </cell>
          <cell r="AU261">
            <v>257</v>
          </cell>
          <cell r="AV261">
            <v>0</v>
          </cell>
        </row>
        <row r="262">
          <cell r="AE262">
            <v>54089</v>
          </cell>
          <cell r="AF262">
            <v>258</v>
          </cell>
          <cell r="AG262">
            <v>13142707.318353048</v>
          </cell>
          <cell r="AH262">
            <v>-280022.54965852207</v>
          </cell>
          <cell r="AI262">
            <v>-54092.119858573576</v>
          </cell>
          <cell r="AJ262">
            <v>334114.66951709567</v>
          </cell>
          <cell r="AK262">
            <v>12862684.768694526</v>
          </cell>
          <cell r="AT262">
            <v>57742</v>
          </cell>
          <cell r="AU262">
            <v>258</v>
          </cell>
          <cell r="AV262">
            <v>0</v>
          </cell>
        </row>
        <row r="263">
          <cell r="AE263">
            <v>54118</v>
          </cell>
          <cell r="AF263">
            <v>259</v>
          </cell>
          <cell r="AG263">
            <v>12862684.768694526</v>
          </cell>
          <cell r="AH263">
            <v>-281175.05294055748</v>
          </cell>
          <cell r="AI263">
            <v>-52939.61657653821</v>
          </cell>
          <cell r="AJ263">
            <v>334114.66951709567</v>
          </cell>
          <cell r="AK263">
            <v>12581509.715753969</v>
          </cell>
          <cell r="AT263">
            <v>57770</v>
          </cell>
          <cell r="AU263">
            <v>259</v>
          </cell>
          <cell r="AV263">
            <v>0</v>
          </cell>
        </row>
        <row r="264">
          <cell r="AE264">
            <v>54149</v>
          </cell>
          <cell r="AF264">
            <v>260</v>
          </cell>
          <cell r="AG264">
            <v>12581509.715753969</v>
          </cell>
          <cell r="AH264">
            <v>-282332.29963992373</v>
          </cell>
          <cell r="AI264">
            <v>-51782.369877171906</v>
          </cell>
          <cell r="AJ264">
            <v>334114.66951709567</v>
          </cell>
          <cell r="AK264">
            <v>12299177.416114045</v>
          </cell>
          <cell r="AT264">
            <v>57801</v>
          </cell>
          <cell r="AU264">
            <v>260</v>
          </cell>
          <cell r="AV264">
            <v>0</v>
          </cell>
        </row>
        <row r="265">
          <cell r="AE265">
            <v>54179</v>
          </cell>
          <cell r="AF265">
            <v>261</v>
          </cell>
          <cell r="AG265">
            <v>12299177.416114045</v>
          </cell>
          <cell r="AH265">
            <v>-283494.30927934888</v>
          </cell>
          <cell r="AI265">
            <v>-50620.360237746776</v>
          </cell>
          <cell r="AJ265">
            <v>334114.66951709567</v>
          </cell>
          <cell r="AK265">
            <v>12015683.106834697</v>
          </cell>
          <cell r="AT265">
            <v>57831</v>
          </cell>
          <cell r="AU265">
            <v>261</v>
          </cell>
          <cell r="AV265">
            <v>0</v>
          </cell>
        </row>
        <row r="266">
          <cell r="AE266">
            <v>54210</v>
          </cell>
          <cell r="AF266">
            <v>262</v>
          </cell>
          <cell r="AG266">
            <v>12015683.106834697</v>
          </cell>
          <cell r="AH266">
            <v>-284661.10146191146</v>
          </cell>
          <cell r="AI266">
            <v>-49453.568055184209</v>
          </cell>
          <cell r="AJ266">
            <v>334114.66951709567</v>
          </cell>
          <cell r="AK266">
            <v>11731022.005372785</v>
          </cell>
          <cell r="AT266">
            <v>57862</v>
          </cell>
          <cell r="AU266">
            <v>262</v>
          </cell>
          <cell r="AV266">
            <v>0</v>
          </cell>
        </row>
        <row r="267">
          <cell r="AE267">
            <v>54240</v>
          </cell>
          <cell r="AF267">
            <v>263</v>
          </cell>
          <cell r="AG267">
            <v>11731022.005372785</v>
          </cell>
          <cell r="AH267">
            <v>-285832.69587137143</v>
          </cell>
          <cell r="AI267">
            <v>-48281.973645724225</v>
          </cell>
          <cell r="AJ267">
            <v>334114.66951709567</v>
          </cell>
          <cell r="AK267">
            <v>11445189.309501413</v>
          </cell>
          <cell r="AT267">
            <v>57892</v>
          </cell>
          <cell r="AU267">
            <v>263</v>
          </cell>
          <cell r="AV267">
            <v>0</v>
          </cell>
        </row>
        <row r="268">
          <cell r="AE268">
            <v>54271</v>
          </cell>
          <cell r="AF268">
            <v>264</v>
          </cell>
          <cell r="AG268">
            <v>11445189.309501413</v>
          </cell>
          <cell r="AH268">
            <v>-287009.11227250233</v>
          </cell>
          <cell r="AI268">
            <v>-47105.557244593336</v>
          </cell>
          <cell r="AJ268">
            <v>334114.66951709567</v>
          </cell>
          <cell r="AK268">
            <v>11158180.19722891</v>
          </cell>
          <cell r="AT268">
            <v>57923</v>
          </cell>
          <cell r="AU268">
            <v>264</v>
          </cell>
          <cell r="AV268">
            <v>0</v>
          </cell>
        </row>
        <row r="269">
          <cell r="AE269">
            <v>54302</v>
          </cell>
          <cell r="AF269">
            <v>265</v>
          </cell>
          <cell r="AG269">
            <v>11158180.19722891</v>
          </cell>
          <cell r="AH269">
            <v>-288190.37051142449</v>
          </cell>
          <cell r="AI269">
            <v>-45924.299005671186</v>
          </cell>
          <cell r="AJ269">
            <v>334114.66951709567</v>
          </cell>
          <cell r="AK269">
            <v>10869989.826717487</v>
          </cell>
          <cell r="AT269">
            <v>57954</v>
          </cell>
          <cell r="AU269">
            <v>265</v>
          </cell>
          <cell r="AV269">
            <v>0</v>
          </cell>
        </row>
        <row r="270">
          <cell r="AE270">
            <v>54332</v>
          </cell>
          <cell r="AF270">
            <v>266</v>
          </cell>
          <cell r="AG270">
            <v>10869989.826717487</v>
          </cell>
          <cell r="AH270">
            <v>-289376.49051593995</v>
          </cell>
          <cell r="AI270">
            <v>-44738.179001155695</v>
          </cell>
          <cell r="AJ270">
            <v>334114.66951709567</v>
          </cell>
          <cell r="AK270">
            <v>10580613.336201547</v>
          </cell>
          <cell r="AT270">
            <v>57984</v>
          </cell>
          <cell r="AU270">
            <v>266</v>
          </cell>
          <cell r="AV270">
            <v>0</v>
          </cell>
        </row>
        <row r="271">
          <cell r="AE271">
            <v>54363</v>
          </cell>
          <cell r="AF271">
            <v>267</v>
          </cell>
          <cell r="AG271">
            <v>10580613.336201547</v>
          </cell>
          <cell r="AH271">
            <v>-290567.49229586875</v>
          </cell>
          <cell r="AI271">
            <v>-43547.177221226906</v>
          </cell>
          <cell r="AJ271">
            <v>334114.66951709567</v>
          </cell>
          <cell r="AK271">
            <v>10290045.843905678</v>
          </cell>
          <cell r="AT271">
            <v>58015</v>
          </cell>
          <cell r="AU271">
            <v>267</v>
          </cell>
          <cell r="AV271">
            <v>0</v>
          </cell>
        </row>
        <row r="272">
          <cell r="AE272">
            <v>54393</v>
          </cell>
          <cell r="AF272">
            <v>268</v>
          </cell>
          <cell r="AG272">
            <v>10290045.843905678</v>
          </cell>
          <cell r="AH272">
            <v>-291763.39594338625</v>
          </cell>
          <cell r="AI272">
            <v>-42351.273573709412</v>
          </cell>
          <cell r="AJ272">
            <v>334114.66951709567</v>
          </cell>
          <cell r="AK272">
            <v>9998282.4479622915</v>
          </cell>
          <cell r="AT272">
            <v>58045</v>
          </cell>
          <cell r="AU272">
            <v>268</v>
          </cell>
          <cell r="AV272">
            <v>0</v>
          </cell>
        </row>
        <row r="273">
          <cell r="AE273">
            <v>54424</v>
          </cell>
          <cell r="AF273">
            <v>269</v>
          </cell>
          <cell r="AG273">
            <v>9998282.4479622915</v>
          </cell>
          <cell r="AH273">
            <v>-292964.22163336229</v>
          </cell>
          <cell r="AI273">
            <v>-41150.447883733395</v>
          </cell>
          <cell r="AJ273">
            <v>334114.66951709567</v>
          </cell>
          <cell r="AK273">
            <v>9705318.2263289299</v>
          </cell>
          <cell r="AT273">
            <v>58076</v>
          </cell>
          <cell r="AU273">
            <v>269</v>
          </cell>
          <cell r="AV273">
            <v>0</v>
          </cell>
        </row>
        <row r="274">
          <cell r="AE274">
            <v>54455</v>
          </cell>
          <cell r="AF274">
            <v>270</v>
          </cell>
          <cell r="AG274">
            <v>9705318.2263289299</v>
          </cell>
          <cell r="AH274">
            <v>-294169.98962370137</v>
          </cell>
          <cell r="AI274">
            <v>-39944.679893394292</v>
          </cell>
          <cell r="AJ274">
            <v>334114.66951709567</v>
          </cell>
          <cell r="AK274">
            <v>9411148.2367052287</v>
          </cell>
          <cell r="AT274">
            <v>58107</v>
          </cell>
          <cell r="AU274">
            <v>270</v>
          </cell>
          <cell r="AV274">
            <v>0</v>
          </cell>
        </row>
        <row r="275">
          <cell r="AE275">
            <v>54483</v>
          </cell>
          <cell r="AF275">
            <v>271</v>
          </cell>
          <cell r="AG275">
            <v>9411148.2367052287</v>
          </cell>
          <cell r="AH275">
            <v>-295380.72025568463</v>
          </cell>
          <cell r="AI275">
            <v>-38733.949261411028</v>
          </cell>
          <cell r="AJ275">
            <v>334114.66951709567</v>
          </cell>
          <cell r="AK275">
            <v>9115767.5164495446</v>
          </cell>
          <cell r="AT275">
            <v>58135</v>
          </cell>
          <cell r="AU275">
            <v>271</v>
          </cell>
          <cell r="AV275">
            <v>0</v>
          </cell>
        </row>
        <row r="276">
          <cell r="AE276">
            <v>54514</v>
          </cell>
          <cell r="AF276">
            <v>272</v>
          </cell>
          <cell r="AG276">
            <v>9115767.5164495446</v>
          </cell>
          <cell r="AH276">
            <v>-296596.43395431282</v>
          </cell>
          <cell r="AI276">
            <v>-37518.23556278288</v>
          </cell>
          <cell r="AJ276">
            <v>334114.66951709567</v>
          </cell>
          <cell r="AK276">
            <v>8819171.0824952312</v>
          </cell>
          <cell r="AT276">
            <v>58166</v>
          </cell>
          <cell r="AU276">
            <v>272</v>
          </cell>
          <cell r="AV276">
            <v>0</v>
          </cell>
        </row>
        <row r="277">
          <cell r="AE277">
            <v>54544</v>
          </cell>
          <cell r="AF277">
            <v>273</v>
          </cell>
          <cell r="AG277">
            <v>8819171.0824952312</v>
          </cell>
          <cell r="AH277">
            <v>-297817.15122865082</v>
          </cell>
          <cell r="AI277">
            <v>-36297.518288444859</v>
          </cell>
          <cell r="AJ277">
            <v>334114.66951709567</v>
          </cell>
          <cell r="AK277">
            <v>8521353.9312665798</v>
          </cell>
          <cell r="AT277">
            <v>58196</v>
          </cell>
          <cell r="AU277">
            <v>273</v>
          </cell>
          <cell r="AV277">
            <v>0</v>
          </cell>
        </row>
        <row r="278">
          <cell r="AE278">
            <v>54575</v>
          </cell>
          <cell r="AF278">
            <v>274</v>
          </cell>
          <cell r="AG278">
            <v>8521353.9312665798</v>
          </cell>
          <cell r="AH278">
            <v>-299042.89267217385</v>
          </cell>
          <cell r="AI278">
            <v>-35071.776844921798</v>
          </cell>
          <cell r="AJ278">
            <v>334114.66951709567</v>
          </cell>
          <cell r="AK278">
            <v>8222311.0385944061</v>
          </cell>
          <cell r="AT278">
            <v>58227</v>
          </cell>
          <cell r="AU278">
            <v>274</v>
          </cell>
          <cell r="AV278">
            <v>0</v>
          </cell>
        </row>
        <row r="279">
          <cell r="AE279">
            <v>54605</v>
          </cell>
          <cell r="AF279">
            <v>275</v>
          </cell>
          <cell r="AG279">
            <v>8222311.0385944061</v>
          </cell>
          <cell r="AH279">
            <v>-300273.6789631148</v>
          </cell>
          <cell r="AI279">
            <v>-33840.990553980882</v>
          </cell>
          <cell r="AJ279">
            <v>334114.66951709567</v>
          </cell>
          <cell r="AK279">
            <v>7922037.3596312916</v>
          </cell>
          <cell r="AT279">
            <v>58257</v>
          </cell>
          <cell r="AU279">
            <v>275</v>
          </cell>
          <cell r="AV279">
            <v>0</v>
          </cell>
        </row>
        <row r="280">
          <cell r="AE280">
            <v>54636</v>
          </cell>
          <cell r="AF280">
            <v>276</v>
          </cell>
          <cell r="AG280">
            <v>7922037.3596312916</v>
          </cell>
          <cell r="AH280">
            <v>-301509.53086481284</v>
          </cell>
          <cell r="AI280">
            <v>-32605.138652282822</v>
          </cell>
          <cell r="AJ280">
            <v>334114.66951709567</v>
          </cell>
          <cell r="AK280">
            <v>7620527.8287664792</v>
          </cell>
          <cell r="AT280">
            <v>58288</v>
          </cell>
          <cell r="AU280">
            <v>276</v>
          </cell>
          <cell r="AV280">
            <v>0</v>
          </cell>
        </row>
        <row r="281">
          <cell r="AE281">
            <v>54667</v>
          </cell>
          <cell r="AF281">
            <v>277</v>
          </cell>
          <cell r="AG281">
            <v>7620527.8287664792</v>
          </cell>
          <cell r="AH281">
            <v>-302750.4692260641</v>
          </cell>
          <cell r="AI281">
            <v>-31364.200291031586</v>
          </cell>
          <cell r="AJ281">
            <v>334114.66951709567</v>
          </cell>
          <cell r="AK281">
            <v>7317777.359540415</v>
          </cell>
          <cell r="AT281">
            <v>58319</v>
          </cell>
          <cell r="AU281">
            <v>277</v>
          </cell>
          <cell r="AV281">
            <v>0</v>
          </cell>
        </row>
        <row r="282">
          <cell r="AE282">
            <v>54697</v>
          </cell>
          <cell r="AF282">
            <v>278</v>
          </cell>
          <cell r="AG282">
            <v>7317777.359540415</v>
          </cell>
          <cell r="AH282">
            <v>-303996.51498147304</v>
          </cell>
          <cell r="AI282">
            <v>-30118.154535622652</v>
          </cell>
          <cell r="AJ282">
            <v>334114.66951709567</v>
          </cell>
          <cell r="AK282">
            <v>7013780.8445589421</v>
          </cell>
          <cell r="AT282">
            <v>58349</v>
          </cell>
          <cell r="AU282">
            <v>278</v>
          </cell>
          <cell r="AV282">
            <v>0</v>
          </cell>
        </row>
        <row r="283">
          <cell r="AE283">
            <v>54728</v>
          </cell>
          <cell r="AF283">
            <v>279</v>
          </cell>
          <cell r="AG283">
            <v>7013780.8445589421</v>
          </cell>
          <cell r="AH283">
            <v>-305247.68915180577</v>
          </cell>
          <cell r="AI283">
            <v>-28866.98036528991</v>
          </cell>
          <cell r="AJ283">
            <v>334114.66951709567</v>
          </cell>
          <cell r="AK283">
            <v>6708533.1554071363</v>
          </cell>
          <cell r="AT283">
            <v>58380</v>
          </cell>
          <cell r="AU283">
            <v>279</v>
          </cell>
          <cell r="AV283">
            <v>0</v>
          </cell>
        </row>
        <row r="284">
          <cell r="AE284">
            <v>54758</v>
          </cell>
          <cell r="AF284">
            <v>280</v>
          </cell>
          <cell r="AG284">
            <v>6708533.1554071363</v>
          </cell>
          <cell r="AH284">
            <v>-306504.01284434472</v>
          </cell>
          <cell r="AI284">
            <v>-27610.656672750949</v>
          </cell>
          <cell r="AJ284">
            <v>334114.66951709567</v>
          </cell>
          <cell r="AK284">
            <v>6402029.1425627917</v>
          </cell>
          <cell r="AT284">
            <v>58410</v>
          </cell>
          <cell r="AU284">
            <v>280</v>
          </cell>
          <cell r="AV284">
            <v>0</v>
          </cell>
        </row>
        <row r="285">
          <cell r="AE285">
            <v>54789</v>
          </cell>
          <cell r="AF285">
            <v>281</v>
          </cell>
          <cell r="AG285">
            <v>6402029.1425627917</v>
          </cell>
          <cell r="AH285">
            <v>-307765.50725324464</v>
          </cell>
          <cell r="AI285">
            <v>-26349.162263851049</v>
          </cell>
          <cell r="AJ285">
            <v>334114.66951709567</v>
          </cell>
          <cell r="AK285">
            <v>6094263.6353095472</v>
          </cell>
          <cell r="AT285">
            <v>58441</v>
          </cell>
          <cell r="AU285">
            <v>281</v>
          </cell>
          <cell r="AV285">
            <v>0</v>
          </cell>
        </row>
        <row r="286">
          <cell r="AE286">
            <v>54820</v>
          </cell>
          <cell r="AF286">
            <v>282</v>
          </cell>
          <cell r="AG286">
            <v>6094263.6353095472</v>
          </cell>
          <cell r="AH286">
            <v>-309032.19365989004</v>
          </cell>
          <cell r="AI286">
            <v>-25082.475857205623</v>
          </cell>
          <cell r="AJ286">
            <v>334114.66951709567</v>
          </cell>
          <cell r="AK286">
            <v>5785231.4416496567</v>
          </cell>
          <cell r="AT286">
            <v>58472</v>
          </cell>
          <cell r="AU286">
            <v>282</v>
          </cell>
          <cell r="AV286">
            <v>0</v>
          </cell>
        </row>
        <row r="287">
          <cell r="AE287">
            <v>54848</v>
          </cell>
          <cell r="AF287">
            <v>283</v>
          </cell>
          <cell r="AG287">
            <v>5785231.4416496567</v>
          </cell>
          <cell r="AH287">
            <v>-310304.09343325451</v>
          </cell>
          <cell r="AI287">
            <v>-23810.576083841159</v>
          </cell>
          <cell r="AJ287">
            <v>334114.66951709567</v>
          </cell>
          <cell r="AK287">
            <v>5474927.3482164023</v>
          </cell>
          <cell r="AT287">
            <v>58501</v>
          </cell>
          <cell r="AU287">
            <v>283</v>
          </cell>
          <cell r="AV287">
            <v>0</v>
          </cell>
        </row>
        <row r="288">
          <cell r="AE288">
            <v>54879</v>
          </cell>
          <cell r="AF288">
            <v>284</v>
          </cell>
          <cell r="AG288">
            <v>5474927.3482164023</v>
          </cell>
          <cell r="AH288">
            <v>-311581.22803026089</v>
          </cell>
          <cell r="AI288">
            <v>-22533.441486834781</v>
          </cell>
          <cell r="AJ288">
            <v>334114.66951709567</v>
          </cell>
          <cell r="AK288">
            <v>5163346.1201861417</v>
          </cell>
          <cell r="AT288">
            <v>58532</v>
          </cell>
          <cell r="AU288">
            <v>284</v>
          </cell>
          <cell r="AV288">
            <v>0</v>
          </cell>
        </row>
        <row r="289">
          <cell r="AE289">
            <v>54909</v>
          </cell>
          <cell r="AF289">
            <v>285</v>
          </cell>
          <cell r="AG289">
            <v>5163346.1201861417</v>
          </cell>
          <cell r="AH289">
            <v>-312863.61899614346</v>
          </cell>
          <cell r="AI289">
            <v>-21251.050520952231</v>
          </cell>
          <cell r="AJ289">
            <v>334114.66951709567</v>
          </cell>
          <cell r="AK289">
            <v>4850482.5011899984</v>
          </cell>
          <cell r="AT289">
            <v>58562</v>
          </cell>
          <cell r="AU289">
            <v>285</v>
          </cell>
          <cell r="AV289">
            <v>0</v>
          </cell>
        </row>
        <row r="290">
          <cell r="AE290">
            <v>54940</v>
          </cell>
          <cell r="AF290">
            <v>286</v>
          </cell>
          <cell r="AG290">
            <v>4850482.5011899984</v>
          </cell>
          <cell r="AH290">
            <v>-314151.28796481126</v>
          </cell>
          <cell r="AI290">
            <v>-19963.381552284423</v>
          </cell>
          <cell r="AJ290">
            <v>334114.66951709567</v>
          </cell>
          <cell r="AK290">
            <v>4536331.2132251868</v>
          </cell>
          <cell r="AT290">
            <v>58593</v>
          </cell>
          <cell r="AU290">
            <v>286</v>
          </cell>
          <cell r="AV290">
            <v>0</v>
          </cell>
        </row>
        <row r="291">
          <cell r="AE291">
            <v>54970</v>
          </cell>
          <cell r="AF291">
            <v>287</v>
          </cell>
          <cell r="AG291">
            <v>4536331.2132251868</v>
          </cell>
          <cell r="AH291">
            <v>-315444.25665921316</v>
          </cell>
          <cell r="AI291">
            <v>-18670.412857882482</v>
          </cell>
          <cell r="AJ291">
            <v>334114.66951709567</v>
          </cell>
          <cell r="AK291">
            <v>4220886.9565659733</v>
          </cell>
          <cell r="AT291">
            <v>58623</v>
          </cell>
          <cell r="AU291">
            <v>287</v>
          </cell>
          <cell r="AV291">
            <v>0</v>
          </cell>
        </row>
        <row r="292">
          <cell r="AE292">
            <v>55001</v>
          </cell>
          <cell r="AF292">
            <v>288</v>
          </cell>
          <cell r="AG292">
            <v>4220886.9565659733</v>
          </cell>
          <cell r="AH292">
            <v>-316742.54689170443</v>
          </cell>
          <cell r="AI292">
            <v>-17372.122625391243</v>
          </cell>
          <cell r="AJ292">
            <v>334114.66951709567</v>
          </cell>
          <cell r="AK292">
            <v>3904144.4096742691</v>
          </cell>
          <cell r="AT292">
            <v>58654</v>
          </cell>
          <cell r="AU292">
            <v>288</v>
          </cell>
          <cell r="AV292">
            <v>0</v>
          </cell>
        </row>
        <row r="293">
          <cell r="AE293">
            <v>55032</v>
          </cell>
          <cell r="AF293">
            <v>289</v>
          </cell>
          <cell r="AG293">
            <v>3904144.4096742691</v>
          </cell>
          <cell r="AH293">
            <v>-318046.1805644143</v>
          </cell>
          <cell r="AI293">
            <v>-16068.488952681339</v>
          </cell>
          <cell r="AJ293">
            <v>334114.66951709567</v>
          </cell>
          <cell r="AK293">
            <v>3586098.2291098549</v>
          </cell>
          <cell r="AT293">
            <v>58685</v>
          </cell>
          <cell r="AU293">
            <v>289</v>
          </cell>
          <cell r="AV293">
            <v>0</v>
          </cell>
        </row>
        <row r="294">
          <cell r="AE294">
            <v>55062</v>
          </cell>
          <cell r="AF294">
            <v>290</v>
          </cell>
          <cell r="AG294">
            <v>3586098.2291098549</v>
          </cell>
          <cell r="AH294">
            <v>-319355.17966961605</v>
          </cell>
          <cell r="AI294">
            <v>-14759.489847479648</v>
          </cell>
          <cell r="AJ294">
            <v>334114.66951709567</v>
          </cell>
          <cell r="AK294">
            <v>3266743.0494402386</v>
          </cell>
          <cell r="AT294">
            <v>58715</v>
          </cell>
          <cell r="AU294">
            <v>290</v>
          </cell>
          <cell r="AV294">
            <v>0</v>
          </cell>
        </row>
        <row r="295">
          <cell r="AE295">
            <v>55093</v>
          </cell>
          <cell r="AF295">
            <v>291</v>
          </cell>
          <cell r="AG295">
            <v>3266743.0494402386</v>
          </cell>
          <cell r="AH295">
            <v>-320669.56629009737</v>
          </cell>
          <cell r="AI295">
            <v>-13445.103226998322</v>
          </cell>
          <cell r="AJ295">
            <v>334114.66951709567</v>
          </cell>
          <cell r="AK295">
            <v>2946073.4831501413</v>
          </cell>
          <cell r="AT295">
            <v>58746</v>
          </cell>
          <cell r="AU295">
            <v>291</v>
          </cell>
          <cell r="AV295">
            <v>0</v>
          </cell>
        </row>
        <row r="296">
          <cell r="AE296">
            <v>55123</v>
          </cell>
          <cell r="AF296">
            <v>292</v>
          </cell>
          <cell r="AG296">
            <v>2946073.4831501413</v>
          </cell>
          <cell r="AH296">
            <v>-321989.3625995334</v>
          </cell>
          <cell r="AI296">
            <v>-12125.306917562257</v>
          </cell>
          <cell r="AJ296">
            <v>334114.66951709567</v>
          </cell>
          <cell r="AK296">
            <v>2624084.1205506078</v>
          </cell>
          <cell r="AT296">
            <v>58776</v>
          </cell>
          <cell r="AU296">
            <v>292</v>
          </cell>
          <cell r="AV296">
            <v>0</v>
          </cell>
        </row>
        <row r="297">
          <cell r="AE297">
            <v>55154</v>
          </cell>
          <cell r="AF297">
            <v>293</v>
          </cell>
          <cell r="AG297">
            <v>2624084.1205506078</v>
          </cell>
          <cell r="AH297">
            <v>-323314.59086286067</v>
          </cell>
          <cell r="AI297">
            <v>-10800.07865423498</v>
          </cell>
          <cell r="AJ297">
            <v>334114.66951709567</v>
          </cell>
          <cell r="AK297">
            <v>2300769.5296877474</v>
          </cell>
          <cell r="AT297">
            <v>58807</v>
          </cell>
          <cell r="AU297">
            <v>293</v>
          </cell>
          <cell r="AV297">
            <v>0</v>
          </cell>
        </row>
        <row r="298">
          <cell r="AE298">
            <v>55185</v>
          </cell>
          <cell r="AF298">
            <v>294</v>
          </cell>
          <cell r="AG298">
            <v>2300769.5296877474</v>
          </cell>
          <cell r="AH298">
            <v>-324645.27343665255</v>
          </cell>
          <cell r="AI298">
            <v>-9469.3960804430899</v>
          </cell>
          <cell r="AJ298">
            <v>334114.66951709567</v>
          </cell>
          <cell r="AK298">
            <v>1976124.2562510949</v>
          </cell>
          <cell r="AT298">
            <v>58838</v>
          </cell>
          <cell r="AU298">
            <v>294</v>
          </cell>
          <cell r="AV298">
            <v>0</v>
          </cell>
        </row>
        <row r="299">
          <cell r="AE299">
            <v>55213</v>
          </cell>
          <cell r="AF299">
            <v>295</v>
          </cell>
          <cell r="AG299">
            <v>1976124.2562510949</v>
          </cell>
          <cell r="AH299">
            <v>-325981.43276949658</v>
          </cell>
          <cell r="AI299">
            <v>-8133.2367475990714</v>
          </cell>
          <cell r="AJ299">
            <v>334114.66951709567</v>
          </cell>
          <cell r="AK299">
            <v>1650142.8234815984</v>
          </cell>
          <cell r="AT299">
            <v>58866</v>
          </cell>
          <cell r="AU299">
            <v>295</v>
          </cell>
          <cell r="AV299">
            <v>0</v>
          </cell>
        </row>
        <row r="300">
          <cell r="AE300">
            <v>55244</v>
          </cell>
          <cell r="AF300">
            <v>296</v>
          </cell>
          <cell r="AG300">
            <v>1650142.8234815984</v>
          </cell>
          <cell r="AH300">
            <v>-327323.09140237304</v>
          </cell>
          <cell r="AI300">
            <v>-6791.5781147225971</v>
          </cell>
          <cell r="AJ300">
            <v>334114.66951709567</v>
          </cell>
          <cell r="AK300">
            <v>1322819.7320792254</v>
          </cell>
          <cell r="AT300">
            <v>58897</v>
          </cell>
          <cell r="AU300">
            <v>296</v>
          </cell>
          <cell r="AV300">
            <v>0</v>
          </cell>
        </row>
        <row r="301">
          <cell r="AE301">
            <v>55274</v>
          </cell>
          <cell r="AF301">
            <v>297</v>
          </cell>
          <cell r="AG301">
            <v>1322819.7320792254</v>
          </cell>
          <cell r="AH301">
            <v>-328670.27196903538</v>
          </cell>
          <cell r="AI301">
            <v>-5444.3975480602676</v>
          </cell>
          <cell r="AJ301">
            <v>334114.66951709567</v>
          </cell>
          <cell r="AK301">
            <v>994149.46011018998</v>
          </cell>
          <cell r="AT301">
            <v>58927</v>
          </cell>
          <cell r="AU301">
            <v>297</v>
          </cell>
          <cell r="AV301">
            <v>0</v>
          </cell>
        </row>
        <row r="302">
          <cell r="AE302">
            <v>55305</v>
          </cell>
          <cell r="AF302">
            <v>298</v>
          </cell>
          <cell r="AG302">
            <v>994149.46011018998</v>
          </cell>
          <cell r="AH302">
            <v>-330022.99719639192</v>
          </cell>
          <cell r="AI302">
            <v>-4091.6723207037689</v>
          </cell>
          <cell r="AJ302">
            <v>334114.66951709567</v>
          </cell>
          <cell r="AK302">
            <v>664126.46291379805</v>
          </cell>
          <cell r="AT302">
            <v>58958</v>
          </cell>
          <cell r="AU302">
            <v>298</v>
          </cell>
          <cell r="AV302">
            <v>0</v>
          </cell>
        </row>
        <row r="303">
          <cell r="AE303">
            <v>55335</v>
          </cell>
          <cell r="AF303">
            <v>299</v>
          </cell>
          <cell r="AG303">
            <v>664126.46291379805</v>
          </cell>
          <cell r="AH303">
            <v>-331381.28990488918</v>
          </cell>
          <cell r="AI303">
            <v>-2733.3796122064764</v>
          </cell>
          <cell r="AJ303">
            <v>334114.66951709567</v>
          </cell>
          <cell r="AK303">
            <v>332745.17300890887</v>
          </cell>
          <cell r="AT303">
            <v>58988</v>
          </cell>
          <cell r="AU303">
            <v>299</v>
          </cell>
          <cell r="AV303">
            <v>0</v>
          </cell>
        </row>
        <row r="304">
          <cell r="AE304">
            <v>55366</v>
          </cell>
          <cell r="AF304">
            <v>300</v>
          </cell>
          <cell r="AG304">
            <v>332745.17300890887</v>
          </cell>
          <cell r="AH304">
            <v>-332745.17300889717</v>
          </cell>
          <cell r="AI304">
            <v>-1369.4965081984781</v>
          </cell>
          <cell r="AJ304">
            <v>334114.66951709567</v>
          </cell>
          <cell r="AK304">
            <v>1.1699739843606949E-8</v>
          </cell>
          <cell r="AT304">
            <v>59019</v>
          </cell>
          <cell r="AU304">
            <v>300</v>
          </cell>
          <cell r="AV304">
            <v>0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gus Rent Roll"/>
      <sheetName val="Summary"/>
      <sheetName val="StackingPlan"/>
      <sheetName val="RentRoll"/>
      <sheetName val="NRA"/>
      <sheetName val="Rent"/>
      <sheetName val="WAVG"/>
      <sheetName val="Expi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">
          <cell r="A7" t="str">
            <v xml:space="preserve"> Prairie North Health  </v>
          </cell>
          <cell r="B7" t="str">
            <v xml:space="preserve">Expans </v>
          </cell>
          <cell r="C7">
            <v>20800</v>
          </cell>
          <cell r="D7">
            <v>38534</v>
          </cell>
          <cell r="E7">
            <v>40359</v>
          </cell>
          <cell r="F7">
            <v>13</v>
          </cell>
          <cell r="G7">
            <v>0.6910900228682354</v>
          </cell>
          <cell r="H7">
            <v>8.9841702972870596</v>
          </cell>
          <cell r="I7">
            <v>29.930184804928132</v>
          </cell>
          <cell r="J7">
            <v>20.684452101288294</v>
          </cell>
        </row>
        <row r="8">
          <cell r="A8" t="str">
            <v xml:space="preserve">Prairie North has net free rent on 5 850 Sf until July 31  2010. Tenant pays pro rata share of tax only.            </v>
          </cell>
          <cell r="B8">
            <v>3</v>
          </cell>
          <cell r="C8">
            <v>0</v>
          </cell>
          <cell r="D8">
            <v>38534</v>
          </cell>
          <cell r="E8">
            <v>40359</v>
          </cell>
          <cell r="F8">
            <v>0</v>
          </cell>
          <cell r="G8">
            <v>0</v>
          </cell>
          <cell r="H8">
            <v>0</v>
          </cell>
          <cell r="I8">
            <v>29.930184804928132</v>
          </cell>
          <cell r="J8">
            <v>0</v>
          </cell>
        </row>
        <row r="9">
          <cell r="A9" t="str">
            <v xml:space="preserve"> Regional              </v>
          </cell>
          <cell r="B9">
            <v>42</v>
          </cell>
          <cell r="C9">
            <v>1.41E-2</v>
          </cell>
          <cell r="D9">
            <v>36923</v>
          </cell>
          <cell r="E9">
            <v>44227</v>
          </cell>
          <cell r="F9"/>
          <cell r="G9">
            <v>4.6847929434817877E-7</v>
          </cell>
          <cell r="H9" t="e">
            <v>#VALUE!</v>
          </cell>
          <cell r="I9">
            <v>157.01026694045174</v>
          </cell>
          <cell r="J9">
            <v>7.3556059061682017E-5</v>
          </cell>
        </row>
        <row r="10">
          <cell r="A10" t="str">
            <v xml:space="preserve"> Nationals  Suite: 03  </v>
          </cell>
          <cell r="C10">
            <v>0.16020000000000001</v>
          </cell>
          <cell r="D10">
            <v>39264</v>
          </cell>
          <cell r="E10">
            <v>44742</v>
          </cell>
          <cell r="F10">
            <v>0</v>
          </cell>
          <cell r="G10">
            <v>5.3227221953601593E-6</v>
          </cell>
          <cell r="H10">
            <v>0</v>
          </cell>
          <cell r="I10">
            <v>173.93018480492813</v>
          </cell>
          <cell r="J10">
            <v>9.2578205510428528E-4</v>
          </cell>
        </row>
        <row r="11">
          <cell r="A11" t="str">
            <v xml:space="preserve"> Nationals  Suite: 03  </v>
          </cell>
          <cell r="B11">
            <v>37</v>
          </cell>
          <cell r="C11">
            <v>0.18140000000000001</v>
          </cell>
          <cell r="D11">
            <v>38534</v>
          </cell>
          <cell r="E11">
            <v>44043</v>
          </cell>
          <cell r="F11">
            <v>103604</v>
          </cell>
          <cell r="G11">
            <v>6.0271024109758602E-6</v>
          </cell>
          <cell r="H11">
            <v>0.62443191818674304</v>
          </cell>
          <cell r="I11">
            <v>150.96509240246405</v>
          </cell>
          <cell r="J11">
            <v>9.0988207239208461E-4</v>
          </cell>
        </row>
        <row r="12">
          <cell r="A12" t="str">
            <v xml:space="preserve"> 180 Months            </v>
          </cell>
          <cell r="B12">
            <v>12</v>
          </cell>
          <cell r="C12"/>
          <cell r="D12">
            <v>39083</v>
          </cell>
          <cell r="E12">
            <v>44561</v>
          </cell>
          <cell r="F12">
            <v>0</v>
          </cell>
          <cell r="G12" t="e">
            <v>#VALUE!</v>
          </cell>
          <cell r="H12" t="e">
            <v>#VALUE!</v>
          </cell>
          <cell r="I12">
            <v>167.98357289527721</v>
          </cell>
          <cell r="J12" t="e">
            <v>#VALUE!</v>
          </cell>
        </row>
        <row r="13">
          <cell r="A13" t="str">
            <v xml:space="preserve"> Ricki's / Bootlegger  </v>
          </cell>
          <cell r="B13">
            <v>28</v>
          </cell>
          <cell r="C13">
            <v>4788</v>
          </cell>
          <cell r="D13">
            <v>38991</v>
          </cell>
          <cell r="E13">
            <v>40209</v>
          </cell>
          <cell r="F13">
            <v>0</v>
          </cell>
          <cell r="G13">
            <v>0.1590836071871688</v>
          </cell>
          <cell r="H13">
            <v>0</v>
          </cell>
          <cell r="I13">
            <v>25.002053388090349</v>
          </cell>
          <cell r="J13">
            <v>3.9774168400635879</v>
          </cell>
        </row>
        <row r="14">
          <cell r="A14"/>
          <cell r="B14">
            <v>34</v>
          </cell>
          <cell r="C14">
            <v>0</v>
          </cell>
          <cell r="D14">
            <v>37865</v>
          </cell>
          <cell r="E14">
            <v>43343</v>
          </cell>
          <cell r="F14"/>
          <cell r="G14">
            <v>0</v>
          </cell>
          <cell r="H14" t="e">
            <v>#VALUE!</v>
          </cell>
          <cell r="I14">
            <v>127.96714579055441</v>
          </cell>
          <cell r="J14">
            <v>0</v>
          </cell>
        </row>
        <row r="15">
          <cell r="A15" t="str">
            <v xml:space="preserve"> Local  Suite: 18      </v>
          </cell>
          <cell r="B15">
            <v>13</v>
          </cell>
          <cell r="C15">
            <v>1.9E-3</v>
          </cell>
          <cell r="D15">
            <v>38991</v>
          </cell>
          <cell r="E15">
            <v>39478</v>
          </cell>
          <cell r="F15">
            <v>0</v>
          </cell>
          <cell r="G15">
            <v>6.3128415550463807E-8</v>
          </cell>
          <cell r="H15">
            <v>0</v>
          </cell>
          <cell r="I15">
            <v>0.98562628336755642</v>
          </cell>
          <cell r="J15">
            <v>6.2221025593886295E-8</v>
          </cell>
        </row>
        <row r="16">
          <cell r="A16">
            <v>0</v>
          </cell>
          <cell r="B16">
            <v>13</v>
          </cell>
          <cell r="C16"/>
          <cell r="D16">
            <v>39508</v>
          </cell>
          <cell r="E16">
            <v>41333</v>
          </cell>
          <cell r="F16">
            <v>0</v>
          </cell>
          <cell r="G16" t="e">
            <v>#VALUE!</v>
          </cell>
          <cell r="H16" t="e">
            <v>#VALUE!</v>
          </cell>
          <cell r="I16">
            <v>61.930184804928132</v>
          </cell>
          <cell r="J16" t="e">
            <v>#VALUE!</v>
          </cell>
        </row>
        <row r="17">
          <cell r="A17"/>
          <cell r="B17">
            <v>30</v>
          </cell>
          <cell r="C17">
            <v>0</v>
          </cell>
          <cell r="D17">
            <v>38718</v>
          </cell>
          <cell r="E17">
            <v>39994</v>
          </cell>
          <cell r="F17"/>
          <cell r="G17">
            <v>0</v>
          </cell>
          <cell r="H17" t="e">
            <v>#VALUE!</v>
          </cell>
          <cell r="I17">
            <v>17.938398357289529</v>
          </cell>
          <cell r="J17">
            <v>0</v>
          </cell>
        </row>
        <row r="18">
          <cell r="A18" t="str">
            <v xml:space="preserve"> Craigs Apparel        </v>
          </cell>
          <cell r="B18">
            <v>30</v>
          </cell>
          <cell r="C18">
            <v>3250</v>
          </cell>
          <cell r="D18">
            <v>40026</v>
          </cell>
          <cell r="E18">
            <v>41851</v>
          </cell>
          <cell r="F18">
            <v>0</v>
          </cell>
          <cell r="G18">
            <v>0.10798281607316178</v>
          </cell>
          <cell r="H18">
            <v>0</v>
          </cell>
          <cell r="I18">
            <v>78.948665297741272</v>
          </cell>
          <cell r="J18">
            <v>8.5250992040676064</v>
          </cell>
        </row>
        <row r="19">
          <cell r="A19" t="str">
            <v xml:space="preserve">1x5 year renewal option. Tenant will pay percentage rent to the LL on a yearly basis of 5.5% on gross sales over $600.000.            </v>
          </cell>
          <cell r="B19">
            <v>9</v>
          </cell>
          <cell r="C19">
            <v>0</v>
          </cell>
          <cell r="D19">
            <v>38047</v>
          </cell>
          <cell r="E19">
            <v>39872</v>
          </cell>
          <cell r="F19">
            <v>0</v>
          </cell>
          <cell r="G19">
            <v>0</v>
          </cell>
          <cell r="H19">
            <v>0</v>
          </cell>
          <cell r="I19">
            <v>13.930184804928132</v>
          </cell>
          <cell r="J19">
            <v>0</v>
          </cell>
        </row>
        <row r="20">
          <cell r="A20">
            <v>0</v>
          </cell>
          <cell r="B20" t="str">
            <v xml:space="preserve">P1 </v>
          </cell>
          <cell r="C20"/>
          <cell r="D20">
            <v>37347</v>
          </cell>
          <cell r="E20">
            <v>44651</v>
          </cell>
          <cell r="F20">
            <v>0</v>
          </cell>
          <cell r="G20" t="e">
            <v>#VALUE!</v>
          </cell>
          <cell r="H20" t="e">
            <v>#VALUE!</v>
          </cell>
          <cell r="I20">
            <v>170.94045174537987</v>
          </cell>
          <cell r="J20" t="e">
            <v>#VALUE!</v>
          </cell>
        </row>
        <row r="21">
          <cell r="A21" t="str">
            <v xml:space="preserve"> Bentley               </v>
          </cell>
          <cell r="B21">
            <v>23</v>
          </cell>
          <cell r="C21">
            <v>1259</v>
          </cell>
          <cell r="D21">
            <v>38596</v>
          </cell>
          <cell r="E21">
            <v>39691</v>
          </cell>
          <cell r="F21">
            <v>0</v>
          </cell>
          <cell r="G21">
            <v>4.1830881672649436E-2</v>
          </cell>
          <cell r="H21">
            <v>0</v>
          </cell>
          <cell r="I21">
            <v>7.9835728952772076</v>
          </cell>
          <cell r="J21">
            <v>0.33395989310731217</v>
          </cell>
        </row>
        <row r="22">
          <cell r="A22"/>
          <cell r="B22">
            <v>23</v>
          </cell>
          <cell r="C22">
            <v>0</v>
          </cell>
          <cell r="D22">
            <v>40087</v>
          </cell>
          <cell r="E22">
            <v>41912</v>
          </cell>
          <cell r="F22">
            <v>0</v>
          </cell>
          <cell r="G22">
            <v>0</v>
          </cell>
          <cell r="H22">
            <v>0</v>
          </cell>
          <cell r="I22">
            <v>80.952772073921977</v>
          </cell>
          <cell r="J22">
            <v>0</v>
          </cell>
        </row>
        <row r="23">
          <cell r="A23"/>
          <cell r="C23"/>
          <cell r="D23">
            <v>39022</v>
          </cell>
          <cell r="E23">
            <v>40939</v>
          </cell>
          <cell r="F23">
            <v>0</v>
          </cell>
          <cell r="G23" t="e">
            <v>#VALUE!</v>
          </cell>
          <cell r="H23" t="e">
            <v>#VALUE!</v>
          </cell>
          <cell r="I23">
            <v>48.985626283367559</v>
          </cell>
          <cell r="J23" t="e">
            <v>#VALUE!</v>
          </cell>
        </row>
        <row r="24">
          <cell r="A24">
            <v>0</v>
          </cell>
          <cell r="B24" t="str">
            <v xml:space="preserve">P2 </v>
          </cell>
          <cell r="C24"/>
          <cell r="D24">
            <v>38991</v>
          </cell>
          <cell r="E24">
            <v>40086</v>
          </cell>
          <cell r="F24">
            <v>0</v>
          </cell>
          <cell r="G24" t="e">
            <v>#VALUE!</v>
          </cell>
          <cell r="H24" t="e">
            <v>#VALUE!</v>
          </cell>
          <cell r="I24">
            <v>20.960985626283367</v>
          </cell>
          <cell r="J24" t="e">
            <v>#VALUE!</v>
          </cell>
        </row>
        <row r="25">
          <cell r="A25">
            <v>0</v>
          </cell>
          <cell r="B25">
            <v>25</v>
          </cell>
          <cell r="C25"/>
          <cell r="D25">
            <v>39203</v>
          </cell>
          <cell r="E25">
            <v>39752</v>
          </cell>
          <cell r="F25">
            <v>0</v>
          </cell>
          <cell r="G25" t="e">
            <v>#VALUE!</v>
          </cell>
          <cell r="H25" t="e">
            <v>#VALUE!</v>
          </cell>
          <cell r="I25">
            <v>9.9876796714579061</v>
          </cell>
          <cell r="J25" t="e">
            <v>#VALUE!</v>
          </cell>
        </row>
        <row r="26">
          <cell r="A26"/>
          <cell r="B26">
            <v>22</v>
          </cell>
          <cell r="C26">
            <v>0</v>
          </cell>
          <cell r="D26">
            <v>38749</v>
          </cell>
          <cell r="E26">
            <v>40574</v>
          </cell>
          <cell r="F26">
            <v>0</v>
          </cell>
          <cell r="G26">
            <v>0</v>
          </cell>
          <cell r="H26">
            <v>0</v>
          </cell>
          <cell r="I26">
            <v>36.993839835728956</v>
          </cell>
          <cell r="J26">
            <v>0</v>
          </cell>
        </row>
        <row r="27">
          <cell r="A27" t="str">
            <v xml:space="preserve"> Local  Suite: 30A     </v>
          </cell>
          <cell r="B27">
            <v>19</v>
          </cell>
          <cell r="C27">
            <v>7.4999999999999997E-3</v>
          </cell>
          <cell r="D27">
            <v>38443</v>
          </cell>
          <cell r="E27">
            <v>40268</v>
          </cell>
          <cell r="F27">
            <v>9300</v>
          </cell>
          <cell r="G27">
            <v>2.4919111401498871E-7</v>
          </cell>
          <cell r="H27">
            <v>2.3174773603393951E-3</v>
          </cell>
          <cell r="I27">
            <v>26.940451745379878</v>
          </cell>
          <cell r="J27">
            <v>6.7133211824982592E-6</v>
          </cell>
        </row>
        <row r="28">
          <cell r="A28"/>
          <cell r="B28">
            <v>24</v>
          </cell>
          <cell r="C28">
            <v>0</v>
          </cell>
          <cell r="D28">
            <v>38169</v>
          </cell>
          <cell r="E28">
            <v>39994</v>
          </cell>
          <cell r="F28"/>
          <cell r="G28">
            <v>0</v>
          </cell>
          <cell r="H28" t="e">
            <v>#VALUE!</v>
          </cell>
          <cell r="I28">
            <v>17.938398357289529</v>
          </cell>
          <cell r="J28">
            <v>0</v>
          </cell>
        </row>
        <row r="29">
          <cell r="A29"/>
          <cell r="B29" t="str">
            <v>30A</v>
          </cell>
          <cell r="C29"/>
          <cell r="D29">
            <v>38961</v>
          </cell>
          <cell r="E29">
            <v>40602</v>
          </cell>
          <cell r="F29">
            <v>0</v>
          </cell>
          <cell r="G29" t="e">
            <v>#VALUE!</v>
          </cell>
          <cell r="H29" t="e">
            <v>#VALUE!</v>
          </cell>
          <cell r="I29">
            <v>37.913757700205338</v>
          </cell>
          <cell r="J29" t="e">
            <v>#VALUE!</v>
          </cell>
        </row>
        <row r="30">
          <cell r="A30">
            <v>0</v>
          </cell>
          <cell r="B30">
            <v>26</v>
          </cell>
          <cell r="C30"/>
          <cell r="D30">
            <v>38991</v>
          </cell>
          <cell r="E30">
            <v>39782</v>
          </cell>
          <cell r="F30">
            <v>0</v>
          </cell>
          <cell r="G30" t="e">
            <v>#VALUE!</v>
          </cell>
          <cell r="H30" t="e">
            <v>#VALUE!</v>
          </cell>
          <cell r="I30">
            <v>10.973305954825461</v>
          </cell>
          <cell r="J30" t="e">
            <v>#VALUE!</v>
          </cell>
        </row>
        <row r="31">
          <cell r="A31" t="str">
            <v xml:space="preserve">CAM is capped at $1.00 +cpi.                                                                                                                                              </v>
          </cell>
          <cell r="B31">
            <v>26</v>
          </cell>
          <cell r="C31"/>
          <cell r="D31">
            <v>39814</v>
          </cell>
          <cell r="E31">
            <v>41639</v>
          </cell>
          <cell r="F31">
            <v>0</v>
          </cell>
          <cell r="G31" t="e">
            <v>#VALUE!</v>
          </cell>
          <cell r="H31" t="e">
            <v>#VALUE!</v>
          </cell>
          <cell r="I31">
            <v>71.983572895277206</v>
          </cell>
          <cell r="J31" t="e">
            <v>#VALUE!</v>
          </cell>
        </row>
        <row r="32">
          <cell r="A32" t="str">
            <v xml:space="preserve"> 240 Months            </v>
          </cell>
          <cell r="B32">
            <v>17</v>
          </cell>
          <cell r="C32"/>
          <cell r="D32">
            <v>38961</v>
          </cell>
          <cell r="E32">
            <v>40056</v>
          </cell>
          <cell r="F32">
            <v>0</v>
          </cell>
          <cell r="G32" t="e">
            <v>#VALUE!</v>
          </cell>
          <cell r="H32" t="e">
            <v>#VALUE!</v>
          </cell>
          <cell r="I32">
            <v>19.975359342915812</v>
          </cell>
          <cell r="J32" t="e">
            <v>#VALUE!</v>
          </cell>
        </row>
        <row r="33">
          <cell r="A33" t="str">
            <v xml:space="preserve"> 60 Months             </v>
          </cell>
          <cell r="B33">
            <v>7</v>
          </cell>
          <cell r="C33"/>
          <cell r="D33">
            <v>39295</v>
          </cell>
          <cell r="E33">
            <v>41121</v>
          </cell>
          <cell r="F33">
            <v>0</v>
          </cell>
          <cell r="G33" t="e">
            <v>#VALUE!</v>
          </cell>
          <cell r="H33" t="e">
            <v>#VALUE!</v>
          </cell>
          <cell r="I33">
            <v>54.965092402464066</v>
          </cell>
          <cell r="J33" t="e">
            <v>#VALUE!</v>
          </cell>
        </row>
        <row r="34">
          <cell r="A34" t="str">
            <v xml:space="preserve"> Regional  Suite: 9    </v>
          </cell>
          <cell r="B34">
            <v>18</v>
          </cell>
          <cell r="C34">
            <v>1.6299999999999999E-2</v>
          </cell>
          <cell r="D34">
            <v>38991</v>
          </cell>
          <cell r="E34">
            <v>39721</v>
          </cell>
          <cell r="F34">
            <v>0</v>
          </cell>
          <cell r="G34">
            <v>5.4157535445924209E-7</v>
          </cell>
          <cell r="H34">
            <v>0</v>
          </cell>
          <cell r="I34">
            <v>8.9691991786447645</v>
          </cell>
          <cell r="J34">
            <v>4.8574972243900813E-6</v>
          </cell>
        </row>
        <row r="35">
          <cell r="A35"/>
          <cell r="B35" t="str">
            <v xml:space="preserve">K3 </v>
          </cell>
          <cell r="C35">
            <v>0</v>
          </cell>
          <cell r="D35">
            <v>38991</v>
          </cell>
          <cell r="E35">
            <v>39721</v>
          </cell>
          <cell r="F35">
            <v>0</v>
          </cell>
          <cell r="G35">
            <v>0</v>
          </cell>
          <cell r="H35">
            <v>0</v>
          </cell>
          <cell r="I35">
            <v>8.9691991786447645</v>
          </cell>
          <cell r="J35">
            <v>0</v>
          </cell>
        </row>
        <row r="36">
          <cell r="A36"/>
          <cell r="B36" t="str">
            <v xml:space="preserve">K4 </v>
          </cell>
          <cell r="C36">
            <v>0</v>
          </cell>
          <cell r="D36">
            <v>38991</v>
          </cell>
          <cell r="E36">
            <v>39721</v>
          </cell>
          <cell r="F36">
            <v>0</v>
          </cell>
          <cell r="G36">
            <v>0</v>
          </cell>
          <cell r="H36">
            <v>0</v>
          </cell>
          <cell r="I36">
            <v>8.9691991786447645</v>
          </cell>
          <cell r="J36">
            <v>0</v>
          </cell>
        </row>
        <row r="37">
          <cell r="A37"/>
          <cell r="B37" t="str">
            <v xml:space="preserve">K2 </v>
          </cell>
          <cell r="C37">
            <v>0</v>
          </cell>
          <cell r="D37">
            <v>38991</v>
          </cell>
          <cell r="E37">
            <v>39721</v>
          </cell>
          <cell r="F37">
            <v>0</v>
          </cell>
          <cell r="G37">
            <v>0</v>
          </cell>
          <cell r="H37">
            <v>0</v>
          </cell>
          <cell r="I37">
            <v>8.9691991786447645</v>
          </cell>
          <cell r="J37">
            <v>0</v>
          </cell>
        </row>
        <row r="38">
          <cell r="A38"/>
          <cell r="B38" t="str">
            <v xml:space="preserve">K1 </v>
          </cell>
          <cell r="C38">
            <v>0</v>
          </cell>
          <cell r="D38">
            <v>39083</v>
          </cell>
          <cell r="E38">
            <v>40908</v>
          </cell>
          <cell r="F38">
            <v>0</v>
          </cell>
          <cell r="G38">
            <v>0</v>
          </cell>
          <cell r="H38">
            <v>0</v>
          </cell>
          <cell r="I38">
            <v>47.967145790554412</v>
          </cell>
          <cell r="J38">
            <v>0</v>
          </cell>
        </row>
        <row r="39">
          <cell r="A39"/>
          <cell r="B39">
            <v>3</v>
          </cell>
          <cell r="C39">
            <v>0</v>
          </cell>
          <cell r="D39">
            <v>38534</v>
          </cell>
          <cell r="E39">
            <v>40359</v>
          </cell>
          <cell r="F39"/>
          <cell r="G39">
            <v>0</v>
          </cell>
          <cell r="H39" t="e">
            <v>#VALUE!</v>
          </cell>
          <cell r="I39">
            <v>29.930184804928132</v>
          </cell>
          <cell r="J39">
            <v>0</v>
          </cell>
        </row>
        <row r="40">
          <cell r="A40"/>
          <cell r="B40" t="str">
            <v>Mo 13</v>
          </cell>
          <cell r="C40"/>
          <cell r="D40">
            <v>39448</v>
          </cell>
          <cell r="E40">
            <v>41274</v>
          </cell>
          <cell r="G40" t="e">
            <v>#VALUE!</v>
          </cell>
          <cell r="H40" t="e">
            <v>#VALUE!</v>
          </cell>
          <cell r="I40">
            <v>59.991786447638603</v>
          </cell>
          <cell r="J40" t="e">
            <v>#VALUE!</v>
          </cell>
        </row>
        <row r="41">
          <cell r="A41"/>
          <cell r="B41" t="str">
            <v>Mo 13</v>
          </cell>
          <cell r="C41">
            <v>0</v>
          </cell>
          <cell r="D41">
            <v>39448</v>
          </cell>
          <cell r="E41">
            <v>41274</v>
          </cell>
          <cell r="G41">
            <v>0</v>
          </cell>
          <cell r="H41">
            <v>0</v>
          </cell>
          <cell r="I41">
            <v>59.991786447638603</v>
          </cell>
          <cell r="J41">
            <v>0</v>
          </cell>
        </row>
        <row r="42">
          <cell r="A42"/>
          <cell r="B42" t="str">
            <v>Mo 13</v>
          </cell>
          <cell r="C42"/>
          <cell r="D42">
            <v>39448</v>
          </cell>
          <cell r="E42">
            <v>41274</v>
          </cell>
          <cell r="G42" t="e">
            <v>#VALUE!</v>
          </cell>
          <cell r="H42" t="e">
            <v>#VALUE!</v>
          </cell>
          <cell r="I42">
            <v>59.991786447638603</v>
          </cell>
          <cell r="J42" t="e">
            <v>#VALUE!</v>
          </cell>
        </row>
      </sheetData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 Ass'ns"/>
      <sheetName val="Portfolio DCF"/>
      <sheetName val="8"/>
      <sheetName val="9"/>
      <sheetName val="10"/>
      <sheetName val="11"/>
      <sheetName val="8.01"/>
      <sheetName val="8.02"/>
      <sheetName val="8.03"/>
      <sheetName val="8.04"/>
      <sheetName val="8.05"/>
      <sheetName val="8.06"/>
      <sheetName val="9.04"/>
      <sheetName val="9.05"/>
      <sheetName val="9.07"/>
      <sheetName val="9.10"/>
      <sheetName val="9.11"/>
      <sheetName val="10.01"/>
      <sheetName val="10.02"/>
      <sheetName val="10.04"/>
      <sheetName val="10.05"/>
      <sheetName val="10.11"/>
      <sheetName val="10.15"/>
      <sheetName val="10.17"/>
      <sheetName val="10.21"/>
      <sheetName val="10.22"/>
      <sheetName val="10.23"/>
      <sheetName val="11.10"/>
      <sheetName val="11.20"/>
      <sheetName val="11.40"/>
    </sheetNames>
    <sheetDataSet>
      <sheetData sheetId="0">
        <row r="8">
          <cell r="J8">
            <v>45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minion - Revised Phasing"/>
      <sheetName val="Appraisal Revenue"/>
      <sheetName val="Construction"/>
    </sheetNames>
    <sheetDataSet>
      <sheetData sheetId="0"/>
      <sheetData sheetId="1"/>
      <sheetData sheetId="2">
        <row r="29">
          <cell r="C29">
            <v>137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1C9E-1D69-4ABD-B985-86D2DFA9FCDC}">
  <dimension ref="B2:R54"/>
  <sheetViews>
    <sheetView showGridLines="0" zoomScale="85" zoomScaleNormal="85" workbookViewId="0"/>
  </sheetViews>
  <sheetFormatPr defaultColWidth="10.7109375" defaultRowHeight="19.149999999999999" customHeight="1" x14ac:dyDescent="0.25"/>
  <cols>
    <col min="1" max="1" width="3.28515625" style="778" customWidth="1"/>
    <col min="2" max="2" width="19" style="778" customWidth="1"/>
    <col min="3" max="3" width="22" style="778" customWidth="1"/>
    <col min="4" max="4" width="19.7109375" style="778" customWidth="1"/>
    <col min="5" max="5" width="2.7109375" style="778" customWidth="1"/>
    <col min="6" max="11" width="15.28515625" style="778" customWidth="1"/>
    <col min="12" max="12" width="3" style="778" customWidth="1"/>
    <col min="13" max="13" width="35.140625" style="778" customWidth="1"/>
    <col min="14" max="14" width="51.140625" style="778" bestFit="1" customWidth="1"/>
    <col min="15" max="15" width="31.28515625" style="778" bestFit="1" customWidth="1"/>
    <col min="16" max="16384" width="10.7109375" style="778"/>
  </cols>
  <sheetData>
    <row r="2" spans="2:18" ht="28.9" customHeight="1" x14ac:dyDescent="0.25">
      <c r="B2" s="885" t="s">
        <v>0</v>
      </c>
      <c r="C2" s="776"/>
      <c r="D2" s="776"/>
      <c r="E2" s="776"/>
      <c r="F2" s="776"/>
      <c r="G2" s="776"/>
      <c r="H2" s="776"/>
      <c r="I2" s="776"/>
      <c r="J2" s="776"/>
      <c r="K2" s="776"/>
      <c r="L2" s="777"/>
      <c r="M2" s="885" t="s">
        <v>502</v>
      </c>
      <c r="N2" s="776"/>
      <c r="O2" s="776"/>
    </row>
    <row r="3" spans="2:18" ht="7.9" customHeight="1" x14ac:dyDescent="0.25"/>
    <row r="4" spans="2:18" ht="21" customHeight="1" x14ac:dyDescent="0.25">
      <c r="B4" s="779" t="s">
        <v>1</v>
      </c>
      <c r="C4" s="780"/>
      <c r="D4" s="780"/>
      <c r="F4" s="781" t="s">
        <v>2</v>
      </c>
      <c r="G4" s="781"/>
      <c r="H4" s="781"/>
      <c r="I4" s="781"/>
      <c r="J4" s="781"/>
      <c r="K4" s="781"/>
      <c r="M4" s="779" t="s">
        <v>819</v>
      </c>
      <c r="N4" s="880" t="s">
        <v>498</v>
      </c>
      <c r="O4" s="879" t="s">
        <v>331</v>
      </c>
    </row>
    <row r="5" spans="2:18" ht="21" customHeight="1" x14ac:dyDescent="0.25">
      <c r="B5" s="779" t="s">
        <v>3</v>
      </c>
      <c r="C5" s="780"/>
      <c r="D5" s="780"/>
      <c r="F5" s="781" t="s">
        <v>4</v>
      </c>
      <c r="G5" s="781"/>
      <c r="H5" s="781"/>
      <c r="I5" s="781"/>
      <c r="J5" s="781"/>
      <c r="K5" s="781"/>
      <c r="M5" s="779" t="s">
        <v>820</v>
      </c>
      <c r="N5" s="880" t="s">
        <v>498</v>
      </c>
      <c r="O5" s="879" t="s">
        <v>331</v>
      </c>
    </row>
    <row r="6" spans="2:18" ht="21" customHeight="1" x14ac:dyDescent="0.25">
      <c r="B6" s="779" t="s">
        <v>5</v>
      </c>
      <c r="C6" s="780"/>
      <c r="D6" s="782"/>
      <c r="F6" s="781" t="s">
        <v>6</v>
      </c>
      <c r="G6" s="781"/>
      <c r="H6" s="781"/>
      <c r="I6" s="781"/>
      <c r="J6" s="781"/>
      <c r="K6" s="781"/>
      <c r="M6" s="783" t="s">
        <v>496</v>
      </c>
      <c r="N6" s="881" t="s">
        <v>498</v>
      </c>
      <c r="O6" s="887" t="s">
        <v>331</v>
      </c>
    </row>
    <row r="7" spans="2:18" ht="21" customHeight="1" x14ac:dyDescent="0.25">
      <c r="B7" s="783" t="s">
        <v>7</v>
      </c>
      <c r="C7" s="784" t="s">
        <v>8</v>
      </c>
      <c r="D7" s="863" t="s">
        <v>9</v>
      </c>
      <c r="E7" s="786"/>
      <c r="F7" s="849"/>
      <c r="M7" s="787"/>
      <c r="N7" s="882" t="s">
        <v>505</v>
      </c>
      <c r="O7" s="884" t="s">
        <v>9</v>
      </c>
    </row>
    <row r="8" spans="2:18" ht="21" customHeight="1" x14ac:dyDescent="0.25">
      <c r="B8" s="787"/>
      <c r="C8" s="788" t="s">
        <v>10</v>
      </c>
      <c r="D8" s="864" t="str">
        <f>Economics!F203</f>
        <v>&lt;Housing Type&gt;</v>
      </c>
      <c r="E8" s="786"/>
      <c r="M8" s="787"/>
      <c r="N8" s="882" t="s">
        <v>503</v>
      </c>
      <c r="O8" s="883" t="e">
        <f>+IF(Economics!I64&gt;50000000,"Yes","No")</f>
        <v>#N/A</v>
      </c>
    </row>
    <row r="9" spans="2:18" ht="21" customHeight="1" x14ac:dyDescent="0.25">
      <c r="B9" s="789"/>
      <c r="C9" s="790" t="s">
        <v>11</v>
      </c>
      <c r="D9" s="865" t="str">
        <f>Economics!F204</f>
        <v>&lt;Program&gt;</v>
      </c>
      <c r="E9" s="786"/>
      <c r="K9" s="859"/>
      <c r="M9" s="787"/>
      <c r="N9" s="882" t="s">
        <v>539</v>
      </c>
      <c r="O9" s="883" t="e">
        <f>+IF(AND(OR(Economics!F201=ControlBackEnd!C7,Economics!F201=ControlBackEnd!C6),Economics!I64/Economics!H34&gt;0.75),"Yes",IF(Economics!I64/Economics!H34&gt;0.9,"Yes","No"))</f>
        <v>#N/A</v>
      </c>
      <c r="Q9" s="849"/>
    </row>
    <row r="10" spans="2:18" ht="21" customHeight="1" x14ac:dyDescent="0.25">
      <c r="B10" s="783" t="s">
        <v>12</v>
      </c>
      <c r="C10" s="784" t="s">
        <v>13</v>
      </c>
      <c r="D10" s="785">
        <f>Economics!F217</f>
        <v>0</v>
      </c>
      <c r="E10" s="786"/>
      <c r="K10" s="859"/>
      <c r="M10" s="787"/>
      <c r="N10" s="882" t="s">
        <v>499</v>
      </c>
      <c r="O10" s="883" t="str">
        <f>+IF(Economics!F203=ControlBackEnd!C13,"Yes","No")</f>
        <v>No</v>
      </c>
      <c r="P10" s="851"/>
      <c r="Q10" s="851"/>
      <c r="R10" s="851"/>
    </row>
    <row r="11" spans="2:18" ht="21" customHeight="1" x14ac:dyDescent="0.25">
      <c r="B11" s="787"/>
      <c r="C11" s="788" t="s">
        <v>14</v>
      </c>
      <c r="D11" s="785">
        <f>Economics!F219</f>
        <v>0</v>
      </c>
      <c r="E11" s="786"/>
      <c r="K11" s="859"/>
      <c r="M11" s="787"/>
      <c r="N11" s="882" t="s">
        <v>500</v>
      </c>
      <c r="O11" s="883" t="str">
        <f>+IF(Economics!F203=ControlBackEnd!C11,"Yes","No")</f>
        <v>No</v>
      </c>
      <c r="P11" s="851"/>
      <c r="Q11" s="851"/>
      <c r="R11" s="851"/>
    </row>
    <row r="12" spans="2:18" ht="21" customHeight="1" x14ac:dyDescent="0.25">
      <c r="B12" s="789"/>
      <c r="C12" s="790" t="s">
        <v>15</v>
      </c>
      <c r="D12" s="791">
        <f>Economics!F218</f>
        <v>0</v>
      </c>
      <c r="E12" s="786"/>
      <c r="K12" s="860"/>
      <c r="M12" s="787"/>
      <c r="N12" s="882" t="s">
        <v>501</v>
      </c>
      <c r="O12" s="884" t="s">
        <v>9</v>
      </c>
      <c r="P12" s="851"/>
    </row>
    <row r="13" spans="2:18" ht="21" customHeight="1" x14ac:dyDescent="0.25">
      <c r="B13" s="783" t="s">
        <v>16</v>
      </c>
      <c r="C13" s="784" t="s">
        <v>17</v>
      </c>
      <c r="D13" s="792" t="e">
        <f>+Economics!I64</f>
        <v>#N/A</v>
      </c>
      <c r="E13" s="793"/>
      <c r="M13" s="787"/>
      <c r="N13" s="882" t="s">
        <v>540</v>
      </c>
      <c r="O13" s="884" t="s">
        <v>9</v>
      </c>
      <c r="P13" s="889" t="s">
        <v>504</v>
      </c>
    </row>
    <row r="14" spans="2:18" ht="21" customHeight="1" x14ac:dyDescent="0.25">
      <c r="B14" s="787"/>
      <c r="C14" s="788" t="s">
        <v>18</v>
      </c>
      <c r="D14" s="850">
        <f>+Economics!I68</f>
        <v>0</v>
      </c>
      <c r="E14" s="786"/>
      <c r="F14" s="849"/>
      <c r="M14" s="787"/>
      <c r="N14" s="882" t="s">
        <v>821</v>
      </c>
      <c r="O14" s="884" t="s">
        <v>331</v>
      </c>
    </row>
    <row r="15" spans="2:18" ht="21" customHeight="1" x14ac:dyDescent="0.25">
      <c r="B15" s="789"/>
      <c r="C15" s="790" t="s">
        <v>19</v>
      </c>
      <c r="D15" s="791">
        <f>Economics!I69</f>
        <v>0</v>
      </c>
      <c r="E15" s="786"/>
      <c r="M15" s="779" t="s">
        <v>497</v>
      </c>
      <c r="N15" s="880" t="s">
        <v>503</v>
      </c>
      <c r="O15" s="878" t="e">
        <f>+IF(Economics!I64&gt;50000000,"Yes","No")</f>
        <v>#N/A</v>
      </c>
    </row>
    <row r="16" spans="2:18" ht="21" customHeight="1" x14ac:dyDescent="0.25">
      <c r="B16" s="783" t="s">
        <v>20</v>
      </c>
      <c r="C16" s="784" t="s">
        <v>21</v>
      </c>
      <c r="D16" s="862" t="s">
        <v>22</v>
      </c>
      <c r="F16" s="794" t="s">
        <v>23</v>
      </c>
      <c r="G16" s="794"/>
      <c r="H16" s="794"/>
      <c r="I16" s="794"/>
      <c r="J16" s="794"/>
      <c r="K16" s="794"/>
    </row>
    <row r="17" spans="2:16" ht="21" customHeight="1" x14ac:dyDescent="0.25">
      <c r="B17" s="787"/>
      <c r="C17" s="788" t="s">
        <v>24</v>
      </c>
      <c r="D17" s="863" t="s">
        <v>9</v>
      </c>
      <c r="F17" s="794" t="s">
        <v>25</v>
      </c>
      <c r="G17" s="794"/>
      <c r="H17" s="794"/>
      <c r="I17" s="794"/>
      <c r="J17" s="794"/>
      <c r="K17" s="794"/>
      <c r="L17" s="794"/>
      <c r="M17" s="885" t="s">
        <v>495</v>
      </c>
      <c r="N17" s="857"/>
    </row>
    <row r="18" spans="2:16" ht="21" customHeight="1" x14ac:dyDescent="0.25">
      <c r="B18" s="787"/>
      <c r="C18" s="788" t="s">
        <v>26</v>
      </c>
      <c r="D18" s="863" t="s">
        <v>9</v>
      </c>
      <c r="E18" s="794"/>
      <c r="F18" s="794" t="s">
        <v>27</v>
      </c>
      <c r="G18" s="794"/>
      <c r="H18" s="794"/>
      <c r="I18" s="794"/>
      <c r="J18" s="794"/>
      <c r="K18" s="794"/>
      <c r="L18" s="794"/>
      <c r="M18" s="888" t="s">
        <v>816</v>
      </c>
      <c r="N18" s="877" t="str">
        <f>+IF(O4="Yes","No","Yes")</f>
        <v>Yes</v>
      </c>
      <c r="O18" s="886"/>
    </row>
    <row r="19" spans="2:16" ht="21" customHeight="1" x14ac:dyDescent="0.25">
      <c r="B19" s="787"/>
      <c r="C19" s="788" t="s">
        <v>507</v>
      </c>
      <c r="D19" s="863" t="s">
        <v>509</v>
      </c>
      <c r="E19" s="794"/>
      <c r="F19" s="794" t="s">
        <v>27</v>
      </c>
      <c r="G19" s="794"/>
      <c r="H19" s="794"/>
      <c r="I19" s="794"/>
      <c r="J19" s="794"/>
      <c r="K19" s="794"/>
      <c r="M19" s="888" t="s">
        <v>817</v>
      </c>
      <c r="N19" s="877" t="str">
        <f>+IF(O5="Yes","No","Yes")</f>
        <v>Yes</v>
      </c>
    </row>
    <row r="20" spans="2:16" ht="21" customHeight="1" x14ac:dyDescent="0.25">
      <c r="B20" s="789"/>
      <c r="C20" s="790" t="s">
        <v>28</v>
      </c>
      <c r="D20" s="858" t="s">
        <v>29</v>
      </c>
      <c r="F20" s="794" t="s">
        <v>27</v>
      </c>
      <c r="G20" s="794"/>
      <c r="H20" s="794"/>
      <c r="I20" s="794"/>
      <c r="J20" s="794"/>
      <c r="K20" s="794"/>
      <c r="L20" s="794"/>
      <c r="M20" s="888" t="s">
        <v>496</v>
      </c>
      <c r="N20" s="877" t="str">
        <f>+IF(O6="Yes","No",IF(COUNTIFS(O8:O14,"Yes")+COUNTIFS(O4:O5,"Yes")&gt;0,"Yes","No"))</f>
        <v>No</v>
      </c>
      <c r="O20" s="889" t="s">
        <v>506</v>
      </c>
    </row>
    <row r="21" spans="2:16" ht="21" customHeight="1" x14ac:dyDescent="0.25">
      <c r="B21" s="783" t="s">
        <v>30</v>
      </c>
      <c r="C21" s="788" t="s">
        <v>31</v>
      </c>
      <c r="D21" s="799" t="e">
        <f>Economics!I80</f>
        <v>#N/A</v>
      </c>
      <c r="E21" s="797"/>
      <c r="F21" s="794" t="s">
        <v>27</v>
      </c>
      <c r="G21" s="794"/>
      <c r="H21" s="794"/>
      <c r="I21" s="794"/>
      <c r="J21" s="794"/>
      <c r="K21" s="794"/>
      <c r="L21" s="794"/>
      <c r="M21" s="888" t="s">
        <v>497</v>
      </c>
      <c r="N21" s="877" t="e">
        <f>+IF(O15="Yes","Yes",IF(AND(O6="Yes",O7="No",COUNTIFS(O8:O13,"Yes")+COUNTIFS(O4:O5,"Yes")&gt;0),"Yes","No"))</f>
        <v>#N/A</v>
      </c>
    </row>
    <row r="22" spans="2:16" ht="21" customHeight="1" x14ac:dyDescent="0.25">
      <c r="B22" s="798"/>
      <c r="C22" s="788" t="s">
        <v>32</v>
      </c>
      <c r="D22" s="846" t="e">
        <f>+Economics!I64/Economics!H34</f>
        <v>#N/A</v>
      </c>
      <c r="E22" s="781"/>
      <c r="F22" s="794" t="s">
        <v>27</v>
      </c>
      <c r="H22" s="794"/>
      <c r="I22" s="794"/>
      <c r="J22" s="794"/>
      <c r="L22" s="794"/>
    </row>
    <row r="23" spans="2:16" ht="21" customHeight="1" x14ac:dyDescent="0.25">
      <c r="B23" s="798"/>
      <c r="C23" s="788" t="s">
        <v>33</v>
      </c>
      <c r="D23" s="803" t="e">
        <f>Economics!I34</f>
        <v>#DIV/0!</v>
      </c>
      <c r="E23" s="800"/>
      <c r="F23" s="822">
        <f>+Economics!G34</f>
        <v>0</v>
      </c>
      <c r="G23" s="794" t="s">
        <v>34</v>
      </c>
      <c r="H23" s="794"/>
      <c r="I23" s="794"/>
      <c r="J23" s="794"/>
      <c r="K23" s="794"/>
      <c r="L23" s="794"/>
    </row>
    <row r="24" spans="2:16" ht="21" customHeight="1" x14ac:dyDescent="0.25">
      <c r="B24" s="798"/>
      <c r="C24" s="788" t="s">
        <v>35</v>
      </c>
      <c r="D24" s="801" t="e">
        <f>Economics!H84</f>
        <v>#NUM!</v>
      </c>
      <c r="E24" s="802"/>
      <c r="F24" s="794" t="s">
        <v>36</v>
      </c>
      <c r="G24" s="794"/>
      <c r="H24" s="794"/>
      <c r="I24" s="794"/>
      <c r="J24" s="794"/>
      <c r="K24" s="794"/>
      <c r="L24" s="794"/>
    </row>
    <row r="25" spans="2:16" ht="21" customHeight="1" x14ac:dyDescent="0.25">
      <c r="B25" s="798"/>
      <c r="C25" s="788" t="s">
        <v>37</v>
      </c>
      <c r="D25" s="796" t="e">
        <f>IF(AND(Economics!I68=5,Economics!J72=0),TEXT(Economics!I71,"0.00%")&amp;" / "&amp;"NIL",IF(AND(Economics!I68=10,Economics!J73=0),TEXT(Economics!I71,"0.00%")&amp;" / "&amp;"NIL",IF(Economics!I68=5,TEXT(Economics!I71,"0.00%")&amp;" / "&amp;TEXT(Economics!J72,"$#,#"),TEXT(Economics!I71,"0.00%")&amp;" / "&amp;TEXT(Economics!J73,"$#,#"))))</f>
        <v>#N/A</v>
      </c>
      <c r="E25" s="804"/>
      <c r="F25" s="794" t="s">
        <v>27</v>
      </c>
      <c r="G25" s="794"/>
      <c r="H25" s="794"/>
      <c r="I25" s="794"/>
      <c r="J25" s="794"/>
      <c r="K25" s="794"/>
      <c r="L25" s="794"/>
    </row>
    <row r="26" spans="2:16" ht="21" customHeight="1" x14ac:dyDescent="0.25">
      <c r="B26" s="798"/>
      <c r="C26" s="788" t="s">
        <v>200</v>
      </c>
      <c r="D26" s="942" t="e">
        <f>+Economics!H54-Economics!I64</f>
        <v>#N/A</v>
      </c>
      <c r="E26" s="804"/>
      <c r="F26" s="794" t="s">
        <v>818</v>
      </c>
      <c r="G26" s="794"/>
      <c r="H26" s="794"/>
      <c r="I26" s="794"/>
      <c r="J26" s="794"/>
      <c r="K26" s="794"/>
      <c r="L26" s="794"/>
    </row>
    <row r="27" spans="2:16" ht="21" customHeight="1" x14ac:dyDescent="0.25">
      <c r="B27" s="798"/>
      <c r="C27" s="788" t="s">
        <v>38</v>
      </c>
      <c r="D27" s="848" t="str">
        <f>+Economics!AQ18</f>
        <v>-</v>
      </c>
      <c r="E27" s="786"/>
      <c r="F27" s="847" t="s">
        <v>39</v>
      </c>
      <c r="G27" s="794" t="s">
        <v>40</v>
      </c>
      <c r="I27" s="794"/>
      <c r="J27" s="794"/>
      <c r="L27" s="794"/>
    </row>
    <row r="28" spans="2:16" ht="21" customHeight="1" x14ac:dyDescent="0.25">
      <c r="B28" s="783" t="s">
        <v>41</v>
      </c>
      <c r="C28" s="784"/>
      <c r="D28" s="784"/>
      <c r="E28" s="805"/>
      <c r="F28" s="794" t="s">
        <v>42</v>
      </c>
      <c r="G28" s="794"/>
      <c r="H28" s="794"/>
      <c r="I28" s="794"/>
      <c r="J28" s="794"/>
      <c r="K28" s="794"/>
    </row>
    <row r="29" spans="2:16" ht="19.149999999999999" customHeight="1" x14ac:dyDescent="0.25">
      <c r="B29" s="806"/>
    </row>
    <row r="30" spans="2:16" ht="28.9" customHeight="1" x14ac:dyDescent="0.25">
      <c r="B30" s="885" t="s">
        <v>43</v>
      </c>
      <c r="C30" s="776"/>
      <c r="D30" s="776"/>
      <c r="E30" s="776"/>
      <c r="F30" s="776"/>
      <c r="G30" s="776"/>
      <c r="H30" s="776"/>
      <c r="I30" s="776"/>
      <c r="J30" s="776"/>
      <c r="K30" s="776"/>
    </row>
    <row r="31" spans="2:16" ht="21" customHeight="1" x14ac:dyDescent="0.25"/>
    <row r="32" spans="2:16" ht="21" customHeight="1" x14ac:dyDescent="0.25">
      <c r="B32" s="779" t="s">
        <v>44</v>
      </c>
      <c r="C32" s="807"/>
      <c r="D32" s="919">
        <v>0</v>
      </c>
      <c r="F32" s="809" t="s">
        <v>45</v>
      </c>
      <c r="G32" s="809" t="s">
        <v>46</v>
      </c>
      <c r="H32" s="809" t="s">
        <v>47</v>
      </c>
      <c r="I32" s="809" t="s">
        <v>48</v>
      </c>
      <c r="K32" s="821"/>
      <c r="M32" s="806"/>
      <c r="P32" s="806"/>
    </row>
    <row r="33" spans="2:16" ht="21" customHeight="1" x14ac:dyDescent="0.25">
      <c r="B33" s="779" t="s">
        <v>49</v>
      </c>
      <c r="C33" s="807"/>
      <c r="D33" s="808">
        <v>0</v>
      </c>
      <c r="F33" s="810">
        <f>F34-1</f>
        <v>-4</v>
      </c>
      <c r="G33" s="817" t="e">
        <f>ROUND('Buydown Calc'!$D$6*I33/10000*$D$13+$D$36*$D$13/10000,-3)</f>
        <v>#N/A</v>
      </c>
      <c r="H33" s="811" t="e">
        <f>G33/$D$13</f>
        <v>#N/A</v>
      </c>
      <c r="I33" s="819" t="e">
        <f>+(F33-$D$33-$D$34-$D$35)</f>
        <v>#N/A</v>
      </c>
      <c r="M33" s="806"/>
      <c r="P33" s="806"/>
    </row>
    <row r="34" spans="2:16" ht="21" customHeight="1" x14ac:dyDescent="0.25">
      <c r="B34" s="779" t="s">
        <v>50</v>
      </c>
      <c r="C34" s="807"/>
      <c r="D34" s="816" t="e" cm="1">
        <f t="array" ref="D34">+INDEX(ControlBackEnd!$H$3:$H$8,_xlfn.XMATCH(Summary!$D$13,ControlBackEnd!$G$3:$G$8,-1))</f>
        <v>#N/A</v>
      </c>
      <c r="F34" s="810">
        <f>F35-1</f>
        <v>-3</v>
      </c>
      <c r="G34" s="817" t="e">
        <f>ROUND('Buydown Calc'!$D$6*I34/10000*$D$13+$D$36*$D$13/10000,-3)</f>
        <v>#N/A</v>
      </c>
      <c r="H34" s="811" t="e">
        <f>G34/$D$13</f>
        <v>#N/A</v>
      </c>
      <c r="I34" s="819" t="e">
        <f t="shared" ref="I34:I41" si="0">+(F34-$D$33-$D$34-$D$35)</f>
        <v>#N/A</v>
      </c>
      <c r="M34" s="806"/>
      <c r="P34" s="806"/>
    </row>
    <row r="35" spans="2:16" ht="21" customHeight="1" x14ac:dyDescent="0.25">
      <c r="B35" s="779" t="s">
        <v>51</v>
      </c>
      <c r="C35" s="807"/>
      <c r="D35" s="919">
        <v>0</v>
      </c>
      <c r="F35" s="810">
        <f>F36-1</f>
        <v>-2</v>
      </c>
      <c r="G35" s="817" t="e">
        <f>ROUND('Buydown Calc'!$D$6*I35/10000*$D$13+$D$36*$D$13/10000,-3)</f>
        <v>#N/A</v>
      </c>
      <c r="H35" s="811" t="e">
        <f t="shared" ref="H35:H41" si="1">G35/$D$13</f>
        <v>#N/A</v>
      </c>
      <c r="I35" s="819" t="e">
        <f t="shared" si="0"/>
        <v>#N/A</v>
      </c>
      <c r="M35" s="806"/>
    </row>
    <row r="36" spans="2:16" ht="21" customHeight="1" x14ac:dyDescent="0.25">
      <c r="B36" s="779" t="s">
        <v>52</v>
      </c>
      <c r="C36" s="807"/>
      <c r="D36" s="919">
        <v>0</v>
      </c>
      <c r="F36" s="810">
        <f>F37-1</f>
        <v>-1</v>
      </c>
      <c r="G36" s="817" t="e">
        <f>ROUND('Buydown Calc'!$D$6*I36/10000*$D$13+$D$36*$D$13/10000,-3)</f>
        <v>#N/A</v>
      </c>
      <c r="H36" s="811" t="e">
        <f t="shared" si="1"/>
        <v>#N/A</v>
      </c>
      <c r="I36" s="819" t="e">
        <f t="shared" si="0"/>
        <v>#N/A</v>
      </c>
    </row>
    <row r="37" spans="2:16" ht="19.149999999999999" customHeight="1" x14ac:dyDescent="0.25">
      <c r="F37" s="812">
        <f>+D32-D33</f>
        <v>0</v>
      </c>
      <c r="G37" s="818" t="e">
        <f>ROUND('Buydown Calc'!$D$6*I37/10000*$D$13+$D$36*$D$13/10000,-3)</f>
        <v>#N/A</v>
      </c>
      <c r="H37" s="813" t="e">
        <f t="shared" si="1"/>
        <v>#N/A</v>
      </c>
      <c r="I37" s="820" t="e">
        <f t="shared" si="0"/>
        <v>#N/A</v>
      </c>
    </row>
    <row r="38" spans="2:16" ht="19.149999999999999" customHeight="1" x14ac:dyDescent="0.25">
      <c r="F38" s="810">
        <f>F37+1</f>
        <v>1</v>
      </c>
      <c r="G38" s="817" t="e">
        <f>ROUND('Buydown Calc'!$D$6*I38/10000*$D$13+$D$36*$D$13/10000,-3)</f>
        <v>#N/A</v>
      </c>
      <c r="H38" s="811" t="e">
        <f t="shared" si="1"/>
        <v>#N/A</v>
      </c>
      <c r="I38" s="819" t="e">
        <f t="shared" si="0"/>
        <v>#N/A</v>
      </c>
      <c r="J38" s="795"/>
      <c r="K38" s="795"/>
    </row>
    <row r="39" spans="2:16" ht="19.149999999999999" customHeight="1" x14ac:dyDescent="0.25">
      <c r="F39" s="810">
        <f>F38+1</f>
        <v>2</v>
      </c>
      <c r="G39" s="817" t="e">
        <f>ROUND('Buydown Calc'!$D$6*I39/10000*$D$13+$D$36*$D$13/10000,-3)</f>
        <v>#N/A</v>
      </c>
      <c r="H39" s="811" t="e">
        <f t="shared" si="1"/>
        <v>#N/A</v>
      </c>
      <c r="I39" s="819" t="e">
        <f t="shared" si="0"/>
        <v>#N/A</v>
      </c>
    </row>
    <row r="40" spans="2:16" ht="19.149999999999999" customHeight="1" x14ac:dyDescent="0.25">
      <c r="F40" s="810">
        <f>F39+1</f>
        <v>3</v>
      </c>
      <c r="G40" s="817" t="e">
        <f>ROUND('Buydown Calc'!$D$6*I40/10000*$D$13+$D$36*$D$13/10000,-3)</f>
        <v>#N/A</v>
      </c>
      <c r="H40" s="811" t="e">
        <f t="shared" si="1"/>
        <v>#N/A</v>
      </c>
      <c r="I40" s="819" t="e">
        <f t="shared" si="0"/>
        <v>#N/A</v>
      </c>
    </row>
    <row r="41" spans="2:16" ht="19.149999999999999" customHeight="1" x14ac:dyDescent="0.25">
      <c r="F41" s="810">
        <f>F40+1</f>
        <v>4</v>
      </c>
      <c r="G41" s="817" t="e">
        <f>ROUND('Buydown Calc'!$D$6*I41/10000*$D$13+$D$36*$D$13/10000,-3)</f>
        <v>#N/A</v>
      </c>
      <c r="H41" s="811" t="e">
        <f t="shared" si="1"/>
        <v>#N/A</v>
      </c>
      <c r="I41" s="819" t="e">
        <f t="shared" si="0"/>
        <v>#N/A</v>
      </c>
    </row>
    <row r="43" spans="2:16" ht="28.9" customHeight="1" x14ac:dyDescent="0.25">
      <c r="B43" s="885" t="s">
        <v>53</v>
      </c>
      <c r="C43" s="776"/>
      <c r="D43" s="776"/>
      <c r="E43" s="776"/>
      <c r="F43" s="776"/>
      <c r="G43" s="776"/>
      <c r="H43" s="776"/>
      <c r="I43" s="776"/>
      <c r="J43" s="776"/>
      <c r="K43" s="776"/>
    </row>
    <row r="45" spans="2:16" ht="19.149999999999999" customHeight="1" x14ac:dyDescent="0.25">
      <c r="B45" s="779" t="s">
        <v>44</v>
      </c>
      <c r="C45" s="807"/>
      <c r="D45" s="919">
        <v>0</v>
      </c>
      <c r="F45" s="809" t="s">
        <v>45</v>
      </c>
      <c r="G45" s="809" t="s">
        <v>46</v>
      </c>
      <c r="H45" s="809" t="s">
        <v>47</v>
      </c>
      <c r="I45" s="809" t="s">
        <v>48</v>
      </c>
      <c r="K45" s="821"/>
    </row>
    <row r="46" spans="2:16" ht="19.149999999999999" customHeight="1" x14ac:dyDescent="0.25">
      <c r="B46" s="779" t="s">
        <v>49</v>
      </c>
      <c r="C46" s="807"/>
      <c r="D46" s="808">
        <v>0</v>
      </c>
      <c r="F46" s="810">
        <f>F47-1</f>
        <v>-4</v>
      </c>
      <c r="G46" s="817" t="e">
        <f>ROUND('Buydown Calc'!$D$7*I46/10000*$D$13+$D$49*$D$13/10000,-3)</f>
        <v>#N/A</v>
      </c>
      <c r="H46" s="811" t="e">
        <f>G46/$D$13</f>
        <v>#N/A</v>
      </c>
      <c r="I46" s="819" t="e">
        <f>+(F46-$D$46-$D$47-$D$48)</f>
        <v>#N/A</v>
      </c>
    </row>
    <row r="47" spans="2:16" ht="19.149999999999999" customHeight="1" x14ac:dyDescent="0.25">
      <c r="B47" s="779" t="s">
        <v>50</v>
      </c>
      <c r="C47" s="807"/>
      <c r="D47" s="816" t="e" cm="1">
        <f t="array" ref="D47">+INDEX(ControlBackEnd!$H$3:$H$8,_xlfn.XMATCH(Summary!$D$13,ControlBackEnd!$G$3:$G$8,-1))</f>
        <v>#N/A</v>
      </c>
      <c r="F47" s="810">
        <f>F48-1</f>
        <v>-3</v>
      </c>
      <c r="G47" s="817" t="e">
        <f>ROUND('Buydown Calc'!$D$7*I47/10000*$D$13+$D$49*$D$13/10000,-3)</f>
        <v>#N/A</v>
      </c>
      <c r="H47" s="811" t="e">
        <f>G47/$D$13</f>
        <v>#N/A</v>
      </c>
      <c r="I47" s="819" t="e">
        <f t="shared" ref="I47:I54" si="2">+(F47-$D$46-$D$47-$D$48)</f>
        <v>#N/A</v>
      </c>
    </row>
    <row r="48" spans="2:16" ht="19.149999999999999" customHeight="1" x14ac:dyDescent="0.25">
      <c r="B48" s="779" t="s">
        <v>51</v>
      </c>
      <c r="C48" s="807"/>
      <c r="D48" s="919">
        <v>0</v>
      </c>
      <c r="F48" s="810">
        <f>F49-1</f>
        <v>-2</v>
      </c>
      <c r="G48" s="817" t="e">
        <f>ROUND('Buydown Calc'!$D$7*I48/10000*$D$13+$D$49*$D$13/10000,-3)</f>
        <v>#N/A</v>
      </c>
      <c r="H48" s="811" t="e">
        <f t="shared" ref="H48:H54" si="3">G48/$D$13</f>
        <v>#N/A</v>
      </c>
      <c r="I48" s="819" t="e">
        <f t="shared" si="2"/>
        <v>#N/A</v>
      </c>
    </row>
    <row r="49" spans="2:11" ht="19.149999999999999" customHeight="1" x14ac:dyDescent="0.25">
      <c r="B49" s="779" t="s">
        <v>52</v>
      </c>
      <c r="C49" s="807"/>
      <c r="D49" s="919">
        <v>0</v>
      </c>
      <c r="F49" s="810">
        <f>F50-1</f>
        <v>-1</v>
      </c>
      <c r="G49" s="817" t="e">
        <f>ROUND('Buydown Calc'!$D$7*I49/10000*$D$13+$D$49*$D$13/10000,-3)</f>
        <v>#N/A</v>
      </c>
      <c r="H49" s="811" t="e">
        <f t="shared" si="3"/>
        <v>#N/A</v>
      </c>
      <c r="I49" s="819" t="e">
        <f t="shared" si="2"/>
        <v>#N/A</v>
      </c>
    </row>
    <row r="50" spans="2:11" ht="19.149999999999999" customHeight="1" x14ac:dyDescent="0.25">
      <c r="F50" s="812">
        <f>+D45-D46</f>
        <v>0</v>
      </c>
      <c r="G50" s="818" t="e">
        <f>ROUND('Buydown Calc'!$D$7*I50/10000*$D$13+$D$49*$D$13/10000,-3)</f>
        <v>#N/A</v>
      </c>
      <c r="H50" s="813" t="e">
        <f t="shared" si="3"/>
        <v>#N/A</v>
      </c>
      <c r="I50" s="820" t="e">
        <f t="shared" si="2"/>
        <v>#N/A</v>
      </c>
    </row>
    <row r="51" spans="2:11" ht="19.149999999999999" customHeight="1" x14ac:dyDescent="0.25">
      <c r="F51" s="810">
        <f>F50+1</f>
        <v>1</v>
      </c>
      <c r="G51" s="817" t="e">
        <f>ROUND('Buydown Calc'!$D$7*I51/10000*$D$13+$D$49*$D$13/10000,-3)</f>
        <v>#N/A</v>
      </c>
      <c r="H51" s="811" t="e">
        <f t="shared" si="3"/>
        <v>#N/A</v>
      </c>
      <c r="I51" s="819" t="e">
        <f t="shared" si="2"/>
        <v>#N/A</v>
      </c>
      <c r="J51" s="795"/>
      <c r="K51" s="795"/>
    </row>
    <row r="52" spans="2:11" ht="19.149999999999999" customHeight="1" x14ac:dyDescent="0.25">
      <c r="F52" s="810">
        <f>F51+1</f>
        <v>2</v>
      </c>
      <c r="G52" s="817" t="e">
        <f>ROUND('Buydown Calc'!$D$7*I52/10000*$D$13+$D$49*$D$13/10000,-3)</f>
        <v>#N/A</v>
      </c>
      <c r="H52" s="811" t="e">
        <f t="shared" si="3"/>
        <v>#N/A</v>
      </c>
      <c r="I52" s="819" t="e">
        <f t="shared" si="2"/>
        <v>#N/A</v>
      </c>
    </row>
    <row r="53" spans="2:11" ht="19.149999999999999" customHeight="1" x14ac:dyDescent="0.25">
      <c r="F53" s="810">
        <f>F52+1</f>
        <v>3</v>
      </c>
      <c r="G53" s="817" t="e">
        <f>ROUND('Buydown Calc'!$D$7*I53/10000*$D$13+$D$49*$D$13/10000,-3)</f>
        <v>#N/A</v>
      </c>
      <c r="H53" s="811" t="e">
        <f t="shared" si="3"/>
        <v>#N/A</v>
      </c>
      <c r="I53" s="819" t="e">
        <f t="shared" si="2"/>
        <v>#N/A</v>
      </c>
    </row>
    <row r="54" spans="2:11" ht="19.149999999999999" customHeight="1" x14ac:dyDescent="0.25">
      <c r="F54" s="810">
        <f>F53+1</f>
        <v>4</v>
      </c>
      <c r="G54" s="817" t="e">
        <f>ROUND('Buydown Calc'!$D$7*I54/10000*$D$13+$D$49*$D$13/10000,-3)</f>
        <v>#N/A</v>
      </c>
      <c r="H54" s="811" t="e">
        <f t="shared" si="3"/>
        <v>#N/A</v>
      </c>
      <c r="I54" s="819" t="e">
        <f t="shared" si="2"/>
        <v>#N/A</v>
      </c>
    </row>
  </sheetData>
  <conditionalFormatting sqref="D17:D19">
    <cfRule type="containsText" dxfId="24" priority="9" operator="containsText" text="LR">
      <formula>NOT(ISERROR(SEARCH("LR",D17)))</formula>
    </cfRule>
    <cfRule type="containsText" dxfId="23" priority="14" operator="containsText" text="Limited">
      <formula>NOT(ISERROR(SEARCH("Limited",D17)))</formula>
    </cfRule>
  </conditionalFormatting>
  <conditionalFormatting sqref="D20">
    <cfRule type="expression" dxfId="22" priority="6">
      <formula>AND(D20/D13&gt;=0.25,D20/D13&lt;=0.5)</formula>
    </cfRule>
    <cfRule type="expression" dxfId="21" priority="7">
      <formula>$D$20/$D$13&lt;0.25</formula>
    </cfRule>
  </conditionalFormatting>
  <conditionalFormatting sqref="D21:D22">
    <cfRule type="cellIs" dxfId="20" priority="12" operator="greaterThanOrEqual">
      <formula>0.9</formula>
    </cfRule>
  </conditionalFormatting>
  <conditionalFormatting sqref="D26">
    <cfRule type="cellIs" dxfId="18" priority="2" stopIfTrue="1" operator="lessThan">
      <formula>250000</formula>
    </cfRule>
  </conditionalFormatting>
  <conditionalFormatting sqref="D27">
    <cfRule type="cellIs" dxfId="17" priority="10" operator="greaterThanOrEqual">
      <formula>0.1</formula>
    </cfRule>
  </conditionalFormatting>
  <conditionalFormatting sqref="D10:E10">
    <cfRule type="cellIs" dxfId="16" priority="18" operator="greaterThanOrEqual">
      <formula>50</formula>
    </cfRule>
  </conditionalFormatting>
  <conditionalFormatting sqref="F27">
    <cfRule type="containsText" dxfId="15" priority="11" operator="containsText" text="No">
      <formula>NOT(ISERROR(SEARCH("No",F27)))</formula>
    </cfRule>
  </conditionalFormatting>
  <conditionalFormatting sqref="N18:N21">
    <cfRule type="containsText" dxfId="14" priority="3" operator="containsText" text="Yes">
      <formula>NOT(ISERROR(SEARCH("Yes",N18)))</formula>
    </cfRule>
    <cfRule type="containsText" priority="4" operator="containsText" text="Yes">
      <formula>NOT(ISERROR(SEARCH("Yes",N18)))</formula>
    </cfRule>
  </conditionalFormatting>
  <dataValidations count="6">
    <dataValidation type="list" allowBlank="1" showInputMessage="1" showErrorMessage="1" sqref="F27" xr:uid="{E2038765-DE84-4415-B0E4-5E6200154D5A}">
      <formula1>"&lt;EGI Test?&gt;,EGI Test, No EGI Test"</formula1>
    </dataValidation>
    <dataValidation type="list" allowBlank="1" showInputMessage="1" showErrorMessage="1" sqref="D18" xr:uid="{C0E16843-6322-4080-87C3-2325B2E69135}">
      <formula1>"&lt;Select&gt;,40%, 100%, 100% -&gt; 40%, 100% -&gt; LR, Limited-Recourse"</formula1>
    </dataValidation>
    <dataValidation type="list" allowBlank="1" showInputMessage="1" showErrorMessage="1" sqref="E18:E19" xr:uid="{1A09CE20-935A-4DE3-BDD4-1545D627F654}">
      <formula1>"40%, 100%, 100% -&gt; 40%, 100% -&gt; LR, Limted-Recourse"</formula1>
    </dataValidation>
    <dataValidation type="list" allowBlank="1" showInputMessage="1" showErrorMessage="1" sqref="D17" xr:uid="{68EF8C00-7D71-44D0-AC32-1089B7F7EC11}">
      <formula1>"&lt;Select&gt;,Limited, Satisfactory, Strong, Very Strong"</formula1>
    </dataValidation>
    <dataValidation type="list" allowBlank="1" showInputMessage="1" showErrorMessage="1" sqref="D7" xr:uid="{77354BC8-CA24-4928-BC57-F3A23B6500B7}">
      <formula1>"&lt;Select&gt;, Construction, Construction Takeout, Purchase, Refinance, Top-Up, Assumption, Renewal"</formula1>
    </dataValidation>
    <dataValidation type="list" allowBlank="1" showInputMessage="1" showErrorMessage="1" sqref="O12:O14 O4:O7" xr:uid="{B370EE8B-B927-4B49-A9F1-AAF79970EB12}">
      <formula1>"&lt;Select&gt;,Yes,No"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6" id="{C69E80E9-7D10-4538-8783-5E7A4C0A6F8A}">
            <xm:f>+OR(AND(D24&lt;1.3,Economics!F204="MLI Market",Economics!I68=5),AND(D24&lt;1.2,Economics!F204="MLI Market",Economics!I68=10),AND(D24&lt;1.1,Economics!F204="MLI Select"))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V273"/>
  <sheetViews>
    <sheetView showGridLines="0" tabSelected="1" topLeftCell="A20" zoomScaleNormal="100" workbookViewId="0">
      <selection activeCell="I59" sqref="I59"/>
    </sheetView>
  </sheetViews>
  <sheetFormatPr defaultColWidth="7.7109375" defaultRowHeight="14.25" outlineLevelRow="2" outlineLevelCol="1" x14ac:dyDescent="0.25"/>
  <cols>
    <col min="1" max="1" width="3.140625" style="1" customWidth="1"/>
    <col min="2" max="2" width="11.7109375" style="361" bestFit="1" customWidth="1"/>
    <col min="3" max="3" width="12.7109375" style="1" customWidth="1" outlineLevel="1"/>
    <col min="4" max="4" width="10.42578125" style="1" customWidth="1" outlineLevel="1"/>
    <col min="5" max="7" width="10.7109375" style="1" customWidth="1" outlineLevel="1"/>
    <col min="8" max="8" width="14.140625" style="1" customWidth="1" outlineLevel="1"/>
    <col min="9" max="9" width="14" style="1" customWidth="1" outlineLevel="1"/>
    <col min="10" max="10" width="12.28515625" style="1" customWidth="1" outlineLevel="1"/>
    <col min="11" max="11" width="2.28515625" style="1" customWidth="1"/>
    <col min="12" max="12" width="38" style="722" customWidth="1" outlineLevel="1"/>
    <col min="13" max="13" width="2.28515625" style="1" customWidth="1"/>
    <col min="14" max="14" width="11.7109375" style="1" hidden="1" customWidth="1" outlineLevel="1"/>
    <col min="15" max="15" width="7.28515625" style="1" hidden="1" customWidth="1" outlineLevel="1"/>
    <col min="16" max="18" width="8.7109375" style="1" hidden="1" customWidth="1" outlineLevel="1"/>
    <col min="19" max="20" width="11.7109375" style="1" hidden="1" customWidth="1" outlineLevel="1"/>
    <col min="21" max="21" width="13" style="1" hidden="1" customWidth="1" outlineLevel="1"/>
    <col min="22" max="22" width="2.28515625" style="1" customWidth="1" collapsed="1"/>
    <col min="23" max="23" width="10.42578125" style="1" hidden="1" customWidth="1" outlineLevel="1"/>
    <col min="24" max="25" width="9.7109375" style="1" hidden="1" customWidth="1" outlineLevel="1"/>
    <col min="26" max="26" width="2" style="1" customWidth="1" collapsed="1"/>
    <col min="27" max="27" width="10.140625" style="1" hidden="1" customWidth="1" outlineLevel="1"/>
    <col min="28" max="28" width="9.7109375" style="1" hidden="1" customWidth="1" outlineLevel="1"/>
    <col min="29" max="29" width="2.140625" style="1" customWidth="1" collapsed="1"/>
    <col min="30" max="30" width="10.42578125" style="1" hidden="1" customWidth="1" outlineLevel="1"/>
    <col min="31" max="31" width="9.7109375" style="1" hidden="1" customWidth="1" outlineLevel="1"/>
    <col min="32" max="32" width="11.42578125" style="196" hidden="1" customWidth="1" outlineLevel="1"/>
    <col min="33" max="33" width="2.28515625" style="1" customWidth="1" collapsed="1"/>
    <col min="34" max="34" width="8.28515625" style="196" customWidth="1"/>
    <col min="35" max="35" width="26.42578125" style="1" customWidth="1"/>
    <col min="36" max="36" width="14" style="1" customWidth="1"/>
    <col min="37" max="37" width="13" style="1" customWidth="1"/>
    <col min="38" max="40" width="14" style="1" customWidth="1"/>
    <col min="41" max="41" width="10.85546875" style="1" customWidth="1"/>
    <col min="42" max="42" width="10.7109375" style="1" customWidth="1"/>
    <col min="43" max="43" width="16.140625" style="1" bestFit="1" customWidth="1"/>
    <col min="44" max="44" width="13.7109375" style="1" customWidth="1"/>
    <col min="45" max="45" width="22.7109375" style="1" bestFit="1" customWidth="1"/>
    <col min="46" max="50" width="11" style="1" bestFit="1" customWidth="1"/>
    <col min="51" max="16384" width="7.7109375" style="1"/>
  </cols>
  <sheetData>
    <row r="1" spans="1:42" ht="12.75" customHeight="1" x14ac:dyDescent="0.25"/>
    <row r="2" spans="1:42" ht="21" x14ac:dyDescent="0.25">
      <c r="C2" s="401" t="s">
        <v>54</v>
      </c>
      <c r="D2" s="402"/>
      <c r="E2" s="402"/>
      <c r="F2" s="402"/>
      <c r="G2" s="402"/>
      <c r="H2" s="402"/>
      <c r="I2" s="402"/>
      <c r="J2" s="402"/>
      <c r="L2" s="861" t="s">
        <v>55</v>
      </c>
      <c r="N2" s="401" t="s">
        <v>56</v>
      </c>
      <c r="O2" s="402"/>
      <c r="P2" s="402"/>
      <c r="Q2" s="402"/>
      <c r="R2" s="402"/>
      <c r="S2" s="402"/>
      <c r="T2" s="402"/>
      <c r="U2" s="402"/>
      <c r="W2" s="401" t="s">
        <v>57</v>
      </c>
      <c r="X2" s="402"/>
      <c r="Y2" s="402"/>
      <c r="AA2" s="401" t="s">
        <v>58</v>
      </c>
      <c r="AB2" s="402"/>
      <c r="AD2" s="401" t="s">
        <v>59</v>
      </c>
      <c r="AE2" s="402"/>
      <c r="AF2" s="402"/>
    </row>
    <row r="3" spans="1:42" s="209" customFormat="1" ht="12.75" customHeight="1" x14ac:dyDescent="0.25">
      <c r="B3" s="361"/>
      <c r="G3" s="443"/>
      <c r="H3" s="209" t="s">
        <v>54</v>
      </c>
      <c r="L3" s="866"/>
      <c r="S3" s="209" t="s">
        <v>56</v>
      </c>
      <c r="W3" s="209" t="s">
        <v>57</v>
      </c>
      <c r="Z3" s="98"/>
      <c r="AA3" s="209" t="s">
        <v>58</v>
      </c>
      <c r="AF3" s="208"/>
      <c r="AH3" s="208"/>
    </row>
    <row r="4" spans="1:42" ht="12.75" customHeight="1" x14ac:dyDescent="0.25">
      <c r="A4" s="994"/>
      <c r="C4" s="439"/>
      <c r="D4" s="20"/>
      <c r="E4" s="20" t="s">
        <v>60</v>
      </c>
      <c r="F4" s="20" t="s">
        <v>61</v>
      </c>
      <c r="G4" s="176" t="s">
        <v>62</v>
      </c>
      <c r="H4" s="14" t="s">
        <v>63</v>
      </c>
      <c r="I4" s="14" t="s">
        <v>64</v>
      </c>
      <c r="J4" s="13" t="s">
        <v>65</v>
      </c>
      <c r="K4" s="84"/>
      <c r="L4" s="979"/>
      <c r="M4" s="84"/>
      <c r="N4" s="175"/>
      <c r="O4" s="20"/>
      <c r="P4" s="20" t="s">
        <v>60</v>
      </c>
      <c r="Q4" s="20" t="s">
        <v>61</v>
      </c>
      <c r="R4" s="176" t="s">
        <v>62</v>
      </c>
      <c r="S4" s="14" t="s">
        <v>63</v>
      </c>
      <c r="T4" s="14" t="s">
        <v>64</v>
      </c>
      <c r="U4" s="13" t="s">
        <v>65</v>
      </c>
      <c r="V4" s="84"/>
      <c r="W4" s="177" t="s">
        <v>63</v>
      </c>
      <c r="X4" s="111" t="s">
        <v>66</v>
      </c>
      <c r="Y4" s="178" t="s">
        <v>67</v>
      </c>
      <c r="Z4" s="84"/>
      <c r="AA4" s="177" t="s">
        <v>63</v>
      </c>
      <c r="AB4" s="178" t="s">
        <v>66</v>
      </c>
      <c r="AD4" s="197" t="s">
        <v>63</v>
      </c>
      <c r="AE4" s="198" t="s">
        <v>66</v>
      </c>
      <c r="AF4" s="199" t="s">
        <v>68</v>
      </c>
      <c r="AG4" s="84"/>
      <c r="AI4" s="830" t="s">
        <v>69</v>
      </c>
      <c r="AJ4" s="13" t="s">
        <v>70</v>
      </c>
    </row>
    <row r="5" spans="1:42" ht="12.75" customHeight="1" x14ac:dyDescent="0.25">
      <c r="A5" s="995"/>
      <c r="C5" s="18" t="s">
        <v>71</v>
      </c>
      <c r="D5" s="11"/>
      <c r="E5" s="960">
        <f>+IF($F$200="Construction Financing",'Rent Roll'!G16,'Rent Roll'!G3)</f>
        <v>0</v>
      </c>
      <c r="F5" s="960">
        <f>+IF($F$200="Construction Financing",'Rent Roll'!H16,'Rent Roll'!H3)</f>
        <v>0</v>
      </c>
      <c r="G5" s="960" t="str">
        <f>+IF($F$200="Construction Financing",'Rent Roll'!I16,'Rent Roll'!I3)</f>
        <v>-</v>
      </c>
      <c r="H5" s="489">
        <f>+IF($F$200="Construction Financing",'Rent Roll'!J16,'Rent Roll'!J3)</f>
        <v>0</v>
      </c>
      <c r="I5" s="649" t="str">
        <f>+IF($F$200="Construction Financing",'Rent Roll'!K16,'Rent Roll'!K3)</f>
        <v>-</v>
      </c>
      <c r="J5" s="1517" t="str">
        <f t="shared" ref="J5:J14" si="0">IFERROR(I5/G5,"")</f>
        <v/>
      </c>
      <c r="K5" s="85"/>
      <c r="L5" s="980"/>
      <c r="M5" s="85"/>
      <c r="N5" s="220" t="str">
        <f t="shared" ref="N5:N14" si="1">C5</f>
        <v>Bachelor</v>
      </c>
      <c r="O5" s="234"/>
      <c r="P5" s="495">
        <f t="shared" ref="P5:P14" si="2">+E5</f>
        <v>0</v>
      </c>
      <c r="Q5" s="495">
        <f t="shared" ref="Q5:Q14" si="3">+F5</f>
        <v>0</v>
      </c>
      <c r="R5" s="495" t="str">
        <f t="shared" ref="R5:R14" si="4">+G5</f>
        <v>-</v>
      </c>
      <c r="S5" s="235">
        <f t="shared" ref="S5:S14" si="5">+H5</f>
        <v>0</v>
      </c>
      <c r="T5" s="649" t="str">
        <f t="shared" ref="T5:T14" si="6">+I5</f>
        <v>-</v>
      </c>
      <c r="U5" s="236" t="str">
        <f t="shared" ref="U5:U14" si="7">IFERROR(T5/R5,"")</f>
        <v/>
      </c>
      <c r="V5" s="85"/>
      <c r="W5" s="28">
        <f t="shared" ref="W5:W14" si="8">X5*F5*12</f>
        <v>0</v>
      </c>
      <c r="X5" s="274"/>
      <c r="Y5" s="126"/>
      <c r="Z5" s="99"/>
      <c r="AA5" s="28">
        <f t="shared" ref="AA5:AA14" si="9">AB5*F5*12</f>
        <v>0</v>
      </c>
      <c r="AB5" s="277"/>
      <c r="AD5" s="201" t="e">
        <f t="shared" ref="AD5:AD33" si="10">HLOOKUP($AE$36,$H$3:$AA$33,ROW()-2,FALSE)-HLOOKUP($AE$35,$H$3:$AA$33,ROW()-2,FALSE)</f>
        <v>#N/A</v>
      </c>
      <c r="AE5" s="202" t="str">
        <f t="shared" ref="AE5:AE14" si="11">IFERROR(AD5/F5/12,"")</f>
        <v/>
      </c>
      <c r="AF5" s="237" t="str">
        <f>IFERROR(AD5/HLOOKUP($AE$35,$H$3:$AA$33,3,FALSE),"")</f>
        <v/>
      </c>
      <c r="AG5" s="85"/>
      <c r="AH5" s="961" t="s">
        <v>553</v>
      </c>
      <c r="AI5" s="718"/>
      <c r="AJ5" s="727" t="str">
        <f>IFERROR(IF(ISBLANK(AI5),"-",+I5-AI5),"-")</f>
        <v>-</v>
      </c>
    </row>
    <row r="6" spans="1:42" ht="12.75" customHeight="1" x14ac:dyDescent="0.25">
      <c r="A6" s="995"/>
      <c r="C6" s="18" t="s">
        <v>72</v>
      </c>
      <c r="D6" s="11"/>
      <c r="E6" s="960">
        <f>+IF($F$200="Construction Financing",'Rent Roll'!G17,'Rent Roll'!G4)</f>
        <v>0</v>
      </c>
      <c r="F6" s="960">
        <f>+IF($F$200="Construction Financing",'Rent Roll'!H17,'Rent Roll'!H4)</f>
        <v>0</v>
      </c>
      <c r="G6" s="960" t="str">
        <f>+IF($F$200="Construction Financing",'Rent Roll'!I17,'Rent Roll'!I4)</f>
        <v>-</v>
      </c>
      <c r="H6" s="490">
        <f>+IF($F$200="Construction Financing",'Rent Roll'!J17,'Rent Roll'!J4)</f>
        <v>0</v>
      </c>
      <c r="I6" s="649" t="str">
        <f>+IF($F$200="Construction Financing",'Rent Roll'!K17,'Rent Roll'!K4)</f>
        <v>-</v>
      </c>
      <c r="J6" s="124" t="str">
        <f t="shared" si="0"/>
        <v/>
      </c>
      <c r="K6" s="86"/>
      <c r="L6" s="981"/>
      <c r="M6" s="86"/>
      <c r="N6" s="18" t="str">
        <f t="shared" si="1"/>
        <v>1 Bedroom</v>
      </c>
      <c r="O6" s="11"/>
      <c r="P6" s="496">
        <f t="shared" si="2"/>
        <v>0</v>
      </c>
      <c r="Q6" s="496">
        <f t="shared" si="3"/>
        <v>0</v>
      </c>
      <c r="R6" s="496" t="str">
        <f t="shared" si="4"/>
        <v>-</v>
      </c>
      <c r="S6" s="19">
        <f t="shared" si="5"/>
        <v>0</v>
      </c>
      <c r="T6" s="499" t="str">
        <f t="shared" si="6"/>
        <v>-</v>
      </c>
      <c r="U6" s="124" t="str">
        <f t="shared" si="7"/>
        <v/>
      </c>
      <c r="V6" s="86"/>
      <c r="W6" s="29">
        <f t="shared" si="8"/>
        <v>0</v>
      </c>
      <c r="X6" s="275"/>
      <c r="Y6" s="126"/>
      <c r="Z6" s="96"/>
      <c r="AA6" s="29">
        <f t="shared" si="9"/>
        <v>0</v>
      </c>
      <c r="AB6" s="278"/>
      <c r="AD6" s="29" t="e">
        <f t="shared" si="10"/>
        <v>#N/A</v>
      </c>
      <c r="AE6" s="68" t="str">
        <f t="shared" si="11"/>
        <v/>
      </c>
      <c r="AF6" s="239" t="str">
        <f>IFERROR(AD6/HLOOKUP($AE$35,$H$3:$AA$33,4,FALSE),"")</f>
        <v/>
      </c>
      <c r="AG6" s="86"/>
      <c r="AI6" s="719"/>
      <c r="AJ6" s="503" t="str">
        <f t="shared" ref="AJ6:AJ14" si="12">IFERROR(IF(ISBLANK(AI6),"-",+I6-AI6),"-")</f>
        <v>-</v>
      </c>
    </row>
    <row r="7" spans="1:42" ht="12.75" customHeight="1" x14ac:dyDescent="0.25">
      <c r="A7" s="995"/>
      <c r="C7" s="18" t="s">
        <v>73</v>
      </c>
      <c r="D7" s="11"/>
      <c r="E7" s="960">
        <f>+IF($F$200="Construction Financing",'Rent Roll'!G18,'Rent Roll'!G5)</f>
        <v>0</v>
      </c>
      <c r="F7" s="960">
        <f>+IF($F$200="Construction Financing",'Rent Roll'!H18,'Rent Roll'!H5)</f>
        <v>0</v>
      </c>
      <c r="G7" s="960" t="str">
        <f>+IF($F$200="Construction Financing",'Rent Roll'!I18,'Rent Roll'!I5)</f>
        <v>-</v>
      </c>
      <c r="H7" s="490">
        <f>+IF($F$200="Construction Financing",'Rent Roll'!J18,'Rent Roll'!J5)</f>
        <v>0</v>
      </c>
      <c r="I7" s="649" t="str">
        <f>+IF($F$200="Construction Financing",'Rent Roll'!K18,'Rent Roll'!K5)</f>
        <v>-</v>
      </c>
      <c r="J7" s="124" t="str">
        <f t="shared" si="0"/>
        <v/>
      </c>
      <c r="K7" s="86"/>
      <c r="L7" s="981"/>
      <c r="M7" s="86"/>
      <c r="N7" s="18" t="str">
        <f t="shared" si="1"/>
        <v>2 Bedroom</v>
      </c>
      <c r="O7" s="11"/>
      <c r="P7" s="496">
        <f t="shared" si="2"/>
        <v>0</v>
      </c>
      <c r="Q7" s="496">
        <f t="shared" si="3"/>
        <v>0</v>
      </c>
      <c r="R7" s="496" t="str">
        <f t="shared" si="4"/>
        <v>-</v>
      </c>
      <c r="S7" s="19">
        <f t="shared" si="5"/>
        <v>0</v>
      </c>
      <c r="T7" s="499" t="str">
        <f t="shared" si="6"/>
        <v>-</v>
      </c>
      <c r="U7" s="124" t="str">
        <f t="shared" si="7"/>
        <v/>
      </c>
      <c r="V7" s="86"/>
      <c r="W7" s="29">
        <f t="shared" si="8"/>
        <v>0</v>
      </c>
      <c r="X7" s="275"/>
      <c r="Y7" s="126"/>
      <c r="Z7" s="96"/>
      <c r="AA7" s="29">
        <f t="shared" si="9"/>
        <v>0</v>
      </c>
      <c r="AB7" s="278"/>
      <c r="AD7" s="29" t="e">
        <f t="shared" si="10"/>
        <v>#N/A</v>
      </c>
      <c r="AE7" s="68" t="str">
        <f t="shared" si="11"/>
        <v/>
      </c>
      <c r="AF7" s="239" t="str">
        <f>IFERROR(AD7/HLOOKUP($AE$35,$H$3:$AA$33,5,FALSE),"")</f>
        <v/>
      </c>
      <c r="AG7" s="86"/>
      <c r="AI7" s="719"/>
      <c r="AJ7" s="503" t="str">
        <f t="shared" si="12"/>
        <v>-</v>
      </c>
    </row>
    <row r="8" spans="1:42" ht="12.75" customHeight="1" x14ac:dyDescent="0.25">
      <c r="A8" s="995"/>
      <c r="C8" s="18" t="s">
        <v>74</v>
      </c>
      <c r="D8" s="11"/>
      <c r="E8" s="960">
        <f>+IF($F$200="Construction Financing",'Rent Roll'!G19,'Rent Roll'!G6)</f>
        <v>0</v>
      </c>
      <c r="F8" s="960">
        <f>+IF($F$200="Construction Financing",'Rent Roll'!H19,'Rent Roll'!H6)</f>
        <v>0</v>
      </c>
      <c r="G8" s="960" t="str">
        <f>+IF($F$200="Construction Financing",'Rent Roll'!I19,'Rent Roll'!I6)</f>
        <v>-</v>
      </c>
      <c r="H8" s="490">
        <f>+IF($F$200="Construction Financing",'Rent Roll'!J19,'Rent Roll'!J6)</f>
        <v>0</v>
      </c>
      <c r="I8" s="649" t="str">
        <f>+IF($F$200="Construction Financing",'Rent Roll'!K19,'Rent Roll'!K6)</f>
        <v>-</v>
      </c>
      <c r="J8" s="124" t="str">
        <f t="shared" si="0"/>
        <v/>
      </c>
      <c r="K8" s="86"/>
      <c r="L8" s="981"/>
      <c r="M8" s="86"/>
      <c r="N8" s="18" t="str">
        <f t="shared" si="1"/>
        <v>3 Bedroom</v>
      </c>
      <c r="O8" s="11"/>
      <c r="P8" s="496">
        <f t="shared" si="2"/>
        <v>0</v>
      </c>
      <c r="Q8" s="496">
        <f t="shared" si="3"/>
        <v>0</v>
      </c>
      <c r="R8" s="496" t="str">
        <f t="shared" si="4"/>
        <v>-</v>
      </c>
      <c r="S8" s="19">
        <f t="shared" si="5"/>
        <v>0</v>
      </c>
      <c r="T8" s="499" t="str">
        <f t="shared" si="6"/>
        <v>-</v>
      </c>
      <c r="U8" s="124" t="str">
        <f t="shared" si="7"/>
        <v/>
      </c>
      <c r="V8" s="86"/>
      <c r="W8" s="29">
        <f t="shared" si="8"/>
        <v>0</v>
      </c>
      <c r="X8" s="275"/>
      <c r="Y8" s="126"/>
      <c r="Z8" s="96"/>
      <c r="AA8" s="29">
        <f t="shared" si="9"/>
        <v>0</v>
      </c>
      <c r="AB8" s="278"/>
      <c r="AD8" s="29" t="e">
        <f t="shared" si="10"/>
        <v>#N/A</v>
      </c>
      <c r="AE8" s="68" t="str">
        <f t="shared" si="11"/>
        <v/>
      </c>
      <c r="AF8" s="239" t="str">
        <f>IFERROR(AD8/HLOOKUP($AE$35,$H$3:$AA$33,6,FALSE),"")</f>
        <v/>
      </c>
      <c r="AG8" s="86"/>
      <c r="AH8" s="680"/>
      <c r="AI8" s="719"/>
      <c r="AJ8" s="503" t="str">
        <f t="shared" si="12"/>
        <v>-</v>
      </c>
    </row>
    <row r="9" spans="1:42" ht="12.75" customHeight="1" x14ac:dyDescent="0.25">
      <c r="A9" s="995"/>
      <c r="C9" s="18" t="s">
        <v>75</v>
      </c>
      <c r="D9" s="11"/>
      <c r="E9" s="960">
        <f>+IF($F$200="Construction Financing",'Rent Roll'!G20,'Rent Roll'!G7)</f>
        <v>0</v>
      </c>
      <c r="F9" s="960">
        <f>+IF($F$200="Construction Financing",'Rent Roll'!H20,'Rent Roll'!H7)</f>
        <v>0</v>
      </c>
      <c r="G9" s="960" t="str">
        <f>+IF($F$200="Construction Financing",'Rent Roll'!I20,'Rent Roll'!I7)</f>
        <v>-</v>
      </c>
      <c r="H9" s="490">
        <f>+IF($F$200="Construction Financing",'Rent Roll'!J20,'Rent Roll'!J7)</f>
        <v>0</v>
      </c>
      <c r="I9" s="649" t="str">
        <f>+IF($F$200="Construction Financing",'Rent Roll'!K20,'Rent Roll'!K7)</f>
        <v>-</v>
      </c>
      <c r="J9" s="124" t="str">
        <f t="shared" si="0"/>
        <v/>
      </c>
      <c r="K9" s="86"/>
      <c r="L9" s="981"/>
      <c r="M9" s="86"/>
      <c r="N9" s="18" t="str">
        <f t="shared" si="1"/>
        <v>4+ Bedroom</v>
      </c>
      <c r="O9" s="11"/>
      <c r="P9" s="496">
        <f t="shared" si="2"/>
        <v>0</v>
      </c>
      <c r="Q9" s="496">
        <f t="shared" si="3"/>
        <v>0</v>
      </c>
      <c r="R9" s="496" t="str">
        <f t="shared" si="4"/>
        <v>-</v>
      </c>
      <c r="S9" s="19">
        <f t="shared" si="5"/>
        <v>0</v>
      </c>
      <c r="T9" s="499" t="str">
        <f t="shared" si="6"/>
        <v>-</v>
      </c>
      <c r="U9" s="124" t="str">
        <f t="shared" si="7"/>
        <v/>
      </c>
      <c r="V9" s="86"/>
      <c r="W9" s="29">
        <f t="shared" si="8"/>
        <v>0</v>
      </c>
      <c r="X9" s="275"/>
      <c r="Y9" s="126"/>
      <c r="Z9" s="96"/>
      <c r="AA9" s="29">
        <f t="shared" si="9"/>
        <v>0</v>
      </c>
      <c r="AB9" s="278"/>
      <c r="AD9" s="29" t="e">
        <f t="shared" si="10"/>
        <v>#N/A</v>
      </c>
      <c r="AE9" s="68" t="str">
        <f t="shared" si="11"/>
        <v/>
      </c>
      <c r="AF9" s="239" t="str">
        <f>IFERROR(AD9/HLOOKUP($AE$35,$H$3:$AA$33,7,FALSE),"")</f>
        <v/>
      </c>
      <c r="AG9" s="86"/>
      <c r="AI9" s="719"/>
      <c r="AJ9" s="503" t="str">
        <f t="shared" si="12"/>
        <v>-</v>
      </c>
    </row>
    <row r="10" spans="1:42" ht="12.75" customHeight="1" x14ac:dyDescent="0.25">
      <c r="A10" s="995"/>
      <c r="C10" s="18" t="s">
        <v>76</v>
      </c>
      <c r="D10" s="11"/>
      <c r="E10" s="960">
        <f>+IF($F$200="Construction Financing",'Rent Roll'!G21,'Rent Roll'!G8)</f>
        <v>0</v>
      </c>
      <c r="F10" s="960">
        <f>+IF($F$200="Construction Financing",'Rent Roll'!H21,'Rent Roll'!H8)</f>
        <v>0</v>
      </c>
      <c r="G10" s="960" t="str">
        <f>+IF($F$200="Construction Financing",'Rent Roll'!I21,'Rent Roll'!I8)</f>
        <v>-</v>
      </c>
      <c r="H10" s="490">
        <f>+IF($F$200="Construction Financing",'Rent Roll'!J21,'Rent Roll'!J8)</f>
        <v>0</v>
      </c>
      <c r="I10" s="649" t="str">
        <f>+IF($F$200="Construction Financing",'Rent Roll'!K21,'Rent Roll'!K8)</f>
        <v>-</v>
      </c>
      <c r="J10" s="124" t="str">
        <f t="shared" si="0"/>
        <v/>
      </c>
      <c r="K10" s="86"/>
      <c r="L10" s="981"/>
      <c r="M10" s="86"/>
      <c r="N10" s="18" t="str">
        <f t="shared" si="1"/>
        <v>Bachelor (Affordable)</v>
      </c>
      <c r="O10" s="11"/>
      <c r="P10" s="496">
        <f t="shared" si="2"/>
        <v>0</v>
      </c>
      <c r="Q10" s="496">
        <f t="shared" si="3"/>
        <v>0</v>
      </c>
      <c r="R10" s="496" t="str">
        <f t="shared" si="4"/>
        <v>-</v>
      </c>
      <c r="S10" s="19">
        <f t="shared" si="5"/>
        <v>0</v>
      </c>
      <c r="T10" s="499" t="str">
        <f t="shared" si="6"/>
        <v>-</v>
      </c>
      <c r="U10" s="124" t="str">
        <f t="shared" si="7"/>
        <v/>
      </c>
      <c r="V10" s="86"/>
      <c r="W10" s="29">
        <f t="shared" si="8"/>
        <v>0</v>
      </c>
      <c r="X10" s="275"/>
      <c r="Y10" s="126"/>
      <c r="Z10" s="96"/>
      <c r="AA10" s="29">
        <f t="shared" si="9"/>
        <v>0</v>
      </c>
      <c r="AB10" s="278"/>
      <c r="AD10" s="29" t="e">
        <f t="shared" si="10"/>
        <v>#N/A</v>
      </c>
      <c r="AE10" s="68" t="str">
        <f t="shared" si="11"/>
        <v/>
      </c>
      <c r="AF10" s="239" t="str">
        <f>IFERROR(AD10/HLOOKUP($AE$35,$H$3:$AA$33,8,FALSE),"")</f>
        <v/>
      </c>
      <c r="AG10" s="86"/>
      <c r="AI10" s="719"/>
      <c r="AJ10" s="503" t="str">
        <f t="shared" si="12"/>
        <v>-</v>
      </c>
    </row>
    <row r="11" spans="1:42" ht="12.75" customHeight="1" x14ac:dyDescent="0.25">
      <c r="A11" s="995"/>
      <c r="C11" s="18" t="s">
        <v>77</v>
      </c>
      <c r="D11" s="11"/>
      <c r="E11" s="960">
        <f>+IF($F$200="Construction Financing",'Rent Roll'!G22,'Rent Roll'!G9)</f>
        <v>0</v>
      </c>
      <c r="F11" s="960">
        <f>+IF($F$200="Construction Financing",'Rent Roll'!H22,'Rent Roll'!H9)</f>
        <v>0</v>
      </c>
      <c r="G11" s="960" t="str">
        <f>+IF($F$200="Construction Financing",'Rent Roll'!I22,'Rent Roll'!I9)</f>
        <v>-</v>
      </c>
      <c r="H11" s="490">
        <f>+IF($F$200="Construction Financing",'Rent Roll'!J22,'Rent Roll'!J9)</f>
        <v>0</v>
      </c>
      <c r="I11" s="649" t="str">
        <f>+IF($F$200="Construction Financing",'Rent Roll'!K22,'Rent Roll'!K9)</f>
        <v>-</v>
      </c>
      <c r="J11" s="124" t="str">
        <f t="shared" si="0"/>
        <v/>
      </c>
      <c r="K11" s="86"/>
      <c r="L11" s="981"/>
      <c r="M11" s="86"/>
      <c r="N11" s="18" t="str">
        <f t="shared" si="1"/>
        <v>1 Bedroom (Affordable)</v>
      </c>
      <c r="O11" s="11"/>
      <c r="P11" s="496">
        <f t="shared" si="2"/>
        <v>0</v>
      </c>
      <c r="Q11" s="496">
        <f t="shared" si="3"/>
        <v>0</v>
      </c>
      <c r="R11" s="496" t="str">
        <f t="shared" si="4"/>
        <v>-</v>
      </c>
      <c r="S11" s="19">
        <f t="shared" si="5"/>
        <v>0</v>
      </c>
      <c r="T11" s="499" t="str">
        <f t="shared" si="6"/>
        <v>-</v>
      </c>
      <c r="U11" s="124" t="str">
        <f t="shared" si="7"/>
        <v/>
      </c>
      <c r="V11" s="86"/>
      <c r="W11" s="29">
        <f t="shared" si="8"/>
        <v>0</v>
      </c>
      <c r="X11" s="275"/>
      <c r="Y11" s="126"/>
      <c r="Z11" s="96"/>
      <c r="AA11" s="29">
        <f t="shared" si="9"/>
        <v>0</v>
      </c>
      <c r="AB11" s="278"/>
      <c r="AD11" s="29" t="e">
        <f t="shared" si="10"/>
        <v>#N/A</v>
      </c>
      <c r="AE11" s="68" t="str">
        <f t="shared" si="11"/>
        <v/>
      </c>
      <c r="AF11" s="239" t="str">
        <f>IFERROR(AD11/HLOOKUP($AE$35,$H$3:$AA$33,9,FALSE),"")</f>
        <v/>
      </c>
      <c r="AG11" s="86"/>
      <c r="AI11" s="719"/>
      <c r="AJ11" s="503" t="str">
        <f t="shared" si="12"/>
        <v>-</v>
      </c>
    </row>
    <row r="12" spans="1:42" ht="12.75" customHeight="1" x14ac:dyDescent="0.25">
      <c r="A12" s="995"/>
      <c r="C12" s="18" t="s">
        <v>78</v>
      </c>
      <c r="D12" s="11"/>
      <c r="E12" s="960">
        <f>+IF($F$200="Construction Financing",'Rent Roll'!G23,'Rent Roll'!G10)</f>
        <v>0</v>
      </c>
      <c r="F12" s="960">
        <f>+IF($F$200="Construction Financing",'Rent Roll'!H23,'Rent Roll'!H10)</f>
        <v>0</v>
      </c>
      <c r="G12" s="960" t="str">
        <f>+IF($F$200="Construction Financing",'Rent Roll'!I23,'Rent Roll'!I10)</f>
        <v>-</v>
      </c>
      <c r="H12" s="490">
        <f>+IF($F$200="Construction Financing",'Rent Roll'!J23,'Rent Roll'!J10)</f>
        <v>0</v>
      </c>
      <c r="I12" s="649" t="str">
        <f>+IF($F$200="Construction Financing",'Rent Roll'!K23,'Rent Roll'!K10)</f>
        <v>-</v>
      </c>
      <c r="J12" s="124" t="str">
        <f t="shared" si="0"/>
        <v/>
      </c>
      <c r="K12" s="86"/>
      <c r="L12" s="981"/>
      <c r="M12" s="86"/>
      <c r="N12" s="18" t="str">
        <f t="shared" si="1"/>
        <v>2 Bedroom (Affordable)</v>
      </c>
      <c r="O12" s="11"/>
      <c r="P12" s="496">
        <f t="shared" si="2"/>
        <v>0</v>
      </c>
      <c r="Q12" s="496">
        <f t="shared" si="3"/>
        <v>0</v>
      </c>
      <c r="R12" s="496" t="str">
        <f t="shared" si="4"/>
        <v>-</v>
      </c>
      <c r="S12" s="19">
        <f t="shared" si="5"/>
        <v>0</v>
      </c>
      <c r="T12" s="499" t="str">
        <f t="shared" si="6"/>
        <v>-</v>
      </c>
      <c r="U12" s="124" t="str">
        <f t="shared" si="7"/>
        <v/>
      </c>
      <c r="V12" s="86"/>
      <c r="W12" s="29">
        <f t="shared" si="8"/>
        <v>0</v>
      </c>
      <c r="X12" s="275"/>
      <c r="Y12" s="126"/>
      <c r="Z12" s="96"/>
      <c r="AA12" s="29">
        <f t="shared" si="9"/>
        <v>0</v>
      </c>
      <c r="AB12" s="278"/>
      <c r="AD12" s="29" t="e">
        <f t="shared" si="10"/>
        <v>#N/A</v>
      </c>
      <c r="AE12" s="68" t="str">
        <f t="shared" si="11"/>
        <v/>
      </c>
      <c r="AF12" s="239" t="str">
        <f>IFERROR(AD12/HLOOKUP($AE$35,$H$3:$AA$33,10,FALSE),"")</f>
        <v/>
      </c>
      <c r="AG12" s="86"/>
      <c r="AI12" s="719"/>
      <c r="AJ12" s="503" t="str">
        <f t="shared" si="12"/>
        <v>-</v>
      </c>
    </row>
    <row r="13" spans="1:42" ht="12.75" customHeight="1" x14ac:dyDescent="0.25">
      <c r="A13" s="995"/>
      <c r="C13" s="18" t="s">
        <v>79</v>
      </c>
      <c r="D13" s="11"/>
      <c r="E13" s="960">
        <f>+IF($F$200="Construction Financing",'Rent Roll'!G24,'Rent Roll'!G11)</f>
        <v>0</v>
      </c>
      <c r="F13" s="960">
        <f>+IF($F$200="Construction Financing",'Rent Roll'!H24,'Rent Roll'!H11)</f>
        <v>0</v>
      </c>
      <c r="G13" s="960" t="str">
        <f>+IF($F$200="Construction Financing",'Rent Roll'!I24,'Rent Roll'!I11)</f>
        <v>-</v>
      </c>
      <c r="H13" s="490">
        <f>+IF($F$200="Construction Financing",'Rent Roll'!J24,'Rent Roll'!J11)</f>
        <v>0</v>
      </c>
      <c r="I13" s="649" t="str">
        <f>+IF($F$200="Construction Financing",'Rent Roll'!K24,'Rent Roll'!K11)</f>
        <v>-</v>
      </c>
      <c r="J13" s="124" t="str">
        <f t="shared" si="0"/>
        <v/>
      </c>
      <c r="K13" s="86"/>
      <c r="L13" s="981"/>
      <c r="M13" s="86"/>
      <c r="N13" s="18" t="str">
        <f t="shared" si="1"/>
        <v>3 Bedroom (Affordable)</v>
      </c>
      <c r="O13" s="11"/>
      <c r="P13" s="496">
        <f t="shared" si="2"/>
        <v>0</v>
      </c>
      <c r="Q13" s="496">
        <f t="shared" si="3"/>
        <v>0</v>
      </c>
      <c r="R13" s="496" t="str">
        <f t="shared" si="4"/>
        <v>-</v>
      </c>
      <c r="S13" s="19">
        <f t="shared" si="5"/>
        <v>0</v>
      </c>
      <c r="T13" s="499" t="str">
        <f t="shared" si="6"/>
        <v>-</v>
      </c>
      <c r="U13" s="124" t="str">
        <f t="shared" si="7"/>
        <v/>
      </c>
      <c r="V13" s="86"/>
      <c r="W13" s="29">
        <f t="shared" si="8"/>
        <v>0</v>
      </c>
      <c r="X13" s="275"/>
      <c r="Y13" s="126"/>
      <c r="Z13" s="96"/>
      <c r="AA13" s="29">
        <f t="shared" si="9"/>
        <v>0</v>
      </c>
      <c r="AB13" s="278"/>
      <c r="AD13" s="29" t="e">
        <f t="shared" si="10"/>
        <v>#N/A</v>
      </c>
      <c r="AE13" s="68" t="str">
        <f t="shared" si="11"/>
        <v/>
      </c>
      <c r="AF13" s="239" t="str">
        <f>IFERROR(AD13/HLOOKUP($AE$35,$H$3:$AA$33,11,FALSE),"")</f>
        <v/>
      </c>
      <c r="AG13" s="86"/>
      <c r="AI13" s="719"/>
      <c r="AJ13" s="503" t="str">
        <f t="shared" si="12"/>
        <v>-</v>
      </c>
    </row>
    <row r="14" spans="1:42" ht="12.75" customHeight="1" x14ac:dyDescent="0.25">
      <c r="A14" s="995"/>
      <c r="C14" s="106" t="s">
        <v>80</v>
      </c>
      <c r="D14" s="103"/>
      <c r="E14" s="1518">
        <f>+IF($F$200="Construction Financing",'Rent Roll'!G25,'Rent Roll'!G12)</f>
        <v>0</v>
      </c>
      <c r="F14" s="1518">
        <f>+IF($F$200="Construction Financing",'Rent Roll'!H25,'Rent Roll'!H12)</f>
        <v>0</v>
      </c>
      <c r="G14" s="1518" t="str">
        <f>+IF($F$200="Construction Financing",'Rent Roll'!I25,'Rent Roll'!I12)</f>
        <v>-</v>
      </c>
      <c r="H14" s="1519">
        <f>+IF($F$200="Construction Financing",'Rent Roll'!J25,'Rent Roll'!J12)</f>
        <v>0</v>
      </c>
      <c r="I14" s="1520" t="str">
        <f>+IF($F$200="Construction Financing",'Rent Roll'!K25,'Rent Roll'!K12)</f>
        <v>-</v>
      </c>
      <c r="J14" s="125" t="str">
        <f t="shared" si="0"/>
        <v/>
      </c>
      <c r="K14" s="86"/>
      <c r="L14" s="981"/>
      <c r="M14" s="86"/>
      <c r="N14" s="106" t="str">
        <f t="shared" si="1"/>
        <v>4+ Bedroom (Affordable)</v>
      </c>
      <c r="O14" s="103"/>
      <c r="P14" s="497">
        <f t="shared" si="2"/>
        <v>0</v>
      </c>
      <c r="Q14" s="497">
        <f t="shared" si="3"/>
        <v>0</v>
      </c>
      <c r="R14" s="497" t="str">
        <f t="shared" si="4"/>
        <v>-</v>
      </c>
      <c r="S14" s="22">
        <f t="shared" si="5"/>
        <v>0</v>
      </c>
      <c r="T14" s="500" t="str">
        <f t="shared" si="6"/>
        <v>-</v>
      </c>
      <c r="U14" s="125" t="str">
        <f t="shared" si="7"/>
        <v/>
      </c>
      <c r="V14" s="86"/>
      <c r="W14" s="29">
        <f t="shared" si="8"/>
        <v>0</v>
      </c>
      <c r="X14" s="276"/>
      <c r="Y14" s="126"/>
      <c r="Z14" s="96"/>
      <c r="AA14" s="29">
        <f t="shared" si="9"/>
        <v>0</v>
      </c>
      <c r="AB14" s="279"/>
      <c r="AD14" s="203" t="e">
        <f t="shared" si="10"/>
        <v>#N/A</v>
      </c>
      <c r="AE14" s="3" t="str">
        <f t="shared" si="11"/>
        <v/>
      </c>
      <c r="AF14" s="238" t="str">
        <f>IFERROR(AD14/HLOOKUP($AE$35,$H$3:$AA$33,12,FALSE),"")</f>
        <v/>
      </c>
      <c r="AG14" s="86"/>
      <c r="AI14" s="720"/>
      <c r="AJ14" s="504" t="str">
        <f t="shared" si="12"/>
        <v>-</v>
      </c>
    </row>
    <row r="15" spans="1:42" ht="12.75" customHeight="1" x14ac:dyDescent="0.25">
      <c r="A15" s="995"/>
      <c r="C15" s="243" t="s">
        <v>81</v>
      </c>
      <c r="D15" s="244"/>
      <c r="E15" s="245">
        <f>+SUM(E5:E14)</f>
        <v>0</v>
      </c>
      <c r="F15" s="245">
        <f>+SUM(F5:F14)</f>
        <v>0</v>
      </c>
      <c r="G15" s="245" t="e">
        <f>IF(SUMPRODUCT(F5:F14,G5:G14)/F15=0,"-",SUMPRODUCT(F5:F14,G5:G14)/F15)</f>
        <v>#DIV/0!</v>
      </c>
      <c r="H15" s="246">
        <f>+SUM(H5:H14)</f>
        <v>0</v>
      </c>
      <c r="I15" s="247" t="e">
        <f>H15/F15/12</f>
        <v>#DIV/0!</v>
      </c>
      <c r="J15" s="511" t="str">
        <f>IFERROR(I15/G15,"N/A")</f>
        <v>N/A</v>
      </c>
      <c r="K15" s="87"/>
      <c r="L15" s="982"/>
      <c r="M15" s="87"/>
      <c r="N15" s="243" t="s">
        <v>81</v>
      </c>
      <c r="O15" s="244"/>
      <c r="P15" s="245">
        <f>+SUM(P5:P14)</f>
        <v>0</v>
      </c>
      <c r="Q15" s="245">
        <f>+SUM(Q5:Q14)</f>
        <v>0</v>
      </c>
      <c r="R15" s="245" t="e">
        <f>IF(SUMPRODUCT(Q5:Q14,R5:R14)/Q15=0,"-",SUMPRODUCT(Q5:Q14,R5:R14)/Q15)</f>
        <v>#DIV/0!</v>
      </c>
      <c r="S15" s="246">
        <f>+SUM(S5:S14)</f>
        <v>0</v>
      </c>
      <c r="T15" s="246" t="e">
        <f>S15/Q15/12</f>
        <v>#DIV/0!</v>
      </c>
      <c r="U15" s="511" t="str">
        <f>IFERROR(I15/G15,"N/A")</f>
        <v>N/A</v>
      </c>
      <c r="V15" s="87"/>
      <c r="W15" s="117">
        <f>SUBTOTAL(9,W4:W14)</f>
        <v>0</v>
      </c>
      <c r="X15" s="118" t="e">
        <f>W15/F15/12</f>
        <v>#DIV/0!</v>
      </c>
      <c r="Y15" s="156"/>
      <c r="Z15" s="94"/>
      <c r="AA15" s="101">
        <f>SUBTOTAL(9,AA5:AA14)</f>
        <v>0</v>
      </c>
      <c r="AB15" s="73" t="e">
        <f>AA15/$F$15/12</f>
        <v>#DIV/0!</v>
      </c>
      <c r="AD15" s="249" t="e">
        <f t="shared" si="10"/>
        <v>#N/A</v>
      </c>
      <c r="AE15" s="250" t="e">
        <f t="shared" ref="AE15:AE33" si="13">AD15/$F$15</f>
        <v>#N/A</v>
      </c>
      <c r="AF15" s="237" t="str">
        <f>IFERROR(AD15/HLOOKUP($AE$35,$H$3:$AA$33,13,FALSE),"")</f>
        <v/>
      </c>
      <c r="AG15" s="87"/>
      <c r="AI15" s="721"/>
      <c r="AJ15" s="219"/>
    </row>
    <row r="16" spans="1:42" ht="12.75" customHeight="1" x14ac:dyDescent="0.25">
      <c r="A16" s="995"/>
      <c r="C16" s="18" t="s">
        <v>82</v>
      </c>
      <c r="E16" s="259">
        <v>1</v>
      </c>
      <c r="F16" s="260">
        <v>0</v>
      </c>
      <c r="G16" s="258">
        <v>0</v>
      </c>
      <c r="H16" s="68">
        <f>F16*E16*(G16*12)</f>
        <v>0</v>
      </c>
      <c r="I16" s="31"/>
      <c r="J16" s="75"/>
      <c r="K16" s="33"/>
      <c r="L16" s="983"/>
      <c r="M16" s="33"/>
      <c r="N16" s="18" t="s">
        <v>82</v>
      </c>
      <c r="O16" s="443"/>
      <c r="P16" s="772">
        <f t="shared" ref="P16:R18" si="14">+E16</f>
        <v>1</v>
      </c>
      <c r="Q16" s="773">
        <f t="shared" si="14"/>
        <v>0</v>
      </c>
      <c r="R16" s="774">
        <f t="shared" si="14"/>
        <v>0</v>
      </c>
      <c r="S16" s="68">
        <f>Q16*P16*(R16*12)</f>
        <v>0</v>
      </c>
      <c r="T16" s="31"/>
      <c r="U16" s="75"/>
      <c r="V16" s="33"/>
      <c r="W16" s="35"/>
      <c r="X16" s="34"/>
      <c r="Y16" s="126"/>
      <c r="Z16" s="33"/>
      <c r="AA16" s="283"/>
      <c r="AB16" s="75"/>
      <c r="AD16" s="191" t="e">
        <f t="shared" si="10"/>
        <v>#N/A</v>
      </c>
      <c r="AE16" s="97" t="e">
        <f t="shared" si="13"/>
        <v>#N/A</v>
      </c>
      <c r="AF16" s="239" t="str">
        <f>IFERROR(AD16/HLOOKUP($AE$35,$H$3:$AA$33,15,FALSE),"")</f>
        <v/>
      </c>
      <c r="AG16" s="33"/>
      <c r="AI16" s="722"/>
      <c r="AJ16" s="356"/>
      <c r="AK16" s="356"/>
      <c r="AL16" s="356"/>
      <c r="AM16" s="356"/>
      <c r="AN16" s="356"/>
      <c r="AO16" s="356"/>
      <c r="AP16" s="356"/>
    </row>
    <row r="17" spans="1:43" ht="12.75" customHeight="1" x14ac:dyDescent="0.25">
      <c r="A17" s="995"/>
      <c r="C17" s="18" t="s">
        <v>83</v>
      </c>
      <c r="E17" s="259">
        <v>1</v>
      </c>
      <c r="F17" s="260">
        <v>0</v>
      </c>
      <c r="G17" s="258">
        <v>0</v>
      </c>
      <c r="H17" s="68">
        <f>F17*E17*(G17*12)</f>
        <v>0</v>
      </c>
      <c r="I17" s="31"/>
      <c r="J17" s="75"/>
      <c r="K17" s="33"/>
      <c r="L17" s="983"/>
      <c r="M17" s="33"/>
      <c r="N17" s="18" t="s">
        <v>83</v>
      </c>
      <c r="O17" s="443"/>
      <c r="P17" s="772">
        <f t="shared" si="14"/>
        <v>1</v>
      </c>
      <c r="Q17" s="773">
        <f t="shared" si="14"/>
        <v>0</v>
      </c>
      <c r="R17" s="774">
        <f t="shared" si="14"/>
        <v>0</v>
      </c>
      <c r="S17" s="68">
        <f>Q17*P17*(R17*12)</f>
        <v>0</v>
      </c>
      <c r="T17" s="31"/>
      <c r="U17" s="75"/>
      <c r="V17" s="33"/>
      <c r="W17" s="35"/>
      <c r="X17" s="34"/>
      <c r="Y17" s="126"/>
      <c r="Z17" s="33"/>
      <c r="AA17" s="283"/>
      <c r="AB17" s="75"/>
      <c r="AD17" s="191" t="e">
        <f t="shared" si="10"/>
        <v>#N/A</v>
      </c>
      <c r="AE17" s="97" t="e">
        <f t="shared" si="13"/>
        <v>#N/A</v>
      </c>
      <c r="AF17" s="239" t="str">
        <f>IFERROR(AD17/HLOOKUP($AE$35,$H$3:$AA$33,16,FALSE),"")</f>
        <v/>
      </c>
      <c r="AI17" s="733"/>
      <c r="AJ17" s="176" t="s">
        <v>84</v>
      </c>
      <c r="AK17" s="312">
        <v>2023</v>
      </c>
      <c r="AL17" s="312">
        <f>AK17-1</f>
        <v>2022</v>
      </c>
      <c r="AM17" s="312">
        <f t="shared" ref="AM17:AO17" si="15">AL17-1</f>
        <v>2021</v>
      </c>
      <c r="AN17" s="312">
        <f t="shared" si="15"/>
        <v>2020</v>
      </c>
      <c r="AO17" s="312">
        <f t="shared" si="15"/>
        <v>2019</v>
      </c>
      <c r="AP17" s="312" t="s">
        <v>85</v>
      </c>
      <c r="AQ17" s="13" t="s">
        <v>86</v>
      </c>
    </row>
    <row r="18" spans="1:43" ht="12.75" customHeight="1" x14ac:dyDescent="0.25">
      <c r="A18" s="995"/>
      <c r="C18" s="18" t="s">
        <v>87</v>
      </c>
      <c r="E18" s="259">
        <v>1</v>
      </c>
      <c r="F18" s="260">
        <v>0</v>
      </c>
      <c r="G18" s="258">
        <v>0</v>
      </c>
      <c r="H18" s="68">
        <f>F18*E18*(G18*12)</f>
        <v>0</v>
      </c>
      <c r="I18" s="31"/>
      <c r="J18" s="75"/>
      <c r="K18" s="33"/>
      <c r="L18" s="983"/>
      <c r="M18" s="33"/>
      <c r="N18" s="18" t="s">
        <v>87</v>
      </c>
      <c r="O18" s="443"/>
      <c r="P18" s="772">
        <f t="shared" si="14"/>
        <v>1</v>
      </c>
      <c r="Q18" s="773">
        <f t="shared" si="14"/>
        <v>0</v>
      </c>
      <c r="R18" s="774">
        <f t="shared" si="14"/>
        <v>0</v>
      </c>
      <c r="S18" s="68">
        <f>Q18*P18*(R18*12)</f>
        <v>0</v>
      </c>
      <c r="T18" s="31"/>
      <c r="U18" s="75"/>
      <c r="V18" s="33"/>
      <c r="W18" s="35"/>
      <c r="X18" s="34"/>
      <c r="Y18" s="126"/>
      <c r="Z18" s="33"/>
      <c r="AA18" s="283"/>
      <c r="AB18" s="75"/>
      <c r="AD18" s="191" t="e">
        <f t="shared" si="10"/>
        <v>#N/A</v>
      </c>
      <c r="AE18" s="97" t="e">
        <f t="shared" si="13"/>
        <v>#N/A</v>
      </c>
      <c r="AF18" s="239" t="str">
        <f>IFERROR(AD18/HLOOKUP($AE$35,$H$3:$AA$33,16,FALSE),"")</f>
        <v/>
      </c>
      <c r="AI18" s="734" t="s">
        <v>88</v>
      </c>
      <c r="AJ18" s="731"/>
      <c r="AK18" s="728"/>
      <c r="AL18" s="729"/>
      <c r="AM18" s="729"/>
      <c r="AN18" s="1011"/>
      <c r="AO18" s="1013"/>
      <c r="AP18" s="730" t="str">
        <f>IFERROR(AVERAGE($AK$18:$AO$18),"-")</f>
        <v>-</v>
      </c>
      <c r="AQ18" s="827" t="str">
        <f>IF(F15=0,"-",1-E15/F15)</f>
        <v>-</v>
      </c>
    </row>
    <row r="19" spans="1:43" ht="12.75" customHeight="1" x14ac:dyDescent="0.25">
      <c r="A19" s="995"/>
      <c r="C19" s="18" t="s">
        <v>89</v>
      </c>
      <c r="D19" s="130"/>
      <c r="E19" s="131"/>
      <c r="F19" s="354"/>
      <c r="G19" s="366"/>
      <c r="H19" s="353">
        <v>0</v>
      </c>
      <c r="I19" s="31" t="e">
        <f t="shared" ref="I19:I20" si="16">H19/$F$15</f>
        <v>#DIV/0!</v>
      </c>
      <c r="J19" s="75"/>
      <c r="K19" s="33"/>
      <c r="L19" s="983"/>
      <c r="M19" s="33"/>
      <c r="N19" s="18" t="s">
        <v>89</v>
      </c>
      <c r="O19" s="130"/>
      <c r="P19" s="131"/>
      <c r="Q19" s="354"/>
      <c r="R19" s="443"/>
      <c r="S19" s="949">
        <f>+H19</f>
        <v>0</v>
      </c>
      <c r="T19" s="31" t="e">
        <f t="shared" ref="T19:T20" si="17">S19/$F$15</f>
        <v>#DIV/0!</v>
      </c>
      <c r="U19" s="75"/>
      <c r="V19" s="33"/>
      <c r="W19" s="35"/>
      <c r="X19" s="34"/>
      <c r="Y19" s="126"/>
      <c r="Z19" s="33"/>
      <c r="AA19" s="283"/>
      <c r="AB19" s="75"/>
      <c r="AD19" s="191" t="e">
        <f t="shared" si="10"/>
        <v>#N/A</v>
      </c>
      <c r="AE19" s="97" t="e">
        <f t="shared" si="13"/>
        <v>#N/A</v>
      </c>
      <c r="AF19" s="239" t="str">
        <f>IFERROR(AD19/HLOOKUP($AE$35,$H$3:$AA$33,16,FALSE),"")</f>
        <v/>
      </c>
      <c r="AG19" s="33"/>
      <c r="AI19" s="736" t="s">
        <v>90</v>
      </c>
      <c r="AJ19" s="732"/>
      <c r="AK19" s="695"/>
      <c r="AL19" s="695"/>
      <c r="AM19" s="695"/>
      <c r="AN19" s="1012"/>
      <c r="AO19" s="696"/>
      <c r="AP19" s="514" t="str">
        <f>IFERROR(AVERAGE($AK$19:$AO$19),"-")</f>
        <v>-</v>
      </c>
    </row>
    <row r="20" spans="1:43" ht="12.75" customHeight="1" x14ac:dyDescent="0.25">
      <c r="A20" s="995"/>
      <c r="C20" s="18" t="s">
        <v>91</v>
      </c>
      <c r="D20" s="130"/>
      <c r="E20" s="131"/>
      <c r="F20" s="132"/>
      <c r="G20" s="366"/>
      <c r="H20" s="352">
        <v>0</v>
      </c>
      <c r="I20" s="31" t="e">
        <f t="shared" si="16"/>
        <v>#DIV/0!</v>
      </c>
      <c r="J20" s="75"/>
      <c r="K20" s="33"/>
      <c r="L20" s="983"/>
      <c r="M20" s="33"/>
      <c r="N20" s="18" t="s">
        <v>91</v>
      </c>
      <c r="O20" s="130"/>
      <c r="P20" s="131"/>
      <c r="Q20" s="132"/>
      <c r="R20" s="443"/>
      <c r="S20" s="949">
        <f>+H20</f>
        <v>0</v>
      </c>
      <c r="T20" s="30" t="e">
        <f t="shared" si="17"/>
        <v>#DIV/0!</v>
      </c>
      <c r="U20" s="75"/>
      <c r="V20" s="33"/>
      <c r="W20" s="35"/>
      <c r="X20" s="34"/>
      <c r="Y20" s="126"/>
      <c r="Z20" s="33"/>
      <c r="AA20" s="283"/>
      <c r="AB20" s="75"/>
      <c r="AD20" s="191" t="e">
        <f t="shared" si="10"/>
        <v>#N/A</v>
      </c>
      <c r="AE20" s="97" t="e">
        <f t="shared" si="13"/>
        <v>#N/A</v>
      </c>
      <c r="AF20" s="239" t="str">
        <f>IFERROR(AD20/HLOOKUP($AE$35,$H$3:$AA$33,16,FALSE),"")</f>
        <v/>
      </c>
      <c r="AG20" s="33"/>
      <c r="AI20" s="722"/>
      <c r="AJ20" s="683"/>
      <c r="AK20" s="684"/>
      <c r="AL20" s="684"/>
      <c r="AM20" s="684"/>
      <c r="AN20" s="684"/>
    </row>
    <row r="21" spans="1:43" ht="12.75" customHeight="1" x14ac:dyDescent="0.25">
      <c r="A21" s="995"/>
      <c r="C21" s="16" t="s">
        <v>92</v>
      </c>
      <c r="D21" s="81"/>
      <c r="E21" s="81"/>
      <c r="F21" s="133"/>
      <c r="G21" s="1513"/>
      <c r="H21" s="5">
        <f>+SUM(H15:H20)</f>
        <v>0</v>
      </c>
      <c r="I21" s="5" t="e">
        <f>H21/F15/12</f>
        <v>#DIV/0!</v>
      </c>
      <c r="J21" s="120"/>
      <c r="K21" s="87"/>
      <c r="L21" s="982"/>
      <c r="M21" s="87"/>
      <c r="N21" s="16" t="s">
        <v>92</v>
      </c>
      <c r="O21" s="81"/>
      <c r="P21" s="81"/>
      <c r="Q21" s="133"/>
      <c r="R21" s="133"/>
      <c r="S21" s="5">
        <f>+SUM(S15:S20)</f>
        <v>0</v>
      </c>
      <c r="T21" s="5" t="e">
        <f>S21/$Q$15/12</f>
        <v>#DIV/0!</v>
      </c>
      <c r="U21" s="120"/>
      <c r="V21" s="87"/>
      <c r="W21" s="35"/>
      <c r="X21" s="34"/>
      <c r="Y21" s="126"/>
      <c r="Z21" s="94"/>
      <c r="AA21" s="101">
        <f>SUBTOTAL(9,AA4:AA18)</f>
        <v>0</v>
      </c>
      <c r="AB21" s="73" t="e">
        <f>AA21/$F$15/12</f>
        <v>#DIV/0!</v>
      </c>
      <c r="AD21" s="190" t="e">
        <f t="shared" si="10"/>
        <v>#N/A</v>
      </c>
      <c r="AE21" s="194" t="e">
        <f t="shared" si="13"/>
        <v>#N/A</v>
      </c>
      <c r="AF21" s="240" t="str">
        <f>IFERROR(AD21/HLOOKUP($AE$35,$H$3:$AA$33,16,FALSE),"")</f>
        <v/>
      </c>
      <c r="AG21" s="87"/>
      <c r="AI21" s="1014">
        <f>+G22</f>
        <v>0</v>
      </c>
    </row>
    <row r="22" spans="1:43" ht="12.75" customHeight="1" x14ac:dyDescent="0.25">
      <c r="A22" s="995"/>
      <c r="C22" s="18" t="s">
        <v>93</v>
      </c>
      <c r="D22" s="11"/>
      <c r="E22" s="11"/>
      <c r="F22" s="1514"/>
      <c r="G22" s="1515"/>
      <c r="H22" s="134">
        <f>-H21*G22</f>
        <v>0</v>
      </c>
      <c r="I22" s="135"/>
      <c r="J22" s="74"/>
      <c r="K22" s="88"/>
      <c r="L22" s="984"/>
      <c r="M22" s="88"/>
      <c r="N22" s="18" t="s">
        <v>93</v>
      </c>
      <c r="O22" s="11"/>
      <c r="P22" s="11"/>
      <c r="Q22" s="443"/>
      <c r="R22" s="770">
        <f>+G22</f>
        <v>0</v>
      </c>
      <c r="S22" s="134">
        <f>-S21*R22</f>
        <v>0</v>
      </c>
      <c r="T22" s="135"/>
      <c r="U22" s="74"/>
      <c r="V22" s="88"/>
      <c r="W22" s="35"/>
      <c r="X22" s="34"/>
      <c r="Y22" s="126"/>
      <c r="Z22" s="88"/>
      <c r="AA22" s="172"/>
      <c r="AB22" s="74"/>
      <c r="AD22" s="192" t="e">
        <f t="shared" si="10"/>
        <v>#N/A</v>
      </c>
      <c r="AE22" s="195" t="e">
        <f>AD22/$F$15</f>
        <v>#N/A</v>
      </c>
      <c r="AF22" s="238" t="str">
        <f>IFERROR(AD22/HLOOKUP($AE$35,$H$3:$AA$33,19,FALSE),"")</f>
        <v/>
      </c>
      <c r="AG22" s="88"/>
      <c r="AI22" s="722"/>
    </row>
    <row r="23" spans="1:43" ht="12.75" customHeight="1" x14ac:dyDescent="0.25">
      <c r="A23" s="995"/>
      <c r="C23" s="16" t="s">
        <v>94</v>
      </c>
      <c r="D23" s="81"/>
      <c r="E23" s="81"/>
      <c r="F23" s="1516"/>
      <c r="H23" s="157">
        <f>+SUM(H21:H22)</f>
        <v>0</v>
      </c>
      <c r="I23" s="157" t="e">
        <f>H23/F15/12</f>
        <v>#DIV/0!</v>
      </c>
      <c r="J23" s="136"/>
      <c r="K23" s="89"/>
      <c r="L23" s="985"/>
      <c r="M23" s="89"/>
      <c r="N23" s="16" t="s">
        <v>94</v>
      </c>
      <c r="O23" s="81"/>
      <c r="P23" s="81"/>
      <c r="Q23" s="443"/>
      <c r="R23" s="768"/>
      <c r="S23" s="27">
        <f>+SUM(S21:S22)</f>
        <v>0</v>
      </c>
      <c r="T23" s="27" t="e">
        <f>S23/$Q$15/12</f>
        <v>#DIV/0!</v>
      </c>
      <c r="U23" s="136"/>
      <c r="V23" s="89"/>
      <c r="W23" s="35"/>
      <c r="X23" s="34"/>
      <c r="Y23" s="126"/>
      <c r="Z23" s="94"/>
      <c r="AA23" s="77">
        <f>SUBTOTAL(9,AA4:AA22)</f>
        <v>0</v>
      </c>
      <c r="AB23" s="119" t="e">
        <f>AA23/$F$15/12</f>
        <v>#DIV/0!</v>
      </c>
      <c r="AD23" s="200" t="e">
        <f t="shared" si="10"/>
        <v>#N/A</v>
      </c>
      <c r="AE23" s="93" t="e">
        <f t="shared" si="13"/>
        <v>#N/A</v>
      </c>
      <c r="AF23" s="241" t="str">
        <f>IFERROR(AD23/HLOOKUP($AE$35,$H$3:$AA$33,20,FALSE),"")</f>
        <v/>
      </c>
      <c r="AG23" s="89"/>
      <c r="AI23" s="725" t="s">
        <v>95</v>
      </c>
      <c r="AJ23" s="1416" t="s">
        <v>770</v>
      </c>
      <c r="AK23" s="1416" t="s">
        <v>768</v>
      </c>
      <c r="AL23" s="1416" t="s">
        <v>772</v>
      </c>
      <c r="AM23" s="1416" t="s">
        <v>769</v>
      </c>
      <c r="AN23" s="1417" t="s">
        <v>771</v>
      </c>
      <c r="AO23" s="1418"/>
      <c r="AP23" s="1418"/>
      <c r="AQ23" s="1418"/>
    </row>
    <row r="24" spans="1:43" ht="12.75" customHeight="1" x14ac:dyDescent="0.25">
      <c r="A24" s="995"/>
      <c r="C24" s="18" t="str">
        <f>+BenchmarkBackEnd!D4</f>
        <v>(-) Property Taxes</v>
      </c>
      <c r="D24" s="11"/>
      <c r="E24" s="11"/>
      <c r="F24" s="920"/>
      <c r="G24" s="366"/>
      <c r="H24" s="489">
        <f>IF(G24="",MAX(AJ24:AM24),_xlfn.XLOOKUP(G24,$AJ$23:$AM$23,$AJ24:$AM24))*(1+$AJ$30)</f>
        <v>0</v>
      </c>
      <c r="I24" s="31" t="e">
        <f>H24/$F$15</f>
        <v>#DIV/0!</v>
      </c>
      <c r="J24" s="121"/>
      <c r="K24" s="90"/>
      <c r="L24" s="986"/>
      <c r="M24" s="90"/>
      <c r="N24" s="18" t="str">
        <f>+BenchmarkBackEnd!D4</f>
        <v>(-) Property Taxes</v>
      </c>
      <c r="O24" s="11"/>
      <c r="P24" s="11"/>
      <c r="Q24" s="443"/>
      <c r="R24" s="770"/>
      <c r="S24" s="767">
        <f>+H24</f>
        <v>0</v>
      </c>
      <c r="T24" s="32" t="e">
        <f>S24/$Q$15</f>
        <v>#DIV/0!</v>
      </c>
      <c r="U24" s="121"/>
      <c r="V24" s="90"/>
      <c r="W24" s="116">
        <f>X24*$F$15</f>
        <v>0</v>
      </c>
      <c r="X24" s="95">
        <f>SUMIFS(BenchmarkBackEnd!$E:$E,BenchmarkBackEnd!$A:$A,Economics!$F$201,BenchmarkBackEnd!$B:$B,Economics!$F$206,BenchmarkBackEnd!$C:$C,Economics!$F$210,BenchmarkBackEnd!$D:$D,Economics!$C24)</f>
        <v>0</v>
      </c>
      <c r="Y24" s="161">
        <f>SUMIFS(BenchmarkBackEnd!$F:$F,BenchmarkBackEnd!$A:$A,Economics!$F$201,BenchmarkBackEnd!$B:$B,Economics!$F$206,BenchmarkBackEnd!$C:$C,Economics!$F$210,BenchmarkBackEnd!$D:$D,Economics!$C24)</f>
        <v>0</v>
      </c>
      <c r="Z24" s="95"/>
      <c r="AA24" s="280"/>
      <c r="AB24" s="72" t="e">
        <f t="shared" ref="AB24:AB33" si="18">AA24/$F$15</f>
        <v>#DIV/0!</v>
      </c>
      <c r="AD24" s="204" t="e">
        <f t="shared" si="10"/>
        <v>#N/A</v>
      </c>
      <c r="AE24" s="205" t="e">
        <f t="shared" si="13"/>
        <v>#N/A</v>
      </c>
      <c r="AF24" s="237" t="str">
        <f>IFERROR(AD24/HLOOKUP($AE$35,$H$3:$AA$33,21,FALSE),"")</f>
        <v/>
      </c>
      <c r="AG24" s="90"/>
      <c r="AI24" s="734" t="s">
        <v>96</v>
      </c>
      <c r="AJ24" s="724">
        <v>0</v>
      </c>
      <c r="AK24" s="724">
        <v>0</v>
      </c>
      <c r="AL24" s="724">
        <v>0</v>
      </c>
      <c r="AM24" s="724">
        <v>0</v>
      </c>
    </row>
    <row r="25" spans="1:43" ht="12.75" customHeight="1" x14ac:dyDescent="0.25">
      <c r="A25" s="995"/>
      <c r="C25" s="18" t="str">
        <f>+BenchmarkBackEnd!D5</f>
        <v>(-) Insurance</v>
      </c>
      <c r="D25" s="11"/>
      <c r="E25" s="11"/>
      <c r="F25" s="920"/>
      <c r="G25" s="366"/>
      <c r="H25" s="649">
        <f t="shared" ref="H25:H26" si="19">IF(G25="",MAX(AJ25:AM25),_xlfn.XLOOKUP(G25,$AJ$23:$AM$23,$AJ25:$AM25))*(1+$AJ$30)</f>
        <v>0</v>
      </c>
      <c r="I25" s="31" t="e">
        <f>H25/$F$15</f>
        <v>#DIV/0!</v>
      </c>
      <c r="J25" s="122"/>
      <c r="K25" s="91"/>
      <c r="L25" s="987"/>
      <c r="M25" s="91"/>
      <c r="N25" s="18" t="str">
        <f>+BenchmarkBackEnd!D5</f>
        <v>(-) Insurance</v>
      </c>
      <c r="O25" s="11"/>
      <c r="P25" s="11"/>
      <c r="Q25" s="443"/>
      <c r="R25" s="770"/>
      <c r="S25" s="499">
        <f>+H25</f>
        <v>0</v>
      </c>
      <c r="T25" s="31" t="e">
        <f>S25/$Q$15</f>
        <v>#DIV/0!</v>
      </c>
      <c r="U25" s="122"/>
      <c r="V25" s="91"/>
      <c r="W25" s="115">
        <f>X25*$F$15</f>
        <v>0</v>
      </c>
      <c r="X25" s="33">
        <f>SUMIFS(BenchmarkBackEnd!$E:$E,BenchmarkBackEnd!$A:$A,Economics!$F$201,BenchmarkBackEnd!$B:$B,Economics!$F$206,BenchmarkBackEnd!$C:$C,Economics!$F$210,BenchmarkBackEnd!$D:$D,Economics!$C25)</f>
        <v>0</v>
      </c>
      <c r="Y25" s="161">
        <f>SUMIFS(BenchmarkBackEnd!$F:$F,BenchmarkBackEnd!$A:$A,Economics!$F$201,BenchmarkBackEnd!$B:$B,Economics!$F$206,BenchmarkBackEnd!$C:$C,Economics!$F$210,BenchmarkBackEnd!$D:$D,Economics!$C25)</f>
        <v>0</v>
      </c>
      <c r="Z25" s="33"/>
      <c r="AA25" s="281"/>
      <c r="AB25" s="75" t="e">
        <f t="shared" si="18"/>
        <v>#DIV/0!</v>
      </c>
      <c r="AD25" s="193" t="e">
        <f t="shared" si="10"/>
        <v>#N/A</v>
      </c>
      <c r="AE25" s="33" t="e">
        <f t="shared" si="13"/>
        <v>#N/A</v>
      </c>
      <c r="AF25" s="239" t="str">
        <f>IFERROR(AD25/HLOOKUP($AE$35,$H$3:$AA$33,22,FALSE),"")</f>
        <v/>
      </c>
      <c r="AG25" s="91"/>
      <c r="AI25" s="735" t="s">
        <v>97</v>
      </c>
      <c r="AJ25" s="655">
        <v>0</v>
      </c>
      <c r="AK25" s="655">
        <v>0</v>
      </c>
      <c r="AL25" s="655">
        <v>0</v>
      </c>
      <c r="AM25" s="655">
        <v>0</v>
      </c>
    </row>
    <row r="26" spans="1:43" ht="12.75" customHeight="1" x14ac:dyDescent="0.25">
      <c r="A26" s="995"/>
      <c r="C26" s="18" t="str">
        <f>+BenchmarkBackEnd!D6</f>
        <v>(-) Utilities</v>
      </c>
      <c r="D26" s="1447" t="s">
        <v>351</v>
      </c>
      <c r="E26" s="1447"/>
      <c r="F26" s="1447"/>
      <c r="G26" s="366"/>
      <c r="H26" s="649">
        <f t="shared" si="19"/>
        <v>0</v>
      </c>
      <c r="I26" s="31" t="e">
        <f t="shared" ref="I26" si="20">H26/$F$15</f>
        <v>#DIV/0!</v>
      </c>
      <c r="J26" s="122"/>
      <c r="K26" s="91"/>
      <c r="L26" s="987"/>
      <c r="M26" s="91"/>
      <c r="N26" s="18" t="str">
        <f>+BenchmarkBackEnd!D6</f>
        <v>(-) Utilities</v>
      </c>
      <c r="O26" s="11"/>
      <c r="P26" s="11"/>
      <c r="Q26" s="443"/>
      <c r="R26" s="770"/>
      <c r="S26" s="499">
        <f>+H26</f>
        <v>0</v>
      </c>
      <c r="T26" s="31" t="e">
        <f>S26/$Q$15</f>
        <v>#DIV/0!</v>
      </c>
      <c r="U26" s="122"/>
      <c r="V26" s="91"/>
      <c r="W26" s="115">
        <f>X26*$F$15</f>
        <v>0</v>
      </c>
      <c r="X26" s="33">
        <f>SUMIFS(BenchmarkBackEnd!$E:$E,BenchmarkBackEnd!$A:$A,Economics!$F$201,BenchmarkBackEnd!$B:$B,Economics!$F$206,BenchmarkBackEnd!$C:$C,Economics!$F$210,BenchmarkBackEnd!$D:$D,Economics!$C26)</f>
        <v>0</v>
      </c>
      <c r="Y26" s="161">
        <f>SUMIFS(BenchmarkBackEnd!$F:$F,BenchmarkBackEnd!$A:$A,Economics!$F$201,BenchmarkBackEnd!$B:$B,Economics!$F$206,BenchmarkBackEnd!$C:$C,Economics!$F$210,BenchmarkBackEnd!$D:$D,Economics!$C26)</f>
        <v>0</v>
      </c>
      <c r="Z26" s="33"/>
      <c r="AA26" s="281"/>
      <c r="AB26" s="75" t="e">
        <f t="shared" si="18"/>
        <v>#DIV/0!</v>
      </c>
      <c r="AD26" s="193" t="e">
        <f t="shared" si="10"/>
        <v>#N/A</v>
      </c>
      <c r="AE26" s="33" t="e">
        <f t="shared" si="13"/>
        <v>#N/A</v>
      </c>
      <c r="AF26" s="239" t="str">
        <f>IFERROR(AD26/HLOOKUP($AE$35,$H$3:$AA$33,23,FALSE),"")</f>
        <v/>
      </c>
      <c r="AG26" s="746"/>
      <c r="AI26" s="736" t="s">
        <v>99</v>
      </c>
      <c r="AJ26" s="1419">
        <f>Utilities!D21</f>
        <v>0</v>
      </c>
      <c r="AK26" s="656">
        <v>0</v>
      </c>
      <c r="AL26" s="656">
        <v>0</v>
      </c>
      <c r="AM26" s="656">
        <v>0</v>
      </c>
    </row>
    <row r="27" spans="1:43" ht="12.75" customHeight="1" x14ac:dyDescent="0.25">
      <c r="A27" s="995"/>
      <c r="C27" s="18" t="str">
        <f>+BenchmarkBackEnd!D7</f>
        <v>(-) Repairs and Maintenance</v>
      </c>
      <c r="D27" s="11"/>
      <c r="E27" s="11"/>
      <c r="F27" s="962"/>
      <c r="G27" s="961"/>
      <c r="H27" s="33">
        <f>I27*$F$15</f>
        <v>0</v>
      </c>
      <c r="I27" s="261">
        <f>X27*(1+$AK$30)</f>
        <v>4675</v>
      </c>
      <c r="J27" s="75"/>
      <c r="K27" s="91"/>
      <c r="L27" s="987"/>
      <c r="M27" s="91"/>
      <c r="N27" s="18" t="str">
        <f>+BenchmarkBackEnd!D7</f>
        <v>(-) Repairs and Maintenance</v>
      </c>
      <c r="O27" s="11"/>
      <c r="P27" s="11"/>
      <c r="Q27" s="443"/>
      <c r="R27" s="770"/>
      <c r="S27" s="33">
        <f>T27*Q15</f>
        <v>0</v>
      </c>
      <c r="T27" s="825">
        <f>+I27</f>
        <v>4675</v>
      </c>
      <c r="U27" s="122"/>
      <c r="V27" s="91"/>
      <c r="W27" s="115">
        <f>X27*$F$15</f>
        <v>0</v>
      </c>
      <c r="X27" s="228">
        <f>SUMIFS(BenchmarkBackEnd!$E:$E,BenchmarkBackEnd!$A:$A,Economics!$F$201,BenchmarkBackEnd!$B:$B,Economics!$F$206,BenchmarkBackEnd!$C:$C,Economics!$F$210,BenchmarkBackEnd!$D:$D,Economics!$C27)</f>
        <v>4675</v>
      </c>
      <c r="Y27" s="161">
        <f>SUMIFS(BenchmarkBackEnd!$F:$F,BenchmarkBackEnd!$A:$A,Economics!$F$201,BenchmarkBackEnd!$B:$B,Economics!$F$206,BenchmarkBackEnd!$C:$C,Economics!$F$210,BenchmarkBackEnd!$D:$D,Economics!$C27)</f>
        <v>0</v>
      </c>
      <c r="Z27" s="33"/>
      <c r="AA27" s="281"/>
      <c r="AB27" s="75" t="e">
        <f t="shared" si="18"/>
        <v>#DIV/0!</v>
      </c>
      <c r="AD27" s="193" t="e">
        <f t="shared" si="10"/>
        <v>#N/A</v>
      </c>
      <c r="AE27" s="33" t="e">
        <f t="shared" si="13"/>
        <v>#N/A</v>
      </c>
      <c r="AF27" s="239" t="str">
        <f>IFERROR(AD27/HLOOKUP($AE$35,$H$3:$AA$33,24,FALSE),"")</f>
        <v/>
      </c>
      <c r="AG27" s="91"/>
      <c r="AI27" s="722"/>
    </row>
    <row r="28" spans="1:43" ht="12.75" customHeight="1" x14ac:dyDescent="0.25">
      <c r="A28" s="995"/>
      <c r="C28" s="18" t="str">
        <f>+BenchmarkBackEnd!D8</f>
        <v>(-) Payroll &amp; Administration</v>
      </c>
      <c r="D28" s="11"/>
      <c r="E28" s="11"/>
      <c r="F28" s="962"/>
      <c r="G28" s="961"/>
      <c r="H28" s="33">
        <f>I28*$F$15</f>
        <v>0</v>
      </c>
      <c r="I28" s="261">
        <f>X28*(1+$AK$30)</f>
        <v>3285</v>
      </c>
      <c r="J28" s="75"/>
      <c r="K28" s="91"/>
      <c r="L28" s="987"/>
      <c r="M28" s="91"/>
      <c r="N28" s="18" t="str">
        <f>+BenchmarkBackEnd!D8</f>
        <v>(-) Payroll &amp; Administration</v>
      </c>
      <c r="O28" s="11"/>
      <c r="P28" s="11"/>
      <c r="Q28" s="443"/>
      <c r="R28" s="770"/>
      <c r="S28" s="33">
        <f>T28*Q15</f>
        <v>0</v>
      </c>
      <c r="T28" s="826">
        <f>+I28</f>
        <v>3285</v>
      </c>
      <c r="U28" s="122"/>
      <c r="V28" s="91"/>
      <c r="W28" s="115">
        <f>X28*$F$15</f>
        <v>0</v>
      </c>
      <c r="X28" s="228">
        <f>SUMIFS(BenchmarkBackEnd!$E:$E,BenchmarkBackEnd!$A:$A,Economics!$F$201,BenchmarkBackEnd!$B:$B,Economics!$F$206,BenchmarkBackEnd!$C:$C,Economics!$F$210,BenchmarkBackEnd!$D:$D,Economics!$C28)</f>
        <v>3285</v>
      </c>
      <c r="Y28" s="161">
        <f>SUMIFS(BenchmarkBackEnd!$F:$F,BenchmarkBackEnd!$A:$A,Economics!$F$201,BenchmarkBackEnd!$B:$B,Economics!$F$206,BenchmarkBackEnd!$C:$C,Economics!$F$210,BenchmarkBackEnd!$D:$D,Economics!$C28)</f>
        <v>0</v>
      </c>
      <c r="Z28" s="33"/>
      <c r="AA28" s="281"/>
      <c r="AB28" s="75" t="e">
        <f t="shared" si="18"/>
        <v>#DIV/0!</v>
      </c>
      <c r="AD28" s="193" t="e">
        <f t="shared" si="10"/>
        <v>#N/A</v>
      </c>
      <c r="AE28" s="33" t="e">
        <f t="shared" si="13"/>
        <v>#N/A</v>
      </c>
      <c r="AF28" s="239" t="str">
        <f>IFERROR(AD28/HLOOKUP($AE$35,$H$3:$AA$33,25,FALSE),"")</f>
        <v/>
      </c>
      <c r="AG28" s="91"/>
      <c r="AI28" s="726" t="s">
        <v>100</v>
      </c>
      <c r="AJ28" s="829" t="s">
        <v>101</v>
      </c>
      <c r="AK28" s="828" t="s">
        <v>63</v>
      </c>
      <c r="AL28" s="739"/>
    </row>
    <row r="29" spans="1:43" ht="12.75" customHeight="1" x14ac:dyDescent="0.25">
      <c r="A29" s="995"/>
      <c r="C29" s="18" t="str">
        <f>+BenchmarkBackEnd!D10</f>
        <v>(-) Other</v>
      </c>
      <c r="D29" s="11"/>
      <c r="E29" s="11"/>
      <c r="F29" s="961"/>
      <c r="G29" s="531">
        <f>Y29</f>
        <v>6.0999999999999999E-2</v>
      </c>
      <c r="H29" s="17">
        <f>G29*$H$23</f>
        <v>0</v>
      </c>
      <c r="I29" s="31" t="e">
        <f t="shared" ref="I29" si="21">H29/$F$15</f>
        <v>#DIV/0!</v>
      </c>
      <c r="J29" s="122"/>
      <c r="K29" s="91"/>
      <c r="L29" s="987"/>
      <c r="M29" s="91"/>
      <c r="N29" s="18" t="str">
        <f>+BenchmarkBackEnd!D10</f>
        <v>(-) Other</v>
      </c>
      <c r="O29" s="11"/>
      <c r="P29" s="11"/>
      <c r="Q29" s="443"/>
      <c r="R29" s="769">
        <f>+G29</f>
        <v>6.0999999999999999E-2</v>
      </c>
      <c r="S29" s="17">
        <f>R29*$S$23</f>
        <v>0</v>
      </c>
      <c r="T29" s="31" t="e">
        <f t="shared" ref="T29:T36" si="22">S29/$Q$15</f>
        <v>#DIV/0!</v>
      </c>
      <c r="U29" s="122"/>
      <c r="V29" s="91"/>
      <c r="W29" s="115">
        <f>X29*F15</f>
        <v>0</v>
      </c>
      <c r="X29" s="33">
        <f>SUMIFS(BenchmarkBackEnd!$E:$E,BenchmarkBackEnd!$A:$A,Economics!$F$201,BenchmarkBackEnd!$B:$B,Economics!$F$206,BenchmarkBackEnd!$C:$C,Economics!$F$210,BenchmarkBackEnd!$D:$D,Economics!$C29)</f>
        <v>0</v>
      </c>
      <c r="Y29" s="229">
        <f>SUMIFS(BenchmarkBackEnd!$F:$F,BenchmarkBackEnd!$A:$A,Economics!$F$201,BenchmarkBackEnd!$B:$B,Economics!$F$206,BenchmarkBackEnd!$C:$C,Economics!$F$210,BenchmarkBackEnd!$D:$D,Economics!$C29)</f>
        <v>6.0999999999999999E-2</v>
      </c>
      <c r="Z29" s="33"/>
      <c r="AA29" s="281"/>
      <c r="AB29" s="75" t="e">
        <f t="shared" si="18"/>
        <v>#DIV/0!</v>
      </c>
      <c r="AD29" s="193" t="e">
        <f t="shared" si="10"/>
        <v>#N/A</v>
      </c>
      <c r="AE29" s="33" t="e">
        <f t="shared" si="13"/>
        <v>#N/A</v>
      </c>
      <c r="AF29" s="239" t="str">
        <f>IFERROR(AD29/HLOOKUP($AE$35,$H$3:$AA$33,26,FALSE),"")</f>
        <v/>
      </c>
      <c r="AG29" s="91"/>
      <c r="AI29" s="737" t="s">
        <v>102</v>
      </c>
      <c r="AJ29" s="693">
        <v>0</v>
      </c>
      <c r="AK29" s="1420">
        <f>$AJ$29*Economics!$I$65</f>
        <v>0</v>
      </c>
      <c r="AL29" s="692"/>
    </row>
    <row r="30" spans="1:43" ht="12.75" customHeight="1" x14ac:dyDescent="0.25">
      <c r="A30" s="995"/>
      <c r="C30" s="18" t="str">
        <f>+BenchmarkBackEnd!D11</f>
        <v>(-) Management Fee</v>
      </c>
      <c r="D30" s="11"/>
      <c r="E30" s="11"/>
      <c r="F30" s="961"/>
      <c r="G30" s="531">
        <f>Y30</f>
        <v>0.22000000000000003</v>
      </c>
      <c r="H30" s="17">
        <f>G30*$H$23</f>
        <v>0</v>
      </c>
      <c r="I30" s="31" t="e">
        <f t="shared" ref="I30:I34" si="23">H30/$F$15</f>
        <v>#DIV/0!</v>
      </c>
      <c r="J30" s="75"/>
      <c r="K30" s="91"/>
      <c r="L30" s="987"/>
      <c r="M30" s="91"/>
      <c r="N30" s="18" t="str">
        <f>+BenchmarkBackEnd!D11</f>
        <v>(-) Management Fee</v>
      </c>
      <c r="O30" s="11"/>
      <c r="P30" s="11"/>
      <c r="Q30" s="443"/>
      <c r="R30" s="770">
        <f>+G30</f>
        <v>0.22000000000000003</v>
      </c>
      <c r="S30" s="17">
        <f>R30*$S$23</f>
        <v>0</v>
      </c>
      <c r="T30" s="31" t="e">
        <f t="shared" si="22"/>
        <v>#DIV/0!</v>
      </c>
      <c r="U30" s="122"/>
      <c r="V30" s="91"/>
      <c r="W30" s="115">
        <f>X30*F15</f>
        <v>0</v>
      </c>
      <c r="X30" s="33">
        <f>SUMIFS(BenchmarkBackEnd!$E:$E,BenchmarkBackEnd!$A:$A,Economics!$F$201,BenchmarkBackEnd!$B:$B,Economics!$F$206,BenchmarkBackEnd!$C:$C,Economics!$F$210,BenchmarkBackEnd!$D:$D,Economics!$C30)</f>
        <v>0</v>
      </c>
      <c r="Y30" s="555">
        <f>SUMIFS(BenchmarkBackEnd!$F:$F,BenchmarkBackEnd!$A:$A,Economics!$F$201,BenchmarkBackEnd!$B:$B,Economics!$F$206,BenchmarkBackEnd!$C:$C,Economics!$F$210,BenchmarkBackEnd!$D:$D,Economics!$C30)</f>
        <v>0.22000000000000003</v>
      </c>
      <c r="Z30" s="33"/>
      <c r="AA30" s="281"/>
      <c r="AB30" s="75" t="e">
        <f t="shared" si="18"/>
        <v>#DIV/0!</v>
      </c>
      <c r="AD30" s="193" t="e">
        <f t="shared" si="10"/>
        <v>#N/A</v>
      </c>
      <c r="AE30" s="33" t="e">
        <f t="shared" si="13"/>
        <v>#N/A</v>
      </c>
      <c r="AF30" s="239" t="str">
        <f>IFERROR(AD30/HLOOKUP($AE$35,$H$3:$AA$33,27,FALSE),"")</f>
        <v/>
      </c>
      <c r="AG30" s="91"/>
      <c r="AI30" s="738" t="s">
        <v>95</v>
      </c>
      <c r="AJ30" s="723">
        <v>0</v>
      </c>
      <c r="AK30" s="762">
        <f>$AJ$30*$I$65</f>
        <v>0</v>
      </c>
      <c r="AL30" s="739"/>
    </row>
    <row r="31" spans="1:43" ht="12.75" customHeight="1" x14ac:dyDescent="0.25">
      <c r="A31" s="995"/>
      <c r="C31" s="18" t="str">
        <f>+BenchmarkBackEnd!D12</f>
        <v>(-) Replacement Reserve</v>
      </c>
      <c r="D31" s="11"/>
      <c r="E31" s="11"/>
      <c r="F31" s="1514"/>
      <c r="G31" s="961"/>
      <c r="H31" s="330">
        <f>W31*(1+$AK$30)</f>
        <v>0</v>
      </c>
      <c r="I31" s="30" t="e">
        <f t="shared" si="23"/>
        <v>#DIV/0!</v>
      </c>
      <c r="J31" s="122"/>
      <c r="K31" s="91"/>
      <c r="L31" s="987"/>
      <c r="M31" s="91"/>
      <c r="N31" s="18" t="str">
        <f>+BenchmarkBackEnd!D12</f>
        <v>(-) Replacement Reserve</v>
      </c>
      <c r="O31" s="11"/>
      <c r="P31" s="11"/>
      <c r="Q31" s="443"/>
      <c r="R31" s="950"/>
      <c r="S31" s="23">
        <f>+H31</f>
        <v>0</v>
      </c>
      <c r="T31" s="30" t="e">
        <f t="shared" si="22"/>
        <v>#DIV/0!</v>
      </c>
      <c r="U31" s="122"/>
      <c r="V31" s="91"/>
      <c r="W31" s="332">
        <f>(F214*60*F15+F215*190+F216*12*300)</f>
        <v>0</v>
      </c>
      <c r="X31" s="33">
        <f>F214*60</f>
        <v>0</v>
      </c>
      <c r="Y31" s="331"/>
      <c r="Z31" s="33"/>
      <c r="AA31" s="282"/>
      <c r="AB31" s="75" t="e">
        <f t="shared" si="18"/>
        <v>#DIV/0!</v>
      </c>
      <c r="AD31" s="206" t="e">
        <f t="shared" si="10"/>
        <v>#N/A</v>
      </c>
      <c r="AE31" s="207" t="e">
        <f t="shared" si="13"/>
        <v>#N/A</v>
      </c>
      <c r="AF31" s="238" t="str">
        <f>IFERROR(AD31/HLOOKUP($AE$35,$H$3:$AA$33,28,FALSE),"")</f>
        <v/>
      </c>
      <c r="AG31" s="91"/>
      <c r="AI31" s="739" t="s">
        <v>103</v>
      </c>
    </row>
    <row r="32" spans="1:43" ht="12.75" customHeight="1" x14ac:dyDescent="0.25">
      <c r="A32" s="995"/>
      <c r="C32" s="16" t="s">
        <v>104</v>
      </c>
      <c r="D32" s="81"/>
      <c r="E32" s="81"/>
      <c r="G32" s="768" t="e">
        <f>H32/H23</f>
        <v>#DIV/0!</v>
      </c>
      <c r="H32" s="4">
        <f>+SUM(H24:H31)</f>
        <v>0</v>
      </c>
      <c r="I32" s="4" t="e">
        <f t="shared" si="23"/>
        <v>#DIV/0!</v>
      </c>
      <c r="J32" s="136"/>
      <c r="K32" s="89"/>
      <c r="L32" s="985"/>
      <c r="M32" s="89"/>
      <c r="N32" s="16" t="s">
        <v>104</v>
      </c>
      <c r="O32" s="81"/>
      <c r="P32" s="81"/>
      <c r="Q32" s="443"/>
      <c r="R32" s="768" t="e">
        <f>S32/S23</f>
        <v>#DIV/0!</v>
      </c>
      <c r="S32" s="4">
        <f>+SUM(S24:S31)</f>
        <v>0</v>
      </c>
      <c r="T32" s="4" t="e">
        <f t="shared" si="22"/>
        <v>#DIV/0!</v>
      </c>
      <c r="U32" s="136"/>
      <c r="V32" s="89"/>
      <c r="W32" s="77">
        <f>SUM(W24:W31)</f>
        <v>0</v>
      </c>
      <c r="X32" s="162">
        <f>SUMIFS(BenchmarkBackEnd!$E:$E,BenchmarkBackEnd!$A:$A,Economics!$F$201,BenchmarkBackEnd!$B:$B,Economics!$F$206,BenchmarkBackEnd!$C:$C,Economics!$F$210,BenchmarkBackEnd!$D:$D,Economics!$C32)</f>
        <v>0</v>
      </c>
      <c r="Y32" s="163">
        <f>SUMIFS(BenchmarkBackEnd!$F:$F,BenchmarkBackEnd!$A:$A,Economics!$F$201,BenchmarkBackEnd!$B:$B,Economics!$F$206,BenchmarkBackEnd!$C:$C,Economics!$F$210,BenchmarkBackEnd!$D:$D,Economics!$C32)</f>
        <v>0</v>
      </c>
      <c r="Z32" s="93"/>
      <c r="AA32" s="77">
        <f>SUM(AA24:AA31)</f>
        <v>0</v>
      </c>
      <c r="AB32" s="21" t="e">
        <f t="shared" si="18"/>
        <v>#DIV/0!</v>
      </c>
      <c r="AD32" s="187" t="e">
        <f t="shared" si="10"/>
        <v>#N/A</v>
      </c>
      <c r="AE32" s="188" t="e">
        <f t="shared" si="13"/>
        <v>#N/A</v>
      </c>
      <c r="AF32" s="242" t="str">
        <f>IFERROR(AD32/HLOOKUP($AE$35,$H$3:$AA$33,29,FALSE),"")</f>
        <v/>
      </c>
      <c r="AG32" s="89"/>
    </row>
    <row r="33" spans="1:46" ht="12.75" customHeight="1" x14ac:dyDescent="0.25">
      <c r="A33" s="995"/>
      <c r="C33" s="138" t="s">
        <v>105</v>
      </c>
      <c r="D33" s="103"/>
      <c r="E33" s="103"/>
      <c r="F33" s="251"/>
      <c r="G33" s="251"/>
      <c r="H33" s="4">
        <f>+H23-H32</f>
        <v>0</v>
      </c>
      <c r="I33" s="4" t="e">
        <f t="shared" si="23"/>
        <v>#DIV/0!</v>
      </c>
      <c r="J33" s="137"/>
      <c r="K33" s="92"/>
      <c r="L33" s="988"/>
      <c r="M33" s="92"/>
      <c r="N33" s="138" t="s">
        <v>105</v>
      </c>
      <c r="O33" s="11"/>
      <c r="P33" s="11"/>
      <c r="Q33" s="443"/>
      <c r="R33" s="158"/>
      <c r="S33" s="4">
        <f>S23-S32</f>
        <v>0</v>
      </c>
      <c r="T33" s="4" t="e">
        <f t="shared" si="22"/>
        <v>#DIV/0!</v>
      </c>
      <c r="U33" s="137"/>
      <c r="V33" s="92"/>
      <c r="W33" s="82"/>
      <c r="X33" s="82"/>
      <c r="Y33" s="82"/>
      <c r="Z33" s="100"/>
      <c r="AA33" s="166">
        <f>AA23-AA32</f>
        <v>0</v>
      </c>
      <c r="AB33" s="113" t="e">
        <f t="shared" si="18"/>
        <v>#DIV/0!</v>
      </c>
      <c r="AD33" s="440" t="e">
        <f t="shared" si="10"/>
        <v>#N/A</v>
      </c>
      <c r="AE33" s="441" t="e">
        <f t="shared" si="13"/>
        <v>#N/A</v>
      </c>
      <c r="AF33" s="442" t="str">
        <f>IFERROR(AD33/HLOOKUP($AE$35,$H$3:$AA$33,29,FALSE),"")</f>
        <v/>
      </c>
      <c r="AG33" s="92"/>
      <c r="AJ33" s="454"/>
      <c r="AK33" s="454"/>
      <c r="AL33" s="454"/>
      <c r="AM33" s="454"/>
      <c r="AN33" s="454"/>
    </row>
    <row r="34" spans="1:46" ht="12.75" customHeight="1" x14ac:dyDescent="0.25">
      <c r="A34" s="995"/>
      <c r="C34" s="139" t="s">
        <v>106</v>
      </c>
      <c r="D34" s="140"/>
      <c r="E34" s="140"/>
      <c r="F34" s="141" t="s">
        <v>107</v>
      </c>
      <c r="G34" s="164"/>
      <c r="H34" s="142">
        <f>IFERROR(ROUND(H33/G34,-4),0)</f>
        <v>0</v>
      </c>
      <c r="I34" s="142" t="e">
        <f t="shared" si="23"/>
        <v>#DIV/0!</v>
      </c>
      <c r="J34" s="512" t="str">
        <f>IFERROR(I34/G15,"N/A")</f>
        <v>N/A</v>
      </c>
      <c r="K34" s="93"/>
      <c r="L34" s="989"/>
      <c r="M34" s="93"/>
      <c r="N34" s="139" t="s">
        <v>106</v>
      </c>
      <c r="O34" s="144"/>
      <c r="P34" s="141"/>
      <c r="Q34" s="141" t="s">
        <v>107</v>
      </c>
      <c r="R34" s="164"/>
      <c r="S34" s="142" t="e">
        <f>S33/R34</f>
        <v>#DIV/0!</v>
      </c>
      <c r="T34" s="142" t="e">
        <f t="shared" si="22"/>
        <v>#DIV/0!</v>
      </c>
      <c r="U34" s="143" t="e">
        <f>T34/$R$15</f>
        <v>#DIV/0!</v>
      </c>
      <c r="V34" s="93"/>
      <c r="Z34" s="93"/>
      <c r="AG34" s="93"/>
    </row>
    <row r="35" spans="1:46" ht="12.75" hidden="1" customHeight="1" outlineLevel="1" x14ac:dyDescent="0.25">
      <c r="A35" s="995"/>
      <c r="C35" s="27"/>
      <c r="D35" s="27"/>
      <c r="E35" s="27"/>
      <c r="F35" s="27"/>
      <c r="G35" s="27"/>
      <c r="H35" s="1019"/>
      <c r="I35" s="157"/>
      <c r="J35" s="157"/>
      <c r="K35" s="93"/>
      <c r="L35" s="867"/>
      <c r="M35" s="93"/>
      <c r="N35" s="27" t="s">
        <v>108</v>
      </c>
      <c r="O35" s="27"/>
      <c r="P35" s="27"/>
      <c r="R35" s="27"/>
      <c r="S35" s="168"/>
      <c r="T35" s="169" t="e">
        <f t="shared" si="22"/>
        <v>#DIV/0!</v>
      </c>
      <c r="U35" s="169" t="e">
        <f>T35/$R$15</f>
        <v>#DIV/0!</v>
      </c>
      <c r="V35" s="93"/>
      <c r="Z35" s="93"/>
      <c r="AD35" s="80" t="s">
        <v>109</v>
      </c>
      <c r="AE35" s="270"/>
      <c r="AF35" s="271"/>
      <c r="AG35" s="93"/>
    </row>
    <row r="36" spans="1:46" ht="12.75" hidden="1" customHeight="1" outlineLevel="1" x14ac:dyDescent="0.25">
      <c r="A36" s="995"/>
      <c r="C36" s="439" t="s">
        <v>110</v>
      </c>
      <c r="D36" s="20"/>
      <c r="E36" s="20" t="s">
        <v>111</v>
      </c>
      <c r="F36" s="20" t="s">
        <v>112</v>
      </c>
      <c r="G36" s="20" t="s">
        <v>113</v>
      </c>
      <c r="H36" s="14" t="s">
        <v>63</v>
      </c>
      <c r="I36" s="14" t="s">
        <v>114</v>
      </c>
      <c r="J36" s="409"/>
      <c r="K36" s="93"/>
      <c r="L36" s="990"/>
      <c r="M36" s="93"/>
      <c r="N36" s="139" t="s">
        <v>115</v>
      </c>
      <c r="O36" s="140"/>
      <c r="P36" s="141"/>
      <c r="Q36" s="141" t="s">
        <v>116</v>
      </c>
      <c r="R36" s="167" t="e">
        <f>S33/S36</f>
        <v>#DIV/0!</v>
      </c>
      <c r="S36" s="142" t="e">
        <f>S34-S35</f>
        <v>#DIV/0!</v>
      </c>
      <c r="T36" s="142" t="e">
        <f t="shared" si="22"/>
        <v>#DIV/0!</v>
      </c>
      <c r="U36" s="143" t="e">
        <f>T36/$R$15</f>
        <v>#DIV/0!</v>
      </c>
      <c r="V36" s="93"/>
      <c r="Z36" s="93"/>
      <c r="AD36" s="165" t="s">
        <v>117</v>
      </c>
      <c r="AE36" s="174"/>
      <c r="AF36" s="173"/>
      <c r="AG36" s="93"/>
    </row>
    <row r="37" spans="1:46" ht="12.75" hidden="1" customHeight="1" outlineLevel="1" x14ac:dyDescent="0.25">
      <c r="A37" s="995"/>
      <c r="C37" s="220" t="s">
        <v>118</v>
      </c>
      <c r="D37" s="410"/>
      <c r="E37" s="549"/>
      <c r="F37" s="550"/>
      <c r="G37" s="411"/>
      <c r="H37" s="235">
        <f>G37*I37</f>
        <v>0</v>
      </c>
      <c r="I37" s="412"/>
      <c r="J37" s="511"/>
      <c r="L37" s="868"/>
      <c r="Z37" s="93"/>
      <c r="AH37" s="613"/>
    </row>
    <row r="38" spans="1:46" ht="12.75" hidden="1" customHeight="1" outlineLevel="1" x14ac:dyDescent="0.25">
      <c r="A38" s="995"/>
      <c r="C38" s="18" t="s">
        <v>119</v>
      </c>
      <c r="D38" s="413"/>
      <c r="E38" s="551"/>
      <c r="F38" s="552"/>
      <c r="G38" s="414"/>
      <c r="H38" s="19">
        <f>G38*I38</f>
        <v>0</v>
      </c>
      <c r="I38" s="415"/>
      <c r="J38" s="838"/>
      <c r="L38" s="868"/>
      <c r="N38" s="15" t="s">
        <v>120</v>
      </c>
      <c r="O38" s="83"/>
      <c r="P38" s="83"/>
      <c r="Q38" s="83"/>
      <c r="R38" s="83"/>
      <c r="S38" s="111" t="s">
        <v>121</v>
      </c>
      <c r="T38" s="111" t="s">
        <v>122</v>
      </c>
      <c r="U38" s="178" t="s">
        <v>123</v>
      </c>
      <c r="Z38" s="93"/>
      <c r="AH38" s="613"/>
      <c r="AI38" s="741" t="s">
        <v>124</v>
      </c>
      <c r="AJ38" s="185"/>
      <c r="AK38" s="185"/>
      <c r="AL38" s="185"/>
      <c r="AM38" s="185"/>
      <c r="AN38" s="186"/>
    </row>
    <row r="39" spans="1:46" ht="12.75" hidden="1" customHeight="1" outlineLevel="1" x14ac:dyDescent="0.25">
      <c r="A39" s="995"/>
      <c r="C39" s="18" t="s">
        <v>125</v>
      </c>
      <c r="D39" s="413"/>
      <c r="E39" s="551"/>
      <c r="F39" s="552"/>
      <c r="G39" s="414"/>
      <c r="H39" s="19">
        <f>G39*I39</f>
        <v>0</v>
      </c>
      <c r="I39" s="415"/>
      <c r="J39" s="838"/>
      <c r="L39" s="868"/>
      <c r="N39" s="220" t="s">
        <v>126</v>
      </c>
      <c r="O39" s="219"/>
      <c r="P39" s="219"/>
      <c r="Q39" s="219"/>
      <c r="R39" s="219"/>
      <c r="S39" s="705">
        <v>0</v>
      </c>
      <c r="T39" s="225" t="e">
        <f>S75</f>
        <v>#N/A</v>
      </c>
      <c r="U39" s="303" t="e">
        <f>+S79</f>
        <v>#N/A</v>
      </c>
      <c r="Z39" s="93"/>
      <c r="AH39" s="613"/>
      <c r="AI39" s="740" t="s">
        <v>127</v>
      </c>
      <c r="AK39" s="706"/>
      <c r="AL39" s="365"/>
      <c r="AM39" s="365"/>
      <c r="AN39" s="707"/>
    </row>
    <row r="40" spans="1:46" ht="12.75" hidden="1" customHeight="1" outlineLevel="1" x14ac:dyDescent="0.25">
      <c r="A40" s="995"/>
      <c r="C40" s="18" t="s">
        <v>128</v>
      </c>
      <c r="D40" s="413"/>
      <c r="E40" s="551"/>
      <c r="F40" s="552"/>
      <c r="G40" s="414"/>
      <c r="H40" s="19">
        <f>G40*I40</f>
        <v>0</v>
      </c>
      <c r="I40" s="415"/>
      <c r="J40" s="838"/>
      <c r="L40" s="868"/>
      <c r="N40" s="18" t="s">
        <v>129</v>
      </c>
      <c r="S40" s="697" t="e">
        <f>+S39/$U$39</f>
        <v>#N/A</v>
      </c>
      <c r="T40" s="697" t="e">
        <f>+T39/$U$39</f>
        <v>#N/A</v>
      </c>
      <c r="U40" s="698" t="e">
        <f>+SUM(S40:T40)</f>
        <v>#N/A</v>
      </c>
      <c r="Z40" s="93"/>
      <c r="AH40" s="613"/>
      <c r="AI40" s="714" t="s">
        <v>130</v>
      </c>
      <c r="AJ40" s="365"/>
      <c r="AK40" s="365"/>
      <c r="AL40" s="365"/>
      <c r="AM40" s="365"/>
      <c r="AN40" s="707"/>
    </row>
    <row r="41" spans="1:46" ht="12.75" hidden="1" customHeight="1" outlineLevel="1" x14ac:dyDescent="0.25">
      <c r="A41" s="995"/>
      <c r="C41" s="18" t="s">
        <v>131</v>
      </c>
      <c r="D41" s="413"/>
      <c r="E41" s="553"/>
      <c r="F41" s="554"/>
      <c r="G41" s="417"/>
      <c r="H41" s="19">
        <f>G41*I41</f>
        <v>0</v>
      </c>
      <c r="I41" s="418"/>
      <c r="J41" s="838"/>
      <c r="L41" s="868"/>
      <c r="N41" s="18" t="s">
        <v>132</v>
      </c>
      <c r="S41" s="196" t="s">
        <v>133</v>
      </c>
      <c r="T41" s="196" t="s">
        <v>133</v>
      </c>
      <c r="U41" s="215"/>
      <c r="AI41" s="455"/>
      <c r="AN41" s="215"/>
      <c r="AT41" s="196"/>
    </row>
    <row r="42" spans="1:46" ht="12.4" hidden="1" customHeight="1" outlineLevel="1" x14ac:dyDescent="0.25">
      <c r="A42" s="995"/>
      <c r="C42" s="419" t="s">
        <v>134</v>
      </c>
      <c r="D42" s="410"/>
      <c r="E42" s="410"/>
      <c r="F42" s="410"/>
      <c r="G42" s="245">
        <f>+SUM(G37:G41)</f>
        <v>0</v>
      </c>
      <c r="H42" s="247">
        <f>+SUM(H37:H41)</f>
        <v>0</v>
      </c>
      <c r="I42" s="410" t="e">
        <f t="shared" ref="I42:I52" si="24">H42/$G$42</f>
        <v>#DIV/0!</v>
      </c>
      <c r="J42" s="248"/>
      <c r="L42" s="868"/>
      <c r="N42" s="18" t="s">
        <v>135</v>
      </c>
      <c r="S42" s="831" t="s">
        <v>136</v>
      </c>
      <c r="T42" s="831" t="s">
        <v>136</v>
      </c>
      <c r="U42" s="215"/>
      <c r="AI42" s="714" t="s">
        <v>137</v>
      </c>
      <c r="AN42" s="215"/>
      <c r="AT42" s="196"/>
    </row>
    <row r="43" spans="1:46" ht="12.75" hidden="1" customHeight="1" outlineLevel="1" x14ac:dyDescent="0.25">
      <c r="A43" s="995"/>
      <c r="C43" s="420" t="s">
        <v>138</v>
      </c>
      <c r="D43" s="413"/>
      <c r="E43" s="413"/>
      <c r="F43" s="413"/>
      <c r="G43" s="413"/>
      <c r="H43" s="421"/>
      <c r="I43" s="422" t="e">
        <f t="shared" si="24"/>
        <v>#DIV/0!</v>
      </c>
      <c r="J43" s="416"/>
      <c r="L43" s="868"/>
      <c r="N43" s="18" t="s">
        <v>139</v>
      </c>
      <c r="S43" s="831" t="s">
        <v>140</v>
      </c>
      <c r="T43" s="831" t="s">
        <v>140</v>
      </c>
      <c r="U43" s="215"/>
      <c r="AI43" s="455"/>
      <c r="AN43" s="215"/>
      <c r="AT43" s="196"/>
    </row>
    <row r="44" spans="1:46" ht="12.75" hidden="1" customHeight="1" outlineLevel="1" x14ac:dyDescent="0.25">
      <c r="A44" s="995"/>
      <c r="C44" s="420" t="s">
        <v>141</v>
      </c>
      <c r="D44" s="413"/>
      <c r="E44" s="413"/>
      <c r="F44" s="413"/>
      <c r="G44" s="413"/>
      <c r="H44" s="568">
        <f>+H48</f>
        <v>0</v>
      </c>
      <c r="I44" s="423" t="e">
        <f t="shared" si="24"/>
        <v>#DIV/0!</v>
      </c>
      <c r="J44" s="416"/>
      <c r="L44" s="868"/>
      <c r="N44" s="18" t="s">
        <v>18</v>
      </c>
      <c r="O44" s="11"/>
      <c r="P44" s="11"/>
      <c r="Q44" s="107"/>
      <c r="R44" s="107"/>
      <c r="S44" s="832">
        <v>12</v>
      </c>
      <c r="T44" s="833">
        <v>12</v>
      </c>
      <c r="U44" s="145"/>
      <c r="AI44" s="715" t="s">
        <v>142</v>
      </c>
      <c r="AJ44" s="710"/>
      <c r="AK44" s="711"/>
      <c r="AL44" s="712"/>
      <c r="AM44" s="712"/>
      <c r="AN44" s="713"/>
      <c r="AO44" s="699"/>
      <c r="AP44" s="699"/>
      <c r="AT44" s="196"/>
    </row>
    <row r="45" spans="1:46" ht="12.75" hidden="1" customHeight="1" outlineLevel="1" x14ac:dyDescent="0.25">
      <c r="A45" s="995"/>
      <c r="C45" s="424" t="s">
        <v>143</v>
      </c>
      <c r="D45" s="413"/>
      <c r="E45" s="413"/>
      <c r="F45" s="413"/>
      <c r="G45" s="413"/>
      <c r="H45" s="425">
        <f>+SUM(H42:H44)</f>
        <v>0</v>
      </c>
      <c r="I45" s="426" t="e">
        <f t="shared" si="24"/>
        <v>#DIV/0!</v>
      </c>
      <c r="J45" s="416"/>
      <c r="L45" s="868"/>
      <c r="N45" s="18" t="s">
        <v>19</v>
      </c>
      <c r="S45" s="366" t="s">
        <v>144</v>
      </c>
      <c r="T45" s="366" t="s">
        <v>144</v>
      </c>
      <c r="U45" s="145"/>
      <c r="AI45" s="742">
        <v>4.9500000000000002E-2</v>
      </c>
      <c r="AJ45" s="709" t="s">
        <v>145</v>
      </c>
      <c r="AK45" s="700"/>
      <c r="AL45" s="701"/>
      <c r="AM45" s="702"/>
      <c r="AN45" s="708"/>
      <c r="AO45" s="611"/>
      <c r="AP45" s="703"/>
    </row>
    <row r="46" spans="1:46" ht="12.75" hidden="1" customHeight="1" outlineLevel="1" x14ac:dyDescent="0.25">
      <c r="A46" s="995"/>
      <c r="C46" s="18" t="s">
        <v>93</v>
      </c>
      <c r="D46" s="413"/>
      <c r="E46" s="413"/>
      <c r="G46" s="963"/>
      <c r="H46" s="427">
        <f>-G46*H45</f>
        <v>0</v>
      </c>
      <c r="I46" s="428" t="e">
        <f t="shared" si="24"/>
        <v>#DIV/0!</v>
      </c>
      <c r="J46" s="215"/>
      <c r="L46" s="868"/>
      <c r="N46" s="18" t="s">
        <v>146</v>
      </c>
      <c r="O46" s="11"/>
      <c r="P46" s="11"/>
      <c r="Q46" s="107"/>
      <c r="R46" s="107"/>
      <c r="S46" s="834">
        <v>0</v>
      </c>
      <c r="T46" s="834">
        <v>0</v>
      </c>
      <c r="U46" s="105" t="e">
        <f>(S46*S74+T46*S75)/S79</f>
        <v>#N/A</v>
      </c>
      <c r="AI46" s="756" t="s">
        <v>147</v>
      </c>
      <c r="AK46" s="700"/>
      <c r="AL46" s="704"/>
      <c r="AM46" s="702"/>
      <c r="AN46" s="708"/>
      <c r="AO46" s="611"/>
      <c r="AP46" s="703"/>
    </row>
    <row r="47" spans="1:46" ht="12.75" hidden="1" customHeight="1" outlineLevel="1" x14ac:dyDescent="0.25">
      <c r="A47" s="995"/>
      <c r="C47" s="16" t="s">
        <v>148</v>
      </c>
      <c r="D47" s="413"/>
      <c r="E47" s="413"/>
      <c r="F47" s="413"/>
      <c r="G47" s="413"/>
      <c r="H47" s="429">
        <f>+SUM(H45:H46)</f>
        <v>0</v>
      </c>
      <c r="I47" s="413" t="e">
        <f t="shared" si="24"/>
        <v>#DIV/0!</v>
      </c>
      <c r="J47" s="416"/>
      <c r="L47" s="868"/>
      <c r="N47" s="18" t="s">
        <v>149</v>
      </c>
      <c r="O47" s="11"/>
      <c r="P47" s="11"/>
      <c r="Q47" s="107"/>
      <c r="R47" s="107"/>
      <c r="S47" s="170">
        <f>+$AI$45+S48</f>
        <v>4.9500000000000002E-2</v>
      </c>
      <c r="T47" s="170" t="e">
        <f>+$AI$45+T48</f>
        <v>#N/A</v>
      </c>
      <c r="U47" s="105" t="e">
        <f>(S74*S47+S75*T47)/S79</f>
        <v>#N/A</v>
      </c>
      <c r="AI47" s="743"/>
      <c r="AJ47" s="709" t="s">
        <v>150</v>
      </c>
      <c r="AK47" s="700"/>
      <c r="AL47" s="702"/>
      <c r="AM47" s="702"/>
      <c r="AN47" s="708"/>
      <c r="AO47" s="611"/>
      <c r="AP47" s="611"/>
    </row>
    <row r="48" spans="1:46" ht="12.75" hidden="1" customHeight="1" outlineLevel="1" x14ac:dyDescent="0.25">
      <c r="A48" s="995"/>
      <c r="C48" s="18" t="s">
        <v>151</v>
      </c>
      <c r="D48" s="413"/>
      <c r="E48" s="413"/>
      <c r="F48" s="413"/>
      <c r="G48" s="413"/>
      <c r="H48" s="421"/>
      <c r="I48" s="422" t="e">
        <f t="shared" si="24"/>
        <v>#DIV/0!</v>
      </c>
      <c r="J48" s="416"/>
      <c r="L48" s="868"/>
      <c r="N48" s="18" t="s">
        <v>152</v>
      </c>
      <c r="O48" s="11"/>
      <c r="P48" s="11"/>
      <c r="Q48" s="107"/>
      <c r="R48" s="107"/>
      <c r="S48" s="835">
        <v>0</v>
      </c>
      <c r="T48" s="836" t="e">
        <f>+((U39*U48)-(S39*S48))/T39</f>
        <v>#N/A</v>
      </c>
      <c r="U48" s="600">
        <f>+AI47-AI45</f>
        <v>-4.9500000000000002E-2</v>
      </c>
      <c r="AI48" s="755" t="s">
        <v>153</v>
      </c>
      <c r="AJ48" s="102"/>
      <c r="AK48" s="102"/>
      <c r="AL48" s="102"/>
      <c r="AM48" s="716"/>
      <c r="AN48" s="717"/>
      <c r="AP48" s="612"/>
    </row>
    <row r="49" spans="1:48" ht="12.75" hidden="1" customHeight="1" outlineLevel="1" x14ac:dyDescent="0.25">
      <c r="A49" s="995"/>
      <c r="C49" s="18" t="s">
        <v>154</v>
      </c>
      <c r="D49" s="413"/>
      <c r="E49" s="413"/>
      <c r="F49" s="962"/>
      <c r="G49" s="963"/>
      <c r="H49" s="488">
        <f>+G49*H47</f>
        <v>0</v>
      </c>
      <c r="I49" s="423" t="e">
        <f t="shared" si="24"/>
        <v>#DIV/0!</v>
      </c>
      <c r="J49" s="416"/>
      <c r="L49" s="868"/>
      <c r="N49" s="106" t="s">
        <v>155</v>
      </c>
      <c r="O49" s="102"/>
      <c r="P49" s="102"/>
      <c r="Q49" s="102"/>
      <c r="R49" s="102"/>
      <c r="S49" s="837">
        <v>0</v>
      </c>
      <c r="T49" s="837">
        <v>0</v>
      </c>
      <c r="U49" s="601">
        <f>+SUM(S49:T49)</f>
        <v>0</v>
      </c>
      <c r="AM49" s="599"/>
      <c r="AN49" s="599"/>
      <c r="AT49" s="196"/>
    </row>
    <row r="50" spans="1:48" ht="12.75" hidden="1" customHeight="1" outlineLevel="1" x14ac:dyDescent="0.25">
      <c r="A50" s="995"/>
      <c r="C50" s="16" t="s">
        <v>104</v>
      </c>
      <c r="D50" s="413"/>
      <c r="E50" s="413"/>
      <c r="F50" s="413"/>
      <c r="G50" s="413"/>
      <c r="H50" s="4">
        <f>+SUM(H48:H49)</f>
        <v>0</v>
      </c>
      <c r="I50" s="426" t="e">
        <f t="shared" si="24"/>
        <v>#DIV/0!</v>
      </c>
      <c r="J50" s="416"/>
      <c r="L50" s="868"/>
      <c r="AN50" s="93"/>
      <c r="AT50" s="196"/>
    </row>
    <row r="51" spans="1:48" ht="12.75" hidden="1" customHeight="1" outlineLevel="1" x14ac:dyDescent="0.25">
      <c r="A51" s="995"/>
      <c r="C51" s="138" t="s">
        <v>105</v>
      </c>
      <c r="D51" s="431"/>
      <c r="E51" s="431"/>
      <c r="F51" s="431"/>
      <c r="G51" s="431"/>
      <c r="H51" s="188">
        <f>H47-H50</f>
        <v>0</v>
      </c>
      <c r="I51" s="431" t="e">
        <f t="shared" si="24"/>
        <v>#DIV/0!</v>
      </c>
      <c r="J51" s="432"/>
      <c r="L51" s="868"/>
      <c r="N51" s="15" t="s">
        <v>156</v>
      </c>
      <c r="O51" s="83"/>
      <c r="P51" s="83"/>
      <c r="Q51" s="83"/>
      <c r="R51" s="83"/>
      <c r="S51" s="111" t="s">
        <v>121</v>
      </c>
      <c r="T51" s="111" t="s">
        <v>122</v>
      </c>
      <c r="U51" s="180"/>
      <c r="AI51" s="754"/>
      <c r="AN51" s="93"/>
      <c r="AT51" s="196"/>
    </row>
    <row r="52" spans="1:48" ht="12.75" hidden="1" customHeight="1" outlineLevel="1" x14ac:dyDescent="0.25">
      <c r="A52" s="995"/>
      <c r="C52" s="139" t="s">
        <v>157</v>
      </c>
      <c r="D52" s="141"/>
      <c r="E52" s="141"/>
      <c r="F52" s="141" t="s">
        <v>107</v>
      </c>
      <c r="G52" s="164"/>
      <c r="H52" s="142">
        <f>IFERROR(ROUND(H51/G52,-4),0)</f>
        <v>0</v>
      </c>
      <c r="I52" s="142" t="e">
        <f t="shared" si="24"/>
        <v>#DIV/0!</v>
      </c>
      <c r="J52" s="143"/>
      <c r="L52" s="868"/>
      <c r="N52" s="220" t="s">
        <v>158</v>
      </c>
      <c r="O52" s="234"/>
      <c r="P52" s="234"/>
      <c r="Q52" s="288"/>
      <c r="R52" s="288"/>
      <c r="S52" s="224" t="e">
        <f>S33/S74</f>
        <v>#DIV/0!</v>
      </c>
      <c r="T52" s="224" t="e">
        <f>S33/S79</f>
        <v>#N/A</v>
      </c>
      <c r="U52" s="145"/>
      <c r="Z52" s="93"/>
      <c r="AH52" s="1445"/>
      <c r="AI52" s="754"/>
      <c r="AM52" s="365"/>
      <c r="AN52" s="365"/>
      <c r="AO52" s="365"/>
      <c r="AP52" s="365"/>
    </row>
    <row r="53" spans="1:48" ht="12.75" hidden="1" customHeight="1" outlineLevel="1" x14ac:dyDescent="0.25">
      <c r="A53" s="995"/>
      <c r="C53" s="78" t="s">
        <v>159</v>
      </c>
      <c r="D53" s="413"/>
      <c r="E53" s="413"/>
      <c r="F53" s="413"/>
      <c r="G53" s="413"/>
      <c r="H53" s="93">
        <f>+H33+H51</f>
        <v>0</v>
      </c>
      <c r="I53" s="948"/>
      <c r="J53" s="413"/>
      <c r="L53" s="868"/>
      <c r="N53" s="18" t="s">
        <v>160</v>
      </c>
      <c r="O53" s="11"/>
      <c r="P53" s="11"/>
      <c r="Q53" s="107"/>
      <c r="R53" s="107"/>
      <c r="S53" s="171" t="e">
        <f>S74/S36</f>
        <v>#DIV/0!</v>
      </c>
      <c r="T53" s="171" t="e">
        <f>S79/S36</f>
        <v>#N/A</v>
      </c>
      <c r="U53" s="105"/>
      <c r="Z53" s="93"/>
      <c r="AH53" s="613"/>
      <c r="AI53" s="365"/>
      <c r="AJ53" s="365"/>
      <c r="AL53" s="365"/>
      <c r="AM53" s="365"/>
    </row>
    <row r="54" spans="1:48" ht="12.75" hidden="1" customHeight="1" outlineLevel="1" x14ac:dyDescent="0.25">
      <c r="A54" s="995"/>
      <c r="C54" s="139" t="s">
        <v>161</v>
      </c>
      <c r="D54" s="141"/>
      <c r="E54" s="141"/>
      <c r="F54" s="141" t="s">
        <v>162</v>
      </c>
      <c r="G54" s="433" t="e">
        <f>H53/H54</f>
        <v>#DIV/0!</v>
      </c>
      <c r="H54" s="142">
        <f>H52+H34</f>
        <v>0</v>
      </c>
      <c r="I54" s="167"/>
      <c r="J54" s="143"/>
      <c r="L54" s="868"/>
      <c r="N54" s="18" t="str">
        <f>+IF(F220=0,"LTPP","LTC")</f>
        <v>LTPP</v>
      </c>
      <c r="O54" s="11"/>
      <c r="P54" s="11"/>
      <c r="Q54" s="107"/>
      <c r="R54" s="107"/>
      <c r="S54" s="171" t="e">
        <f>S74/H56</f>
        <v>#VALUE!</v>
      </c>
      <c r="T54" s="171" t="e">
        <f>S79/H56</f>
        <v>#N/A</v>
      </c>
      <c r="U54" s="105"/>
      <c r="Z54" s="93"/>
      <c r="AH54" s="613"/>
      <c r="AI54" s="365"/>
      <c r="AJ54" s="365"/>
      <c r="AL54" s="365"/>
      <c r="AM54" s="365"/>
    </row>
    <row r="55" spans="1:48" ht="12.75" hidden="1" customHeight="1" outlineLevel="1" x14ac:dyDescent="0.25">
      <c r="A55" s="995"/>
      <c r="C55" s="27"/>
      <c r="D55" s="27"/>
      <c r="E55" s="27"/>
      <c r="F55" s="27"/>
      <c r="G55" s="27"/>
      <c r="H55" s="27"/>
      <c r="I55" s="157"/>
      <c r="J55" s="157"/>
      <c r="L55" s="868"/>
      <c r="N55" s="18" t="s">
        <v>163</v>
      </c>
      <c r="O55" s="11"/>
      <c r="P55" s="11"/>
      <c r="Q55" s="107"/>
      <c r="R55" s="107"/>
      <c r="S55" s="1543" t="e">
        <f>S33/$S$84</f>
        <v>#DIV/0!</v>
      </c>
      <c r="T55" s="1543" t="e">
        <f>S33/$T$84</f>
        <v>#N/A</v>
      </c>
      <c r="U55" s="105"/>
      <c r="Z55" s="93"/>
      <c r="AH55" s="613"/>
      <c r="AI55" s="365"/>
      <c r="AQ55" s="706"/>
      <c r="AR55" s="365"/>
      <c r="AS55" s="365"/>
      <c r="AT55" s="365"/>
      <c r="AU55" s="365"/>
    </row>
    <row r="56" spans="1:48" ht="12.75" hidden="1" customHeight="1" outlineLevel="1" x14ac:dyDescent="0.25">
      <c r="A56" s="995"/>
      <c r="C56" s="139" t="str">
        <f>+IF(F220=0,"Purchase Price","Development Cost")</f>
        <v>Purchase Price</v>
      </c>
      <c r="D56" s="140"/>
      <c r="E56" s="140"/>
      <c r="F56" s="141" t="str">
        <f>+IF(F220=0,"Ind Cap Rate:","Dev Yield:")</f>
        <v>Ind Cap Rate:</v>
      </c>
      <c r="G56" s="167" t="str">
        <f>IFERROR(H53/H56,"-")</f>
        <v>-</v>
      </c>
      <c r="H56" s="142" t="str">
        <f>+IF(F220=0,"",F220)</f>
        <v/>
      </c>
      <c r="I56" s="513" t="str">
        <f>IFERROR(H56/$F$15,"N/A")</f>
        <v>N/A</v>
      </c>
      <c r="J56" s="512" t="str">
        <f>IFERROR(I56/$G$15,"N/A")</f>
        <v>N/A</v>
      </c>
      <c r="L56" s="869"/>
      <c r="N56" s="1007" t="s">
        <v>164</v>
      </c>
      <c r="O56" s="103"/>
      <c r="P56" s="103"/>
      <c r="Q56" s="110"/>
      <c r="R56" s="110"/>
      <c r="S56" s="291" t="e">
        <f>+S39/$Q$15</f>
        <v>#DIV/0!</v>
      </c>
      <c r="T56" s="291" t="e">
        <f>+SUM(S39:T39)/Q15</f>
        <v>#N/A</v>
      </c>
      <c r="U56" s="269"/>
      <c r="Z56" s="93"/>
      <c r="AG56" s="745"/>
      <c r="AH56" s="613"/>
      <c r="AS56" s="365"/>
      <c r="AT56" s="365"/>
      <c r="AU56" s="365"/>
    </row>
    <row r="57" spans="1:48" ht="12.75" customHeight="1" collapsed="1" x14ac:dyDescent="0.25">
      <c r="A57" s="995"/>
      <c r="C57" s="27"/>
      <c r="D57" s="27"/>
      <c r="E57" s="27"/>
      <c r="F57" s="27"/>
      <c r="G57" s="27"/>
      <c r="H57" s="27"/>
      <c r="I57" s="27"/>
      <c r="J57" s="27"/>
      <c r="N57" s="11"/>
      <c r="O57" s="11"/>
      <c r="P57" s="11"/>
      <c r="Q57" s="107"/>
      <c r="R57" s="107"/>
      <c r="S57" s="12"/>
      <c r="T57" s="12"/>
      <c r="U57" s="146"/>
      <c r="Z57" s="93"/>
      <c r="AH57" s="613"/>
      <c r="AJ57" s="1457" t="s">
        <v>165</v>
      </c>
      <c r="AK57" s="1458" t="s">
        <v>165</v>
      </c>
      <c r="AL57" s="1458" t="s">
        <v>165</v>
      </c>
      <c r="AM57" s="1458" t="s">
        <v>166</v>
      </c>
      <c r="AN57" s="1459" t="s">
        <v>166</v>
      </c>
      <c r="AR57" s="1448"/>
      <c r="AS57" s="1448"/>
      <c r="AT57" s="1448"/>
      <c r="AU57" s="1448"/>
      <c r="AV57" s="1448"/>
    </row>
    <row r="58" spans="1:48" ht="12.75" customHeight="1" x14ac:dyDescent="0.25">
      <c r="A58" s="995"/>
      <c r="C58" s="182" t="s">
        <v>120</v>
      </c>
      <c r="D58" s="183"/>
      <c r="E58" s="183"/>
      <c r="F58" s="183"/>
      <c r="G58" s="111" t="s">
        <v>530</v>
      </c>
      <c r="H58" s="181"/>
      <c r="I58" s="183"/>
      <c r="J58" s="180"/>
      <c r="L58" s="870"/>
      <c r="N58" s="182" t="s">
        <v>168</v>
      </c>
      <c r="O58" s="183"/>
      <c r="P58" s="183"/>
      <c r="Q58" s="183"/>
      <c r="R58" s="183"/>
      <c r="S58" s="111" t="s">
        <v>121</v>
      </c>
      <c r="T58" s="111" t="s">
        <v>122</v>
      </c>
      <c r="U58" s="184"/>
      <c r="Z58" s="93"/>
      <c r="AH58" s="613"/>
      <c r="AI58" s="451" t="s">
        <v>12</v>
      </c>
      <c r="AJ58" s="1460">
        <v>50</v>
      </c>
      <c r="AK58" s="1461">
        <v>70</v>
      </c>
      <c r="AL58" s="1462">
        <v>100</v>
      </c>
      <c r="AM58" s="1521"/>
      <c r="AN58" s="1522"/>
      <c r="AQ58" s="443"/>
      <c r="AR58" s="1449"/>
      <c r="AS58" s="1449"/>
      <c r="AT58" s="1449"/>
      <c r="AU58" s="1450"/>
      <c r="AV58" s="1450"/>
    </row>
    <row r="59" spans="1:48" ht="12.75" customHeight="1" outlineLevel="1" x14ac:dyDescent="0.25">
      <c r="A59" s="995"/>
      <c r="C59" s="210" t="s">
        <v>167</v>
      </c>
      <c r="D59" s="219"/>
      <c r="E59" s="219"/>
      <c r="F59" s="219"/>
      <c r="G59" s="219"/>
      <c r="H59" s="219"/>
      <c r="I59" s="434">
        <f>+IF(I68=5,$I$226,$J$226)</f>
        <v>0</v>
      </c>
      <c r="J59" s="221"/>
      <c r="L59" s="991"/>
      <c r="Z59" s="93"/>
      <c r="AH59" s="613"/>
      <c r="AI59" s="452" t="s">
        <v>167</v>
      </c>
      <c r="AJ59" s="1427" t="e">
        <f>ROUNDDOWN(MIN(PV((1+AJ72/2)^(1/6)-1,AJ71*12,-$H$33/12/AJ73),IF(AJ57="MLI Market",0.85*$H$34,IF(AND($F$207="New Construction",$F$220&lt;&gt;0),0.95*$F$220, IF(AJ58&lt;=50, 0.85*$H$34, 0.95*$H$34)))),-4)</f>
        <v>#N/A</v>
      </c>
      <c r="AK59" s="445" t="e">
        <f>ROUNDDOWN(MIN(PV((1+AK72/2)^(1/6)-1,AK71*12,-$H$33/12/AK73),IF(AK57="MLI Market",0.85*$H$34,IF(AND($F$207="New Construction",$F$220&lt;&gt;0),0.95*$F$220, IF(AK58&lt;=50, 0.85*$H$34, 0.95*$H$34)))),-4)</f>
        <v>#N/A</v>
      </c>
      <c r="AL59" s="447" t="e">
        <f>ROUNDDOWN(MIN(PV((1+AL72/2)^(1/6)-1,AL71*12,-$H$33/12/AL73),IF(AL57="MLI Market",0.85*$H$34,IF(AND($F$207="New Construction",$F$220&lt;&gt;0),0.95*$F$220, IF(AL58&lt;=50, 0.85*$H$34, 0.95*$H$34)))),-4)</f>
        <v>#N/A</v>
      </c>
      <c r="AM59" s="445" t="e">
        <f>ROUNDDOWN(MIN(PV((1+AM72/2)^(1/6)-1,AM71*12,-$H$33/12/AM73),IF(AM57="MLI Market",0.85*$H$34,IF(AND($F$207="New Construction",$F$220&lt;&gt;0),0.95*$F$220, IF(AM58&lt;=50, 0.85*$H$34, 0.95*$H$34)))),-4)</f>
        <v>#N/A</v>
      </c>
      <c r="AN59" s="447" t="e">
        <f>ROUNDDOWN(MIN(PV((1+AN72/2)^(1/6)-1,AN71*12,-$H$33/12/AN73),IF(AN57="MLI Market",0.85*$H$34,IF(AND($F$207="New Construction",$F$220&lt;&gt;0),0.95*$F$220, IF(AN58&lt;=50, 0.85*$H$34, 0.95*$H$34)))),-4)</f>
        <v>#N/A</v>
      </c>
      <c r="AQ59" s="443"/>
      <c r="AR59" s="446"/>
      <c r="AS59" s="446"/>
      <c r="AT59" s="446"/>
      <c r="AU59" s="446"/>
      <c r="AV59" s="446"/>
    </row>
    <row r="60" spans="1:48" ht="12.75" customHeight="1" outlineLevel="1" x14ac:dyDescent="0.25">
      <c r="A60" s="995"/>
      <c r="C60" s="210" t="s">
        <v>169</v>
      </c>
      <c r="D60" s="102"/>
      <c r="E60" s="102"/>
      <c r="F60" s="102"/>
      <c r="G60" s="102"/>
      <c r="H60" s="102"/>
      <c r="I60" s="430">
        <f>+IF(I68=5,$I$231,$J$231)</f>
        <v>0</v>
      </c>
      <c r="J60" s="216"/>
      <c r="L60" s="868"/>
      <c r="Z60" s="93"/>
      <c r="AH60" s="613"/>
      <c r="AI60" s="452" t="s">
        <v>169</v>
      </c>
      <c r="AJ60" s="1427">
        <f>ROUNDDOWN(IFERROR(MIN(PV((1+AJ72/2)^(1/6)-1,AJ71*12,-$H$51/12/AJ74),IF(AND($F$200="Construction Financing",$F$207="New Construction"),30%*$H$54,0.75*$H$52),IF($I$71="",9999999999,IF($H$52=0,9999999999,IF($F$220=0,9999999999,IF(OR($F$200="Construction Financing",AND($F$200="All Other Loan Purposes",$F$207="New Construction")),0.75*$F$220*$I$124,999999999))))),0),-4)</f>
        <v>0</v>
      </c>
      <c r="AK60" s="445">
        <f>ROUNDDOWN(IFERROR(MIN(PV((1+AK72/2)^(1/6)-1,AK71*12,-$H$51/12/AK74),IF(AND($F$200="Construction Financing",$F$207="New Construction"),30%*$H$54,0.75*$H$52),IF($I$71="",9999999999,IF($H$52=0,9999999999,IF($F$220=0,9999999999,IF(OR($F$200="Construction Financing",AND($F$200="All Other Loan Purposes",$F$207="New Construction")),0.75*$F$220*$I$124,999999999))))),0),-4)</f>
        <v>0</v>
      </c>
      <c r="AL60" s="447">
        <f>ROUNDDOWN(IFERROR(MIN(PV((1+AL72/2)^(1/6)-1,AL71*12,-$H$51/12/AL74),IF(AND($F$200="Construction Financing",$F$207="New Construction"),30%*$H$54,0.75*$H$52),IF($I$71="",9999999999,IF($H$52=0,9999999999,IF($F$220=0,9999999999,IF(OR($F$200="Construction Financing",AND($F$200="All Other Loan Purposes",$F$207="New Construction")),0.75*$F$220*$I$124,999999999))))),0),-4)</f>
        <v>0</v>
      </c>
      <c r="AM60" s="445">
        <f>ROUNDDOWN(IFERROR(MIN(PV((1+AM72/2)^(1/6)-1,AM71*12,-$H$51/12/AM74),IF(AND($F$200="Construction Financing",$F$207="New Construction"),30%*$H$54,0.75*$H$52),IF($I$71="",9999999999,IF($H$52=0,9999999999,IF($F$220=0,9999999999,IF(OR($F$200="Construction Financing",AND($F$200="All Other Loan Purposes",$F$207="New Construction")),0.75*$F$220*$I$124,999999999))))),0),-4)</f>
        <v>0</v>
      </c>
      <c r="AN60" s="447">
        <f>ROUNDDOWN(IFERROR(MIN(PV((1+AN72/2)^(1/6)-1,AN71*12,-$H$51/12/AN74),IF(AND($F$200="Construction Financing",$F$207="New Construction"),30%*$H$54,0.75*$H$52),IF($I$71="",9999999999,IF($H$52=0,9999999999,IF($F$220=0,9999999999,IF(OR($F$200="Construction Financing",AND($F$200="All Other Loan Purposes",$F$207="New Construction")),0.75*$F$220*$I$124,999999999))))),0),-4)</f>
        <v>0</v>
      </c>
      <c r="AQ60" s="443"/>
      <c r="AR60" s="446"/>
      <c r="AS60" s="446"/>
      <c r="AT60" s="446"/>
      <c r="AU60" s="446"/>
      <c r="AV60" s="446"/>
    </row>
    <row r="61" spans="1:48" ht="12.75" customHeight="1" x14ac:dyDescent="0.25">
      <c r="A61" s="995"/>
      <c r="C61" s="220" t="s">
        <v>170</v>
      </c>
      <c r="D61" s="219"/>
      <c r="E61" s="219"/>
      <c r="F61" s="219"/>
      <c r="G61" s="219"/>
      <c r="H61" s="219"/>
      <c r="I61" s="205">
        <f>+SUM(I59:I60)</f>
        <v>0</v>
      </c>
      <c r="J61" s="221"/>
      <c r="L61" s="868"/>
      <c r="N61" s="26" t="s">
        <v>88</v>
      </c>
      <c r="O61" s="123"/>
      <c r="P61" s="123"/>
      <c r="Q61" s="123"/>
      <c r="R61" s="123"/>
      <c r="S61" s="171" t="e">
        <f>1-(R34*S74+S32)/S21</f>
        <v>#DIV/0!</v>
      </c>
      <c r="T61" s="171" t="e">
        <f>1-(R34*S79+S32)/S21</f>
        <v>#N/A</v>
      </c>
      <c r="U61" s="105"/>
      <c r="Z61" s="93"/>
      <c r="AH61" s="613"/>
      <c r="AI61" s="448" t="s">
        <v>172</v>
      </c>
      <c r="AJ61" s="1428" t="e">
        <f>+IFERROR(SUM(AJ59:AJ60),AJ59)</f>
        <v>#N/A</v>
      </c>
      <c r="AK61" s="449" t="e">
        <f>+IFERROR(SUM(AK59:AK60),AK59)</f>
        <v>#N/A</v>
      </c>
      <c r="AL61" s="450" t="e">
        <f>+IFERROR(SUM(AL59:AL60),AL59)</f>
        <v>#N/A</v>
      </c>
      <c r="AM61" s="449" t="e">
        <f>+IFERROR(SUM(AM59:AM60),AM59)</f>
        <v>#N/A</v>
      </c>
      <c r="AN61" s="450" t="e">
        <f>+IFERROR(SUM(AN59:AN60),AN59)</f>
        <v>#N/A</v>
      </c>
      <c r="AQ61" s="964"/>
      <c r="AR61" s="1451"/>
      <c r="AS61" s="1451"/>
      <c r="AT61" s="1451"/>
      <c r="AU61" s="1451"/>
      <c r="AV61" s="1451"/>
    </row>
    <row r="62" spans="1:48" ht="12.75" customHeight="1" x14ac:dyDescent="0.25">
      <c r="A62" s="995"/>
      <c r="C62" s="18" t="s">
        <v>176</v>
      </c>
      <c r="I62" s="33" t="e">
        <f>+I250*0
+IF(F208="Effective July 14, 2025", I250,I272)</f>
        <v>#N/A</v>
      </c>
      <c r="J62" s="215"/>
      <c r="L62" s="868"/>
      <c r="N62" s="26" t="s">
        <v>171</v>
      </c>
      <c r="O62" s="123"/>
      <c r="P62" s="123"/>
      <c r="Q62" s="123"/>
      <c r="R62" s="123"/>
      <c r="S62" s="12" t="e">
        <f>((S74*R34+S32)/(1-R22)-SUM(S16:S18))/Q15/12</f>
        <v>#DIV/0!</v>
      </c>
      <c r="T62" s="12" t="e">
        <f>((S79*R34+S32)/(1-R22)-SUM(S16:S18))/Q15/12</f>
        <v>#N/A</v>
      </c>
      <c r="U62" s="149"/>
      <c r="Z62" s="93"/>
      <c r="AH62" s="613"/>
      <c r="AI62" s="1467" t="s">
        <v>796</v>
      </c>
      <c r="AJ62" s="1468">
        <v>0.1</v>
      </c>
      <c r="AK62" s="1463">
        <v>0.2</v>
      </c>
      <c r="AL62" s="1469">
        <v>0.3</v>
      </c>
      <c r="AM62" s="1523"/>
      <c r="AN62" s="1524"/>
      <c r="AQ62" s="443"/>
      <c r="AR62" s="359"/>
      <c r="AS62" s="359"/>
      <c r="AT62" s="359"/>
      <c r="AU62" s="359"/>
      <c r="AV62" s="359"/>
    </row>
    <row r="63" spans="1:48" ht="12.75" customHeight="1" x14ac:dyDescent="0.25">
      <c r="A63" s="995"/>
      <c r="C63" s="210" t="s">
        <v>173</v>
      </c>
      <c r="I63" s="160">
        <f>+I257</f>
        <v>0</v>
      </c>
      <c r="J63" s="215"/>
      <c r="L63" s="868"/>
      <c r="N63" s="127" t="s">
        <v>174</v>
      </c>
      <c r="O63" s="129"/>
      <c r="P63" s="129"/>
      <c r="Q63" s="129"/>
      <c r="R63" s="129"/>
      <c r="S63" s="291" t="e">
        <f>S62/$R$15</f>
        <v>#DIV/0!</v>
      </c>
      <c r="T63" s="291" t="e">
        <f>T62/$R$15</f>
        <v>#N/A</v>
      </c>
      <c r="U63" s="150"/>
      <c r="Z63" s="93"/>
      <c r="AH63" s="613"/>
      <c r="AI63" s="1487" t="s">
        <v>801</v>
      </c>
      <c r="AJ63" s="1489" t="e">
        <f ca="1">(INDEX('Premium&amp;DSCBackEndNEW'!$L$6:$L$68,MATCH("X",'Premium&amp;DSCBackEndNEW'!$G$6:$G$68,0))
+IF($F$200="Construction Financing",0,IF($F$205="Yes",0,0.0025))
+IF(AJ71&lt;25,0,ROUNDUP((AJ71-25),1)/5*0.0025)
+IF($I$155=0,(AJ60*1%)/AJ61,(AJ60*1%)/SUM($H$158,$I$155))
+IF($I$155=0,($H$158*0.5%)/AJ61,($H$158*0.5%)/SUM($H$158,$I$155)))*(1-AJ62)
+$AJ$246/AJ61</f>
        <v>#N/A</v>
      </c>
      <c r="AK63" s="1490" t="e">
        <f ca="1">(INDEX('Premium&amp;DSCBackEndNEW'!$L$6:$L$68,MATCH("X",'Premium&amp;DSCBackEndNEW'!$H$6:$H$68,0))
+IF($F$200="Construction Financing",0,IF($F$205="Yes",0,0.0025))
+IF(AK71&lt;25,0,ROUNDUP((AK71-25),1)/5*0.0025)
+IF($I$155=0,(AK60*1%)/AK61,(AK60*1%)/SUM($H$158,$I$155))
+IF($I$155=0,($H$158*0.5%)/AK61,($H$158*0.5%)/SUM($H$158,$I$155)))*(1-AK62)
+$AJ$246/AK61</f>
        <v>#N/A</v>
      </c>
      <c r="AL63" s="1491" t="e">
        <f ca="1">(INDEX('Premium&amp;DSCBackEndNEW'!$L$6:$L$68,MATCH("X",'Premium&amp;DSCBackEndNEW'!$I$6:$I$68,0))
+IF($F$200="Construction Financing",0,IF($F$205="Yes",0,0.0025))
+IF(AL71&lt;25,0,ROUNDUP((AL71-25),1)/5*0.0025)
+IF($I$155=0,(AL60*1%)/AL61,(AL60*1%)/SUM($H$158,$I$155))
+IF($I$155=0,($H$158*0.5%)/AL61,($H$158*0.5%)/SUM($H$158,$I$155)))*(1-AL62)
+$AJ$246/AL61</f>
        <v>#N/A</v>
      </c>
      <c r="AM63" s="1490" t="e">
        <f ca="1">INDEX('Premium&amp;DSCBackEndNEW'!$L$6:$L$68,MATCH("X",'Premium&amp;DSCBackEndNEW'!$J$6:$J$68,0))+IF($F$200="Construction Financing",0,IF($F$205="Yes",0,0.0025))+IF(AM71&lt;25,0,ROUNDUP((AM71-25),1)/5*0.0025)+IF($I$155=0,(AM60*1%)/AM61,(AM60*1%)/SUM($H$158,$I$155))+IF($I$155=0,($H$158*0.5%)/AM61,($H$158*0.5%)/SUM($H$158,$I$155))+$AJ$246/AM61</f>
        <v>#N/A</v>
      </c>
      <c r="AN63" s="1491" t="e">
        <f ca="1">INDEX('Premium&amp;DSCBackEndNEW'!$L$6:$L$68,MATCH("X",'Premium&amp;DSCBackEndNEW'!$K$6:$K$68,0))+IF($F$200="Construction Financing",0,IF($F$205="Yes",0,0.0025))+IF(AN71&lt;25,0,ROUNDUP((AN71-25),1)/5*0.0025)+IF($I$155=0,(AN60*1%)/AN61,(AN60*1%)/SUM($H$158,$I$155))+IF($I$155=0,($H$158*0.5%)/AN61,($H$158*0.5%)/SUM($H$158,$I$155))+$AJ$246/AN61</f>
        <v>#N/A</v>
      </c>
      <c r="AQ63" s="443"/>
      <c r="AR63" s="446"/>
      <c r="AS63" s="446"/>
      <c r="AT63" s="446"/>
      <c r="AU63" s="446"/>
      <c r="AV63" s="446"/>
    </row>
    <row r="64" spans="1:48" ht="12.75" customHeight="1" x14ac:dyDescent="0.25">
      <c r="A64" s="995"/>
      <c r="C64" s="305" t="s">
        <v>177</v>
      </c>
      <c r="D64" s="154"/>
      <c r="E64" s="154"/>
      <c r="F64" s="154"/>
      <c r="G64" s="154"/>
      <c r="H64" s="310"/>
      <c r="I64" s="310" t="e">
        <f>+SUM(I61:I63)</f>
        <v>#N/A</v>
      </c>
      <c r="J64" s="222"/>
      <c r="L64" s="1525" t="str">
        <f>IFERROR(+IF(+Economics!H54-Economics!I64&lt;250000,"&lt;Discuss with Antoni and Brian if below $250k",""),"")</f>
        <v/>
      </c>
      <c r="Z64" s="93"/>
      <c r="AH64" s="613"/>
      <c r="AI64" s="452" t="s">
        <v>175</v>
      </c>
      <c r="AJ64" s="1427">
        <f>$I$257</f>
        <v>0</v>
      </c>
      <c r="AK64" s="445">
        <f>$I$257</f>
        <v>0</v>
      </c>
      <c r="AL64" s="465">
        <f>$I$257</f>
        <v>0</v>
      </c>
      <c r="AM64" s="445">
        <f>$I$257</f>
        <v>0</v>
      </c>
      <c r="AN64" s="447">
        <f>$I$257</f>
        <v>0</v>
      </c>
      <c r="AQ64" s="443"/>
      <c r="AR64" s="446"/>
      <c r="AS64" s="446"/>
      <c r="AT64" s="446"/>
      <c r="AU64" s="446"/>
      <c r="AV64" s="446"/>
    </row>
    <row r="65" spans="1:48" ht="12.75" hidden="1" customHeight="1" outlineLevel="1" x14ac:dyDescent="0.25">
      <c r="A65" s="995"/>
      <c r="B65" s="613" t="s">
        <v>179</v>
      </c>
      <c r="C65" s="874" t="s">
        <v>18</v>
      </c>
      <c r="E65" s="964"/>
      <c r="F65" s="964"/>
      <c r="G65" s="964"/>
      <c r="H65" s="964"/>
      <c r="I65" s="647"/>
      <c r="J65" s="616"/>
      <c r="L65" s="868"/>
      <c r="Z65" s="93"/>
      <c r="AH65" s="613"/>
      <c r="AI65" s="455"/>
      <c r="AJ65" s="455"/>
      <c r="AL65" s="215"/>
      <c r="AN65" s="215"/>
      <c r="AQ65" s="443"/>
      <c r="AR65" s="446"/>
      <c r="AS65" s="446"/>
      <c r="AT65" s="446"/>
      <c r="AU65" s="446"/>
      <c r="AV65" s="446"/>
    </row>
    <row r="66" spans="1:48" ht="12.75" hidden="1" customHeight="1" outlineLevel="1" x14ac:dyDescent="0.25">
      <c r="A66" s="995"/>
      <c r="B66" s="613"/>
      <c r="C66" s="874" t="s">
        <v>52</v>
      </c>
      <c r="E66" s="964"/>
      <c r="F66" s="964"/>
      <c r="G66" s="964"/>
      <c r="H66" s="964"/>
      <c r="I66" s="254"/>
      <c r="J66" s="487" t="e">
        <f>I66*I64</f>
        <v>#N/A</v>
      </c>
      <c r="L66" s="868"/>
      <c r="N66" s="608"/>
      <c r="S66" s="171"/>
      <c r="T66" s="171"/>
      <c r="Z66" s="93"/>
      <c r="AH66" s="613"/>
      <c r="AI66" s="452"/>
      <c r="AJ66" s="1430"/>
      <c r="AK66" s="446"/>
      <c r="AL66" s="465"/>
      <c r="AM66" s="446"/>
      <c r="AN66" s="465"/>
      <c r="AQ66" s="443"/>
      <c r="AR66" s="446"/>
      <c r="AS66" s="446"/>
      <c r="AT66" s="446"/>
      <c r="AU66" s="446"/>
      <c r="AV66" s="446"/>
    </row>
    <row r="67" spans="1:48" ht="12.75" hidden="1" customHeight="1" outlineLevel="1" x14ac:dyDescent="0.25">
      <c r="A67" s="995"/>
      <c r="B67" s="613"/>
      <c r="C67" s="875" t="s">
        <v>114</v>
      </c>
      <c r="D67" s="102"/>
      <c r="E67" s="615"/>
      <c r="F67" s="615"/>
      <c r="G67" s="615"/>
      <c r="H67" s="618" t="str">
        <f>+"Prime Rate ("&amp;TEXT(AI45,"0.000%")&amp;") - "&amp;TEXT(AI45-I67,"0.000%")</f>
        <v>Prime Rate (4.950%) - 4.950%</v>
      </c>
      <c r="I67" s="642"/>
      <c r="J67" s="617"/>
      <c r="L67" s="868"/>
      <c r="N67" s="608"/>
      <c r="S67" s="171"/>
      <c r="T67" s="171"/>
      <c r="Z67" s="93"/>
      <c r="AH67" s="613"/>
      <c r="AI67" s="452"/>
      <c r="AJ67" s="1430"/>
      <c r="AK67" s="446"/>
      <c r="AL67" s="465"/>
      <c r="AM67" s="446"/>
      <c r="AN67" s="465"/>
      <c r="AQ67" s="443"/>
      <c r="AR67" s="446"/>
      <c r="AS67" s="446"/>
      <c r="AT67" s="446"/>
      <c r="AU67" s="446"/>
      <c r="AV67" s="446"/>
    </row>
    <row r="68" spans="1:48" ht="12.75" customHeight="1" collapsed="1" x14ac:dyDescent="0.25">
      <c r="A68" s="995"/>
      <c r="B68" s="613" t="s">
        <v>18</v>
      </c>
      <c r="C68" s="18" t="s">
        <v>18</v>
      </c>
      <c r="I68" s="491"/>
      <c r="J68" s="215"/>
      <c r="L68" s="868"/>
      <c r="N68" s="15" t="str">
        <f xml:space="preserve"> _xlfn.CONCAT("Leverage (@",S99*100,"%/",T99*100,"%)")</f>
        <v>Leverage (@7.5%/7.75%)</v>
      </c>
      <c r="O68" s="83"/>
      <c r="P68" s="83"/>
      <c r="Q68" s="83"/>
      <c r="R68" s="83"/>
      <c r="S68" s="111" t="s">
        <v>121</v>
      </c>
      <c r="T68" s="111" t="s">
        <v>122</v>
      </c>
      <c r="U68" s="180"/>
      <c r="Z68" s="93"/>
      <c r="AH68" s="613"/>
      <c r="AI68" s="452" t="s">
        <v>178</v>
      </c>
      <c r="AJ68" s="1430" t="e">
        <f ca="1">AJ63*AJ61</f>
        <v>#N/A</v>
      </c>
      <c r="AK68" s="446" t="e">
        <f ca="1">AK63*AK61</f>
        <v>#N/A</v>
      </c>
      <c r="AL68" s="465" t="e">
        <f ca="1">AL63*AL61</f>
        <v>#N/A</v>
      </c>
      <c r="AM68" s="446" t="e">
        <f ca="1">AM63*AM61</f>
        <v>#N/A</v>
      </c>
      <c r="AN68" s="465" t="e">
        <f ca="1">AN63*AN61</f>
        <v>#N/A</v>
      </c>
      <c r="AQ68" s="964"/>
      <c r="AR68" s="1451"/>
      <c r="AS68" s="1451"/>
      <c r="AT68" s="1451"/>
      <c r="AU68" s="1451"/>
      <c r="AV68" s="1451"/>
    </row>
    <row r="69" spans="1:48" ht="12.75" customHeight="1" x14ac:dyDescent="0.25">
      <c r="A69" s="995"/>
      <c r="C69" s="18" t="s">
        <v>19</v>
      </c>
      <c r="G69" s="1009">
        <f>IF(AND(F204="MLI Market",F207="Existing Property"),40,
IF(AND(F204="MLI Market",F207="New Construction"),50,
IF(AND(F204="MLI Select",SUM(F217:F219)&lt;70),40,
IF(AND(F204="MLI Select",SUM(F217:F219)&lt;100),45,
50))))</f>
        <v>50</v>
      </c>
      <c r="I69" s="492"/>
      <c r="J69" s="215"/>
      <c r="L69" s="868"/>
      <c r="N69" s="18" t="s">
        <v>180</v>
      </c>
      <c r="S69" s="171" t="e">
        <f>(1+RATE(S44,S47/12*S74,-(S74-(S46*S74)),S74))^12-1</f>
        <v>#NUM!</v>
      </c>
      <c r="T69" s="171" t="e">
        <f>(1+RATE(T44,T47/12*S75,-(S75-(T46*S75)),S75))^12-1</f>
        <v>#N/A</v>
      </c>
      <c r="U69" s="215"/>
      <c r="Z69" s="93"/>
      <c r="AH69" s="613"/>
      <c r="AI69" s="448" t="s">
        <v>181</v>
      </c>
      <c r="AJ69" s="1428" t="e">
        <f ca="1">AJ68+AJ64+AJ61</f>
        <v>#N/A</v>
      </c>
      <c r="AK69" s="449" t="e">
        <f ca="1">AK68+AK64+AK61</f>
        <v>#N/A</v>
      </c>
      <c r="AL69" s="450" t="e">
        <f ca="1">AL68+AL64+AL61</f>
        <v>#N/A</v>
      </c>
      <c r="AM69" s="449" t="e">
        <f ca="1">AM68+AM64+AM61</f>
        <v>#N/A</v>
      </c>
      <c r="AN69" s="450" t="e">
        <f ca="1">AN68+AN64+AN61</f>
        <v>#N/A</v>
      </c>
      <c r="AQ69" s="443"/>
      <c r="AR69" s="361"/>
      <c r="AS69" s="361"/>
      <c r="AT69" s="361"/>
      <c r="AU69" s="366"/>
      <c r="AV69" s="366"/>
    </row>
    <row r="70" spans="1:48" ht="12.75" customHeight="1" x14ac:dyDescent="0.25">
      <c r="A70" s="995"/>
      <c r="C70" s="18" t="s">
        <v>52</v>
      </c>
      <c r="D70" s="722"/>
      <c r="I70" s="493"/>
      <c r="J70" s="487" t="e">
        <f>I70*I64</f>
        <v>#N/A</v>
      </c>
      <c r="L70" s="868"/>
      <c r="N70" s="18" t="s">
        <v>182</v>
      </c>
      <c r="S70" s="171" t="e">
        <f>(1+RATE(S44,(S74*S47/12)-(50%*S74*S99/12),-((1-50%)*S74-(S46*S74)),S74-((S74*50%))))^12-1</f>
        <v>#NUM!</v>
      </c>
      <c r="T70" s="171" t="e">
        <f>(1+RATE(T44,(S75*T47/12)-(50%*S75*T99/12),-((1-50%)*S75-(T46*S75)),S75-((S75*50%))))^12-1</f>
        <v>#N/A</v>
      </c>
      <c r="U70" s="215"/>
      <c r="Z70" s="93"/>
      <c r="AH70" s="613"/>
      <c r="AI70" s="452" t="s">
        <v>18</v>
      </c>
      <c r="AJ70" s="1456">
        <v>5</v>
      </c>
      <c r="AK70" s="1464">
        <v>5</v>
      </c>
      <c r="AL70" s="1453">
        <v>5</v>
      </c>
      <c r="AM70" s="1464">
        <v>5</v>
      </c>
      <c r="AN70" s="1453">
        <v>10</v>
      </c>
      <c r="AQ70" s="443"/>
      <c r="AR70" s="366"/>
      <c r="AS70" s="366"/>
      <c r="AT70" s="366"/>
      <c r="AU70" s="366"/>
      <c r="AV70" s="366"/>
    </row>
    <row r="71" spans="1:48" ht="12.75" customHeight="1" x14ac:dyDescent="0.25">
      <c r="A71" s="995"/>
      <c r="C71" s="18" t="s">
        <v>184</v>
      </c>
      <c r="I71" s="254"/>
      <c r="J71" s="487"/>
      <c r="L71" s="868"/>
      <c r="N71" s="106" t="s">
        <v>183</v>
      </c>
      <c r="O71" s="103"/>
      <c r="P71" s="103"/>
      <c r="Q71" s="110"/>
      <c r="R71" s="110"/>
      <c r="S71" s="287" t="e">
        <f>(1+RATE(S44,(S74*S47/12)-(60%*S74*S99/12),-((1-60%)*S74-(S46*S74)),S74-((S74*60%))))^12-1</f>
        <v>#NUM!</v>
      </c>
      <c r="T71" s="287" t="e">
        <f>(1+RATE(T44,(S75*T47/12)-(60%*S75*T99/12),-((1-60%)*S75-(T46*S75)),S75-((S75*60%))))^12-1</f>
        <v>#N/A</v>
      </c>
      <c r="U71" s="76"/>
      <c r="Z71" s="93"/>
      <c r="AH71" s="613"/>
      <c r="AI71" s="452" t="s">
        <v>19</v>
      </c>
      <c r="AJ71" s="1454">
        <v>40</v>
      </c>
      <c r="AK71" s="1465">
        <v>45</v>
      </c>
      <c r="AL71" s="1455">
        <v>50</v>
      </c>
      <c r="AM71" s="1465">
        <v>30</v>
      </c>
      <c r="AN71" s="1455">
        <v>30</v>
      </c>
      <c r="AQ71" s="443"/>
      <c r="AR71" s="359"/>
      <c r="AS71" s="359"/>
      <c r="AT71" s="359"/>
      <c r="AU71" s="359"/>
      <c r="AV71" s="359"/>
    </row>
    <row r="72" spans="1:48" ht="12.75" customHeight="1" x14ac:dyDescent="0.25">
      <c r="A72" s="995"/>
      <c r="C72" s="18" t="s">
        <v>186</v>
      </c>
      <c r="H72" s="196" t="str">
        <f>IFERROR(CONCATENATE("CMB (",TEXT($I$236,"0.000%"),") + ",TEXT($I$237,"0.000%")),"ERROR")</f>
        <v>CMB (3.310%) + 0.000%</v>
      </c>
      <c r="I72" s="501">
        <f>+$I$239</f>
        <v>3.3099999999999997E-2</v>
      </c>
      <c r="J72" s="502" t="e">
        <f>+'Buydown Calc'!$C$6</f>
        <v>#N/A</v>
      </c>
      <c r="L72" s="992"/>
      <c r="Z72" s="93"/>
      <c r="AH72" s="613"/>
      <c r="AI72" s="452" t="s">
        <v>185</v>
      </c>
      <c r="AJ72" s="1429">
        <f>+$I$71</f>
        <v>0</v>
      </c>
      <c r="AK72" s="359">
        <f>+$I$71</f>
        <v>0</v>
      </c>
      <c r="AL72" s="360">
        <f>+$I$71</f>
        <v>0</v>
      </c>
      <c r="AM72" s="359">
        <f>+$I$71</f>
        <v>0</v>
      </c>
      <c r="AN72" s="360">
        <f>+$I$71</f>
        <v>0</v>
      </c>
      <c r="AQ72" s="443"/>
      <c r="AR72" s="363"/>
      <c r="AS72" s="363"/>
      <c r="AT72" s="363"/>
      <c r="AU72" s="363"/>
      <c r="AV72" s="363"/>
    </row>
    <row r="73" spans="1:48" ht="12.75" customHeight="1" x14ac:dyDescent="0.25">
      <c r="A73" s="995"/>
      <c r="C73" s="106" t="s">
        <v>189</v>
      </c>
      <c r="D73" s="102"/>
      <c r="E73" s="102"/>
      <c r="F73" s="102"/>
      <c r="G73" s="102"/>
      <c r="H73" s="618" t="str">
        <f>IFERROR(CONCATENATE("CMB (",TEXT($J$236,"0.000%"),") + ",TEXT($J$237,"0.000%")),"ERROR")</f>
        <v>CMB (3.740%) + 0.000%</v>
      </c>
      <c r="I73" s="619">
        <f>+$J$239</f>
        <v>3.7400000000000003E-2</v>
      </c>
      <c r="J73" s="620" t="e">
        <f>+'Buydown Calc'!$C$7</f>
        <v>#N/A</v>
      </c>
      <c r="L73" s="869"/>
      <c r="N73" s="179" t="s">
        <v>187</v>
      </c>
      <c r="O73" s="83"/>
      <c r="P73" s="83"/>
      <c r="Q73" s="83"/>
      <c r="R73" s="83"/>
      <c r="S73" s="111" t="s">
        <v>63</v>
      </c>
      <c r="T73" s="111" t="s">
        <v>64</v>
      </c>
      <c r="U73" s="112"/>
      <c r="Z73" s="93"/>
      <c r="AH73" s="613"/>
      <c r="AI73" s="452" t="s">
        <v>188</v>
      </c>
      <c r="AJ73" s="1528" t="e">
        <f>IF(AJ70=5,VLOOKUP($F$203&amp;AJ$57&amp;$F$211,'Premium&amp;DSCBackEndNEW'!$B$74:$I$84,5,0),IF(AJ70=10,VLOOKUP($F$203&amp;AJ$57&amp;$F$211,'Premium&amp;DSCBackEndNEW'!$B$74:$I$84,6,0),"ERROR"))</f>
        <v>#N/A</v>
      </c>
      <c r="AK73" s="1529" t="e">
        <f>IF(AK70=5,VLOOKUP($F$203&amp;AK$57&amp;$F$211,'Premium&amp;DSCBackEndNEW'!$B$74:$I$84,5,0),IF(AK70=10,VLOOKUP($F$203&amp;AK$57&amp;$F$211,'Premium&amp;DSCBackEndNEW'!$B$74:$I$84,6,0),"ERROR"))</f>
        <v>#N/A</v>
      </c>
      <c r="AL73" s="1530" t="e">
        <f>IF(AL70=5,VLOOKUP($F$203&amp;AL$57&amp;$F$211,'Premium&amp;DSCBackEndNEW'!$B$74:$I$84,5,0),IF(AL70=10,VLOOKUP($F$203&amp;AL$57&amp;$F$211,'Premium&amp;DSCBackEndNEW'!$B$74:$I$84,6,0),"ERROR"))</f>
        <v>#N/A</v>
      </c>
      <c r="AM73" s="1531" t="e">
        <f>IF(AM70=5,VLOOKUP($F$203&amp;AM$57&amp;$F$211,'Premium&amp;DSCBackEndNEW'!$B$74:$I$84,5,0),IF(AM70=10,VLOOKUP($F$203&amp;AM$57&amp;$F$211,'Premium&amp;DSCBackEndNEW'!$B$74:$I$84,6,0),"ERROR"))</f>
        <v>#N/A</v>
      </c>
      <c r="AN73" s="1532" t="e">
        <f>IF(AN70=5,VLOOKUP($F$203&amp;AN$57&amp;$F$211,'Premium&amp;DSCBackEndNEW'!$B$74:$I$84,5,0),IF(AN70=10,VLOOKUP($F$203&amp;AN$57&amp;$F$211,'Premium&amp;DSCBackEndNEW'!$B$74:$I$84,6,0),"ERROR"))</f>
        <v>#N/A</v>
      </c>
      <c r="AR73" s="363"/>
      <c r="AS73" s="363"/>
      <c r="AT73" s="363"/>
      <c r="AU73" s="363"/>
      <c r="AV73" s="363"/>
    </row>
    <row r="74" spans="1:48" ht="12.75" customHeight="1" x14ac:dyDescent="0.25">
      <c r="A74" s="995"/>
      <c r="C74" s="467"/>
      <c r="D74" s="467"/>
      <c r="E74" s="467"/>
      <c r="F74" s="467"/>
      <c r="G74" s="467"/>
      <c r="H74" s="467"/>
      <c r="I74" s="467"/>
      <c r="J74" s="467"/>
      <c r="N74" s="18" t="s">
        <v>121</v>
      </c>
      <c r="O74" s="81"/>
      <c r="P74" s="81"/>
      <c r="Q74" s="25" t="e">
        <f>S74/$S$81</f>
        <v>#DIV/0!</v>
      </c>
      <c r="R74" s="25"/>
      <c r="S74" s="610">
        <f>+S39</f>
        <v>0</v>
      </c>
      <c r="T74" s="32" t="e">
        <f>S74/$Q$15</f>
        <v>#DIV/0!</v>
      </c>
      <c r="U74" s="72"/>
      <c r="Z74" s="93"/>
      <c r="AH74" s="613"/>
      <c r="AI74" s="455" t="s">
        <v>190</v>
      </c>
      <c r="AJ74" s="1533" t="e">
        <f>IF(AJ70=5,VLOOKUP($F$203&amp;AJ$57&amp;$F$211,'Premium&amp;DSCBackEndNEW'!$B$74:$I$84,7,0),IF(AJ70=10,VLOOKUP($F$203&amp;AJ$57&amp;$F$211,'Premium&amp;DSCBackEndNEW'!$B$74:$I$84,8,0),"ERROR"))</f>
        <v>#N/A</v>
      </c>
      <c r="AK74" s="1531" t="e">
        <f>IF(AK70=5,VLOOKUP($F$203&amp;AK$57&amp;$F$211,'Premium&amp;DSCBackEndNEW'!$B$74:$I$84,7,0),IF(AK70=10,VLOOKUP($F$203&amp;AK$57&amp;$F$211,'Premium&amp;DSCBackEndNEW'!$B$74:$I$84,8,0),"ERROR"))</f>
        <v>#N/A</v>
      </c>
      <c r="AL74" s="1532" t="e">
        <f>IF(AL70=5,VLOOKUP($F$203&amp;AL$57&amp;$F$211,'Premium&amp;DSCBackEndNEW'!$B$74:$I$84,7,0),IF(AL70=10,VLOOKUP($F$203&amp;AL$57&amp;$F$211,'Premium&amp;DSCBackEndNEW'!$B$74:$I$84,8,0),"ERROR"))</f>
        <v>#N/A</v>
      </c>
      <c r="AM74" s="1531" t="e">
        <f>IF(AM70=5,VLOOKUP($F$203&amp;AM$57&amp;$F$211,'Premium&amp;DSCBackEndNEW'!$B$74:$I$84,7,0),IF(AM70=10,VLOOKUP($F$203&amp;AM$57&amp;$F$211,'Premium&amp;DSCBackEndNEW'!$B$74:$I$84,8,0),"ERROR"))</f>
        <v>#N/A</v>
      </c>
      <c r="AN74" s="1532" t="e">
        <f>IF(AN70=5,VLOOKUP($F$203&amp;AN$57&amp;$F$211,'Premium&amp;DSCBackEndNEW'!$B$74:$I$84,7,0),IF(AN70=10,VLOOKUP($F$203&amp;AN$57&amp;$F$211,'Premium&amp;DSCBackEndNEW'!$B$74:$I$84,8,0),"ERROR"))</f>
        <v>#N/A</v>
      </c>
      <c r="AQ74" s="443"/>
      <c r="AR74" s="542"/>
      <c r="AS74" s="542"/>
      <c r="AT74" s="542"/>
      <c r="AU74" s="542"/>
      <c r="AV74" s="542"/>
    </row>
    <row r="75" spans="1:48" ht="12.75" customHeight="1" x14ac:dyDescent="0.25">
      <c r="A75" s="995"/>
      <c r="B75" s="965"/>
      <c r="C75" s="182" t="s">
        <v>156</v>
      </c>
      <c r="D75" s="183"/>
      <c r="E75" s="183"/>
      <c r="F75" s="183"/>
      <c r="G75" s="111" t="s">
        <v>530</v>
      </c>
      <c r="H75" s="111" t="s">
        <v>192</v>
      </c>
      <c r="I75" s="111" t="s">
        <v>193</v>
      </c>
      <c r="J75" s="178"/>
      <c r="L75" s="870"/>
      <c r="N75" s="106" t="s">
        <v>122</v>
      </c>
      <c r="O75" s="159"/>
      <c r="P75" s="159"/>
      <c r="Q75" s="79" t="e">
        <f>S75/$S$81</f>
        <v>#N/A</v>
      </c>
      <c r="R75" s="79"/>
      <c r="S75" s="30" t="e">
        <f>S79-S74</f>
        <v>#N/A</v>
      </c>
      <c r="T75" s="30" t="e">
        <f>S75/$Q$15</f>
        <v>#N/A</v>
      </c>
      <c r="U75" s="76"/>
      <c r="Z75" s="93"/>
      <c r="AH75" s="613"/>
      <c r="AI75" s="452" t="s">
        <v>191</v>
      </c>
      <c r="AJ75" s="1432" t="e">
        <f>IFERROR(AJ61/$H$54,AJ61/$H$34)</f>
        <v>#N/A</v>
      </c>
      <c r="AK75" s="542" t="e">
        <f>IFERROR(AK61/$H$54,AK61/$H$34)</f>
        <v>#N/A</v>
      </c>
      <c r="AL75" s="543" t="e">
        <f>IFERROR(AL61/$H$54,AL61/$H$34)</f>
        <v>#N/A</v>
      </c>
      <c r="AM75" s="542" t="e">
        <f>IFERROR(AM61/$H$54,AM61/$H$34)</f>
        <v>#N/A</v>
      </c>
      <c r="AN75" s="543" t="e">
        <f>IFERROR(AN61/$H$54,AN61/$H$34)</f>
        <v>#N/A</v>
      </c>
      <c r="AQ75" s="443"/>
      <c r="AR75" s="361"/>
      <c r="AS75" s="361"/>
      <c r="AT75" s="361"/>
      <c r="AU75" s="361"/>
      <c r="AV75" s="361"/>
    </row>
    <row r="76" spans="1:48" s="443" customFormat="1" ht="12.75" hidden="1" customHeight="1" outlineLevel="1" x14ac:dyDescent="0.25">
      <c r="A76" s="995"/>
      <c r="B76" s="965"/>
      <c r="C76" s="633" t="s">
        <v>196</v>
      </c>
      <c r="D76" s="634"/>
      <c r="E76" s="634"/>
      <c r="F76" s="634"/>
      <c r="G76" s="634"/>
      <c r="H76" s="635"/>
      <c r="I76" s="657">
        <f>+IFERROR($H$54-H118,$H$34-H118)</f>
        <v>0</v>
      </c>
      <c r="J76" s="621"/>
      <c r="L76" s="993"/>
      <c r="Z76" s="93"/>
      <c r="AF76" s="361"/>
      <c r="AH76" s="613"/>
      <c r="AI76" s="452"/>
      <c r="AJ76" s="452"/>
      <c r="AL76" s="1466"/>
      <c r="AN76" s="1466"/>
      <c r="AR76" s="361"/>
      <c r="AS76" s="361"/>
      <c r="AT76" s="361"/>
      <c r="AU76" s="361"/>
      <c r="AV76" s="361"/>
    </row>
    <row r="77" spans="1:48" s="443" customFormat="1" ht="12.75" hidden="1" customHeight="1" outlineLevel="1" x14ac:dyDescent="0.25">
      <c r="A77" s="995"/>
      <c r="B77" s="965"/>
      <c r="C77" s="623" t="s">
        <v>197</v>
      </c>
      <c r="D77" s="636"/>
      <c r="E77" s="636"/>
      <c r="F77" s="636"/>
      <c r="G77" s="636"/>
      <c r="H77" s="637"/>
      <c r="I77" s="658" t="e">
        <f>+I76/H118</f>
        <v>#DIV/0!</v>
      </c>
      <c r="J77" s="632"/>
      <c r="L77" s="993"/>
      <c r="Z77" s="93"/>
      <c r="AF77" s="361"/>
      <c r="AH77" s="613"/>
      <c r="AI77" s="452"/>
      <c r="AJ77" s="1431"/>
      <c r="AK77" s="361"/>
      <c r="AL77" s="362"/>
      <c r="AM77" s="361"/>
      <c r="AN77" s="362"/>
      <c r="AR77" s="361"/>
      <c r="AS77" s="361"/>
      <c r="AT77" s="361"/>
      <c r="AU77" s="361"/>
      <c r="AV77" s="361"/>
    </row>
    <row r="78" spans="1:48" s="443" customFormat="1" ht="12.75" hidden="1" customHeight="1" outlineLevel="1" x14ac:dyDescent="0.25">
      <c r="A78" s="995"/>
      <c r="B78" s="965"/>
      <c r="C78" s="623" t="s">
        <v>198</v>
      </c>
      <c r="D78" s="636"/>
      <c r="E78" s="636"/>
      <c r="F78" s="636"/>
      <c r="G78" s="636"/>
      <c r="H78" s="637"/>
      <c r="I78" s="658" t="e">
        <f>+IFERROR(H53/H118,H33/H118)</f>
        <v>#DIV/0!</v>
      </c>
      <c r="J78" s="632"/>
      <c r="L78" s="993"/>
      <c r="N78" s="608"/>
      <c r="O78" s="93"/>
      <c r="P78" s="93"/>
      <c r="Q78" s="607"/>
      <c r="R78" s="93"/>
      <c r="S78" s="33"/>
      <c r="T78" s="33"/>
      <c r="U78" s="33"/>
      <c r="Z78" s="93"/>
      <c r="AF78" s="361"/>
      <c r="AH78" s="613"/>
      <c r="AI78" s="452"/>
      <c r="AJ78" s="1431"/>
      <c r="AK78" s="361"/>
      <c r="AL78" s="362"/>
      <c r="AM78" s="361"/>
      <c r="AN78" s="362"/>
      <c r="AR78" s="361"/>
      <c r="AS78" s="361"/>
      <c r="AT78" s="361"/>
      <c r="AU78" s="361"/>
      <c r="AV78" s="361"/>
    </row>
    <row r="79" spans="1:48" ht="12.75" customHeight="1" collapsed="1" x14ac:dyDescent="0.25">
      <c r="A79" s="995"/>
      <c r="C79" s="18" t="s">
        <v>199</v>
      </c>
      <c r="I79" s="171" t="e">
        <f>$H$53/I64</f>
        <v>#N/A</v>
      </c>
      <c r="J79" s="215"/>
      <c r="L79" s="868"/>
      <c r="N79" s="16" t="s">
        <v>194</v>
      </c>
      <c r="O79" s="81"/>
      <c r="P79" s="81"/>
      <c r="Q79" s="114" t="e">
        <f>S79/$S$81</f>
        <v>#N/A</v>
      </c>
      <c r="R79" s="114"/>
      <c r="S79" s="602" t="e">
        <f>+I64</f>
        <v>#N/A</v>
      </c>
      <c r="T79" s="602" t="e">
        <f>S79/$Q$15</f>
        <v>#N/A</v>
      </c>
      <c r="U79" s="603"/>
      <c r="Z79" s="93"/>
      <c r="AH79" s="613"/>
      <c r="AI79" s="452" t="s">
        <v>195</v>
      </c>
      <c r="AJ79" s="1431" t="str">
        <f>IF(AJ58=100,"No","Yes")</f>
        <v>Yes</v>
      </c>
      <c r="AK79" s="361" t="str">
        <f>IF(AK58=100,"No","Yes")</f>
        <v>Yes</v>
      </c>
      <c r="AL79" s="362" t="str">
        <f>IF(AL58=100,"No","Yes")</f>
        <v>No</v>
      </c>
      <c r="AM79" s="361" t="e">
        <f>IF(AM75&lt;0.65000000001,"No","Yes")</f>
        <v>#N/A</v>
      </c>
      <c r="AN79" s="362" t="e">
        <f>IF(AN75&lt;0.65000000001,"No","Yes")</f>
        <v>#N/A</v>
      </c>
      <c r="AQ79" s="443"/>
      <c r="AR79" s="1450"/>
      <c r="AS79" s="1450"/>
      <c r="AT79" s="1450"/>
      <c r="AU79" s="1450"/>
      <c r="AV79" s="1450"/>
    </row>
    <row r="80" spans="1:48" ht="12.75" customHeight="1" x14ac:dyDescent="0.25">
      <c r="A80" s="995"/>
      <c r="C80" s="18" t="s">
        <v>160</v>
      </c>
      <c r="G80" s="1010" t="str">
        <f>+IF(F204="MLI Market",0.85,IF(AND(F204="MLI Select",F207="Existing Property",SUM(Economics!F217:F219)&lt;51),0.85,IF(AND(F204="MLI Select",F207="Existing Property",SUM(Economics!F217:F219)&gt;69),0.95,"")))</f>
        <v/>
      </c>
      <c r="H80" s="744" t="e">
        <f>IFERROR(I61/$H$54,I61/$H$34)</f>
        <v>#DIV/0!</v>
      </c>
      <c r="I80" s="744" t="e">
        <f>+IFERROR(I64/$H$54,I64/$H$34)</f>
        <v>#N/A</v>
      </c>
      <c r="J80" s="108"/>
      <c r="L80" s="868" t="e">
        <f>+IF(H80&gt;VALUE(RIGHT(D224,3)),"add details for aggregators when sending OTP","")</f>
        <v>#DIV/0!</v>
      </c>
      <c r="N80" s="18" t="s">
        <v>200</v>
      </c>
      <c r="O80" s="27"/>
      <c r="P80" s="27"/>
      <c r="Q80" s="25" t="e">
        <f>S80/$S$81</f>
        <v>#DIV/0!</v>
      </c>
      <c r="R80" s="27"/>
      <c r="S80" s="160" t="e">
        <f>S81-S79</f>
        <v>#DIV/0!</v>
      </c>
      <c r="T80" s="31" t="e">
        <f>S80/$Q$15</f>
        <v>#DIV/0!</v>
      </c>
      <c r="U80" s="75"/>
      <c r="Z80" s="93"/>
      <c r="AH80" s="613"/>
      <c r="AI80" s="453" t="s">
        <v>802</v>
      </c>
      <c r="AJ80" s="1493" t="e">
        <f ca="1">(PMT((1+AJ72/2)^(1/6)-1,AJ71*12,-AJ69)*12)</f>
        <v>#N/A</v>
      </c>
      <c r="AK80" s="1494" t="e">
        <f ca="1">(PMT((1+AK72/2)^(1/6)-1,AK71*12,-AK69)*12)</f>
        <v>#N/A</v>
      </c>
      <c r="AL80" s="1495" t="e">
        <f ca="1">(PMT((1+AL72/2)^(1/6)-1,AL71*12,-AL69)*12)</f>
        <v>#N/A</v>
      </c>
      <c r="AM80" s="1494" t="e">
        <f ca="1">(PMT((1+AM72/2)^(1/6)-1,AM71*12,-AM69)*12)</f>
        <v>#N/A</v>
      </c>
      <c r="AN80" s="1496" t="e">
        <f ca="1">(PMT((1+AN72/2)^(1/6)-1,AN71*12,-AN69)*12)</f>
        <v>#N/A</v>
      </c>
    </row>
    <row r="81" spans="1:40" ht="12.75" customHeight="1" x14ac:dyDescent="0.25">
      <c r="A81" s="995"/>
      <c r="C81" s="18" t="str">
        <f>+IF(F220=0,"LTPP","LTC")</f>
        <v>LTPP</v>
      </c>
      <c r="G81" s="1010">
        <f>+IF(H118=0,0.85,IF(AND(F204="MLI Select",F207="New Construction"),0.95,IF(OR(F200="Construction Financing",AND(F204="MLI Market",F207="New Construction")),1,"")))</f>
        <v>0.85</v>
      </c>
      <c r="H81" s="744" t="e">
        <f>I61/H56</f>
        <v>#VALUE!</v>
      </c>
      <c r="I81" s="744" t="e">
        <f>I64/H56</f>
        <v>#N/A</v>
      </c>
      <c r="J81" s="108"/>
      <c r="L81" s="868"/>
      <c r="N81" s="7" t="s">
        <v>201</v>
      </c>
      <c r="O81" s="8"/>
      <c r="P81" s="8"/>
      <c r="Q81" s="10" t="e">
        <f>SUM(Q76:Q80)</f>
        <v>#N/A</v>
      </c>
      <c r="R81" s="10"/>
      <c r="S81" s="9" t="e">
        <f>S36</f>
        <v>#DIV/0!</v>
      </c>
      <c r="T81" s="6" t="e">
        <f>S81/$Q$15</f>
        <v>#DIV/0!</v>
      </c>
      <c r="U81" s="113"/>
      <c r="Z81" s="93"/>
      <c r="AH81" s="613"/>
      <c r="AI81" s="365"/>
      <c r="AJ81" s="923"/>
      <c r="AK81" s="365"/>
      <c r="AL81" s="365"/>
      <c r="AM81" s="365"/>
    </row>
    <row r="82" spans="1:40" ht="12.75" customHeight="1" x14ac:dyDescent="0.25">
      <c r="A82" s="995"/>
      <c r="C82" s="18" t="s">
        <v>202</v>
      </c>
      <c r="G82" s="1526" t="str">
        <f>+IFERROR(VLOOKUP($F$203&amp;$F$204&amp;$F$211,'Premium&amp;DSCBackEndNEW'!$B$74:$G$84,5,0),"")</f>
        <v/>
      </c>
      <c r="H82" s="1527" t="e">
        <f>$H$53/(PMT((1+$I$72/2)^(1/6)-1,$I$69*12,-$I$61)*12)</f>
        <v>#NUM!</v>
      </c>
      <c r="I82" s="1527" t="e">
        <f>$H$53/(PMT((1+$I$72/2)^(1/6)-1,$I$69*12,-$I$64)*12)</f>
        <v>#N/A</v>
      </c>
      <c r="J82" s="212"/>
      <c r="L82" s="868"/>
      <c r="N82" s="609"/>
      <c r="O82" s="605"/>
      <c r="P82" s="605"/>
      <c r="Q82" s="606"/>
      <c r="R82" s="607"/>
      <c r="S82" s="604"/>
      <c r="T82" s="94"/>
      <c r="U82" s="94"/>
      <c r="Z82" s="93"/>
      <c r="AH82" s="613"/>
      <c r="AI82" s="922"/>
      <c r="AJ82" s="922"/>
      <c r="AK82" s="922"/>
      <c r="AL82" s="365"/>
      <c r="AM82" s="365"/>
    </row>
    <row r="83" spans="1:40" ht="12.75" customHeight="1" x14ac:dyDescent="0.25">
      <c r="A83" s="995"/>
      <c r="C83" s="18" t="s">
        <v>203</v>
      </c>
      <c r="G83" s="1526" t="str">
        <f>+IFERROR(VLOOKUP($F$203&amp;$F$204&amp;$F$211,'Premium&amp;DSCBackEndNEW'!$B$74:$G$84,6,0),"")</f>
        <v/>
      </c>
      <c r="H83" s="1527" t="e">
        <f>$H$53/(PMT((1+$I$73/2)^(1/6)-1,$I$69*12,-$I$61)*12)</f>
        <v>#NUM!</v>
      </c>
      <c r="I83" s="1527" t="e">
        <f>$H$53/(PMT((1+$I$73/2)^(1/6)-1,$I$69*12,-$I$64)*12)</f>
        <v>#N/A</v>
      </c>
      <c r="J83" s="212"/>
      <c r="L83" s="868"/>
      <c r="N83" s="15" t="s">
        <v>529</v>
      </c>
      <c r="O83" s="83"/>
      <c r="P83" s="83"/>
      <c r="Q83" s="83"/>
      <c r="R83" s="83"/>
      <c r="S83" s="111" t="s">
        <v>121</v>
      </c>
      <c r="T83" s="111" t="s">
        <v>122</v>
      </c>
      <c r="U83" s="178" t="s">
        <v>123</v>
      </c>
      <c r="Z83" s="93"/>
      <c r="AH83" s="613"/>
      <c r="AI83" s="921"/>
      <c r="AJ83" s="924"/>
      <c r="AK83" s="365"/>
      <c r="AL83" s="365"/>
      <c r="AM83" s="365"/>
    </row>
    <row r="84" spans="1:40" ht="12.75" customHeight="1" x14ac:dyDescent="0.25">
      <c r="A84" s="995"/>
      <c r="C84" s="18" t="s">
        <v>204</v>
      </c>
      <c r="G84" s="1527" t="str">
        <f>+IF(I68=5,D223,IF(I68=10,E223,""))</f>
        <v/>
      </c>
      <c r="H84" s="1527" t="e">
        <f>$H$53/(PMT((1+$I$71/2)^(1/6)-1,$I$69*12,-$I$61)*12)</f>
        <v>#NUM!</v>
      </c>
      <c r="I84" s="1527" t="e">
        <f>$H$53/(PMT((1+$I$71/2)^(1/6)-1,$I$69*12,-$I$64)*12)</f>
        <v>#N/A</v>
      </c>
      <c r="J84" s="212"/>
      <c r="L84" s="868" t="e">
        <f>+IF(OR(AND(I68=5,H84&lt;D223),AND(I68=10,H84&lt;E223)),"add details for aggregators when sending OTP","")</f>
        <v>#NUM!</v>
      </c>
      <c r="N84" s="220" t="s">
        <v>205</v>
      </c>
      <c r="O84" s="234"/>
      <c r="P84" s="234"/>
      <c r="Q84" s="288"/>
      <c r="R84" s="288"/>
      <c r="S84" s="235">
        <f>S47*S74</f>
        <v>0</v>
      </c>
      <c r="T84" s="235" t="e">
        <f>T47*S75+S84</f>
        <v>#N/A</v>
      </c>
      <c r="U84" s="289" t="e">
        <f>+SUM(S84:T84)</f>
        <v>#N/A</v>
      </c>
      <c r="Z84" s="93"/>
      <c r="AH84" s="613"/>
      <c r="AI84" s="921"/>
      <c r="AJ84" s="365"/>
      <c r="AK84" s="365"/>
      <c r="AL84" s="365"/>
      <c r="AM84" s="365"/>
      <c r="AN84" s="951"/>
    </row>
    <row r="85" spans="1:40" ht="12.75" customHeight="1" x14ac:dyDescent="0.25">
      <c r="A85" s="995"/>
      <c r="C85" s="106" t="s">
        <v>206</v>
      </c>
      <c r="D85" s="102"/>
      <c r="E85" s="102"/>
      <c r="F85" s="102"/>
      <c r="G85" s="102"/>
      <c r="H85" s="1006"/>
      <c r="I85" s="213" t="e">
        <f>I64/$F$15</f>
        <v>#N/A</v>
      </c>
      <c r="J85" s="457"/>
      <c r="L85" s="869"/>
      <c r="N85" s="18" t="s">
        <v>207</v>
      </c>
      <c r="O85" s="11"/>
      <c r="P85" s="11"/>
      <c r="Q85" s="107"/>
      <c r="R85" s="107"/>
      <c r="S85" s="306"/>
      <c r="T85" s="286"/>
      <c r="U85" s="145"/>
      <c r="Z85" s="93"/>
      <c r="AH85" s="613"/>
      <c r="AI85" s="921"/>
      <c r="AJ85" s="365"/>
      <c r="AK85" s="365"/>
      <c r="AL85" s="365"/>
      <c r="AM85" s="365"/>
    </row>
    <row r="86" spans="1:40" ht="12.75" customHeight="1" x14ac:dyDescent="0.25">
      <c r="A86" s="995"/>
      <c r="N86" s="18" t="s">
        <v>315</v>
      </c>
      <c r="O86" s="11"/>
      <c r="P86" s="11"/>
      <c r="Q86" s="107"/>
      <c r="R86" s="107"/>
      <c r="S86" s="31">
        <f>S44/12*S85*S84</f>
        <v>0</v>
      </c>
      <c r="T86" s="31" t="e">
        <f>T44/12*T85*T84</f>
        <v>#N/A</v>
      </c>
      <c r="U86" s="145" t="e">
        <f>+SUM(S86:T86)</f>
        <v>#N/A</v>
      </c>
      <c r="Z86" s="93"/>
      <c r="AH86" s="613"/>
      <c r="AI86" s="921"/>
      <c r="AJ86" s="365"/>
      <c r="AK86" s="365"/>
      <c r="AL86" s="365"/>
      <c r="AM86" s="365"/>
    </row>
    <row r="87" spans="1:40" ht="12.75" hidden="1" customHeight="1" outlineLevel="1" x14ac:dyDescent="0.25">
      <c r="A87" s="995"/>
      <c r="C87" s="182" t="s">
        <v>209</v>
      </c>
      <c r="D87" s="183"/>
      <c r="E87" s="183"/>
      <c r="F87" s="183"/>
      <c r="G87" s="183"/>
      <c r="H87" s="111" t="s">
        <v>192</v>
      </c>
      <c r="I87" s="111"/>
      <c r="J87" s="178"/>
      <c r="N87" s="608"/>
      <c r="O87" s="93"/>
      <c r="P87" s="93"/>
      <c r="Q87" s="607"/>
      <c r="R87" s="93"/>
      <c r="S87" s="33"/>
      <c r="T87" s="33"/>
      <c r="U87" s="33"/>
      <c r="Z87" s="93"/>
      <c r="AH87" s="613"/>
      <c r="AI87" s="365"/>
      <c r="AJ87" s="365"/>
      <c r="AK87" s="365"/>
      <c r="AL87" s="365"/>
      <c r="AM87" s="365"/>
    </row>
    <row r="88" spans="1:40" ht="12.75" hidden="1" customHeight="1" outlineLevel="1" x14ac:dyDescent="0.25">
      <c r="A88" s="995"/>
      <c r="C88" s="18" t="s">
        <v>160</v>
      </c>
      <c r="H88" s="211" t="e">
        <f>+I59/H34</f>
        <v>#DIV/0!</v>
      </c>
      <c r="I88" s="211"/>
      <c r="J88" s="108"/>
      <c r="N88" s="608"/>
      <c r="O88" s="93"/>
      <c r="P88" s="93"/>
      <c r="Q88" s="607"/>
      <c r="R88" s="93"/>
      <c r="S88" s="33"/>
      <c r="T88" s="33"/>
      <c r="U88" s="33"/>
      <c r="Z88" s="93"/>
      <c r="AH88" s="613"/>
      <c r="AI88" s="365"/>
      <c r="AJ88" s="365"/>
      <c r="AK88" s="365"/>
      <c r="AL88" s="365"/>
      <c r="AM88" s="365"/>
    </row>
    <row r="89" spans="1:40" ht="12.75" hidden="1" customHeight="1" outlineLevel="1" x14ac:dyDescent="0.25">
      <c r="A89" s="995"/>
      <c r="C89" s="18" t="s">
        <v>202</v>
      </c>
      <c r="H89" s="328" t="e">
        <f>$H$33/(PMT((1+$I72/2)^(1/6)-1,$I$69*12,-$I$59)*12)</f>
        <v>#NUM!</v>
      </c>
      <c r="I89" s="966" t="s">
        <v>210</v>
      </c>
      <c r="J89" s="556"/>
      <c r="N89" s="608"/>
      <c r="O89" s="93"/>
      <c r="P89" s="93"/>
      <c r="Q89" s="607"/>
      <c r="R89" s="93"/>
      <c r="S89" s="33"/>
      <c r="T89" s="33"/>
      <c r="U89" s="33"/>
      <c r="Z89" s="93"/>
      <c r="AH89" s="613"/>
      <c r="AI89" s="365"/>
      <c r="AJ89" s="365"/>
      <c r="AK89" s="365"/>
      <c r="AL89" s="365"/>
      <c r="AM89" s="365"/>
    </row>
    <row r="90" spans="1:40" ht="12.75" hidden="1" customHeight="1" outlineLevel="1" x14ac:dyDescent="0.25">
      <c r="A90" s="995"/>
      <c r="C90" s="18" t="s">
        <v>203</v>
      </c>
      <c r="H90" s="328" t="e">
        <f>$H$33/(PMT((1+$I73/2)^(1/6)-1,$I$69*12,-$I$59)*12)</f>
        <v>#NUM!</v>
      </c>
      <c r="I90" s="967"/>
      <c r="J90" s="556"/>
      <c r="N90" s="608"/>
      <c r="O90" s="93"/>
      <c r="P90" s="93"/>
      <c r="Q90" s="607"/>
      <c r="R90" s="93"/>
      <c r="S90" s="33"/>
      <c r="T90" s="33"/>
      <c r="U90" s="33"/>
      <c r="Z90" s="93"/>
      <c r="AH90" s="613"/>
      <c r="AI90" s="365"/>
      <c r="AJ90" s="365"/>
      <c r="AK90" s="365"/>
      <c r="AL90" s="365"/>
      <c r="AM90" s="365"/>
    </row>
    <row r="91" spans="1:40" ht="12.75" hidden="1" customHeight="1" outlineLevel="1" x14ac:dyDescent="0.25">
      <c r="A91" s="995"/>
      <c r="C91" s="106" t="s">
        <v>204</v>
      </c>
      <c r="D91" s="102"/>
      <c r="E91" s="102"/>
      <c r="F91" s="102"/>
      <c r="G91" s="102"/>
      <c r="H91" s="456" t="e">
        <f>$H$33/(PMT((1+$I71/2)^(1/6)-1,$I$69*12,-$I$59)*12)</f>
        <v>#NUM!</v>
      </c>
      <c r="I91" s="456"/>
      <c r="J91" s="457"/>
      <c r="Z91" s="93"/>
      <c r="AH91" s="613"/>
      <c r="AI91" s="365"/>
      <c r="AJ91" s="365"/>
      <c r="AK91" s="365"/>
      <c r="AL91" s="365"/>
      <c r="AM91" s="365"/>
    </row>
    <row r="92" spans="1:40" ht="12.75" hidden="1" customHeight="1" outlineLevel="1" x14ac:dyDescent="0.25">
      <c r="A92" s="995"/>
      <c r="Z92" s="93"/>
      <c r="AH92" s="613"/>
      <c r="AI92" s="365"/>
      <c r="AJ92" s="365"/>
      <c r="AK92" s="365"/>
      <c r="AL92" s="365"/>
      <c r="AM92" s="365"/>
    </row>
    <row r="93" spans="1:40" ht="12.75" hidden="1" customHeight="1" outlineLevel="1" x14ac:dyDescent="0.25">
      <c r="A93" s="995"/>
      <c r="C93" s="182" t="s">
        <v>211</v>
      </c>
      <c r="D93" s="183"/>
      <c r="E93" s="183"/>
      <c r="F93" s="183"/>
      <c r="G93" s="183"/>
      <c r="H93" s="111" t="s">
        <v>192</v>
      </c>
      <c r="I93" s="111"/>
      <c r="J93" s="178"/>
      <c r="Z93" s="93"/>
      <c r="AH93" s="613"/>
      <c r="AI93" s="365"/>
      <c r="AJ93" s="365"/>
      <c r="AK93" s="365"/>
      <c r="AL93" s="365"/>
      <c r="AM93" s="365"/>
    </row>
    <row r="94" spans="1:40" ht="12.75" hidden="1" customHeight="1" outlineLevel="1" x14ac:dyDescent="0.25">
      <c r="A94" s="995"/>
      <c r="C94" s="18" t="s">
        <v>160</v>
      </c>
      <c r="H94" s="211" t="e">
        <f>+I60/H52</f>
        <v>#DIV/0!</v>
      </c>
      <c r="I94" s="211"/>
      <c r="J94" s="108"/>
      <c r="Z94" s="93"/>
      <c r="AH94" s="613"/>
      <c r="AI94" s="365"/>
      <c r="AJ94" s="365"/>
      <c r="AK94" s="365"/>
      <c r="AL94" s="365"/>
      <c r="AM94" s="365"/>
    </row>
    <row r="95" spans="1:40" ht="12.75" hidden="1" customHeight="1" outlineLevel="1" x14ac:dyDescent="0.25">
      <c r="A95" s="995"/>
      <c r="C95" s="18" t="s">
        <v>202</v>
      </c>
      <c r="H95" s="328" t="e">
        <f>$H$51/(PMT((1+$I72/2)^(1/6)-1,$I$69*12,-$I$60)*12)</f>
        <v>#NUM!</v>
      </c>
      <c r="I95" s="966" t="s">
        <v>210</v>
      </c>
      <c r="J95" s="532"/>
      <c r="Z95" s="93"/>
      <c r="AH95" s="613"/>
      <c r="AI95" s="365"/>
      <c r="AJ95" s="365"/>
      <c r="AK95" s="365"/>
      <c r="AL95" s="365"/>
      <c r="AM95" s="365"/>
    </row>
    <row r="96" spans="1:40" ht="12.75" hidden="1" customHeight="1" outlineLevel="1" x14ac:dyDescent="0.25">
      <c r="A96" s="995"/>
      <c r="C96" s="18" t="s">
        <v>203</v>
      </c>
      <c r="H96" s="328" t="e">
        <f>$H$51/(PMT((1+$I73/2)^(1/6)-1,$I$69*12,-$I$60)*12)</f>
        <v>#NUM!</v>
      </c>
      <c r="I96" s="968"/>
      <c r="J96" s="532"/>
      <c r="Z96" s="93"/>
      <c r="AH96" s="613"/>
      <c r="AI96" s="365"/>
      <c r="AJ96" s="365"/>
      <c r="AK96" s="365"/>
      <c r="AL96" s="365"/>
      <c r="AM96" s="365"/>
    </row>
    <row r="97" spans="1:39" ht="12.75" hidden="1" customHeight="1" outlineLevel="1" x14ac:dyDescent="0.25">
      <c r="A97" s="995"/>
      <c r="C97" s="106" t="s">
        <v>204</v>
      </c>
      <c r="D97" s="102"/>
      <c r="E97" s="102"/>
      <c r="F97" s="102"/>
      <c r="G97" s="102"/>
      <c r="H97" s="456" t="e">
        <f>$H$51/(PMT((1+$I71/2)^(1/6)-1,$I$69*12,-$I$60)*12)</f>
        <v>#NUM!</v>
      </c>
      <c r="I97" s="456"/>
      <c r="J97" s="457"/>
      <c r="Z97" s="93"/>
      <c r="AH97" s="613"/>
      <c r="AI97" s="365"/>
      <c r="AJ97" s="365"/>
      <c r="AK97" s="365"/>
      <c r="AL97" s="365"/>
      <c r="AM97" s="365"/>
    </row>
    <row r="98" spans="1:39" ht="12.75" hidden="1" customHeight="1" outlineLevel="1" x14ac:dyDescent="0.25">
      <c r="A98" s="995"/>
      <c r="N98" s="11"/>
      <c r="O98" s="11"/>
      <c r="P98" s="11"/>
      <c r="Q98" s="107"/>
      <c r="R98" s="107"/>
      <c r="S98" s="31"/>
      <c r="T98" s="31"/>
      <c r="U98" s="27"/>
      <c r="Z98" s="93"/>
      <c r="AH98" s="613"/>
      <c r="AI98" s="365"/>
      <c r="AJ98" s="365"/>
      <c r="AK98" s="365"/>
      <c r="AL98" s="365"/>
      <c r="AM98" s="365"/>
    </row>
    <row r="99" spans="1:39" ht="12.75" customHeight="1" collapsed="1" x14ac:dyDescent="0.25">
      <c r="A99" s="995"/>
      <c r="B99" s="613" t="s">
        <v>18</v>
      </c>
      <c r="C99" s="182" t="s">
        <v>212</v>
      </c>
      <c r="D99" s="183"/>
      <c r="E99" s="183"/>
      <c r="F99" s="183"/>
      <c r="G99" s="183"/>
      <c r="H99" s="400" t="s">
        <v>213</v>
      </c>
      <c r="I99" s="111"/>
      <c r="J99" s="180"/>
      <c r="L99" s="870"/>
      <c r="N99" s="106" t="s">
        <v>208</v>
      </c>
      <c r="O99" s="102"/>
      <c r="P99" s="102"/>
      <c r="Q99" s="102"/>
      <c r="R99" s="102"/>
      <c r="S99" s="307">
        <v>7.4999999999999997E-2</v>
      </c>
      <c r="T99" s="292">
        <v>7.7499999999999999E-2</v>
      </c>
      <c r="U99" s="216"/>
      <c r="Z99" s="93"/>
      <c r="AH99" s="613"/>
      <c r="AI99" s="365"/>
      <c r="AJ99" s="365"/>
      <c r="AK99" s="365"/>
      <c r="AL99" s="365"/>
      <c r="AM99" s="365"/>
    </row>
    <row r="100" spans="1:39" ht="12.75" customHeight="1" x14ac:dyDescent="0.25">
      <c r="A100" s="995"/>
      <c r="C100" s="223" t="s">
        <v>170</v>
      </c>
      <c r="D100" s="1604">
        <f>+I61</f>
        <v>0</v>
      </c>
      <c r="E100" s="1604"/>
      <c r="F100" s="219"/>
      <c r="G100" s="219"/>
      <c r="H100" s="219"/>
      <c r="I100" s="308"/>
      <c r="J100" s="221"/>
      <c r="L100" s="868"/>
      <c r="Z100" s="93"/>
      <c r="AH100" s="613"/>
      <c r="AI100" s="365"/>
      <c r="AJ100" s="365"/>
      <c r="AK100" s="365"/>
      <c r="AL100" s="365"/>
      <c r="AM100" s="365"/>
    </row>
    <row r="101" spans="1:39" ht="12.75" customHeight="1" x14ac:dyDescent="0.25">
      <c r="A101" s="995"/>
      <c r="C101" s="127"/>
      <c r="D101" s="1603" t="str">
        <f>+IF(I100&gt;D100,I100-D100,"")</f>
        <v/>
      </c>
      <c r="E101" s="1603"/>
      <c r="F101" s="102"/>
      <c r="G101" s="102"/>
      <c r="H101" s="102"/>
      <c r="I101" s="293" t="str">
        <f>+IF(D100&gt;I100,D100-I100,"")</f>
        <v/>
      </c>
      <c r="J101" s="216"/>
      <c r="L101" s="868"/>
      <c r="Z101" s="93"/>
      <c r="AH101" s="613"/>
      <c r="AI101" s="365"/>
      <c r="AJ101" s="365"/>
      <c r="AK101" s="365"/>
      <c r="AL101" s="365"/>
      <c r="AM101" s="365"/>
    </row>
    <row r="102" spans="1:39" ht="12.75" customHeight="1" x14ac:dyDescent="0.25">
      <c r="A102" s="995"/>
      <c r="C102" s="305" t="s">
        <v>63</v>
      </c>
      <c r="D102" s="1606">
        <f>SUM(D100:E101)</f>
        <v>0</v>
      </c>
      <c r="E102" s="1606"/>
      <c r="F102" s="154"/>
      <c r="G102" s="154"/>
      <c r="H102" s="154" t="s">
        <v>63</v>
      </c>
      <c r="I102" s="310">
        <f>SUM(I100:I101)</f>
        <v>0</v>
      </c>
      <c r="J102" s="222"/>
      <c r="L102" s="869"/>
      <c r="Z102" s="93"/>
      <c r="AH102" s="613"/>
      <c r="AI102" s="365"/>
      <c r="AJ102" s="365"/>
      <c r="AK102" s="365"/>
      <c r="AL102" s="365"/>
      <c r="AM102" s="365"/>
    </row>
    <row r="103" spans="1:39" ht="12.75" customHeight="1" x14ac:dyDescent="0.25">
      <c r="A103" s="995"/>
      <c r="C103" s="631"/>
      <c r="D103" s="629"/>
      <c r="E103" s="629"/>
      <c r="F103" s="436"/>
      <c r="G103" s="436"/>
      <c r="H103" s="436"/>
      <c r="I103" s="630"/>
      <c r="J103" s="436"/>
      <c r="Z103" s="93"/>
      <c r="AH103" s="613"/>
      <c r="AI103" s="761" t="s">
        <v>242</v>
      </c>
      <c r="AJ103" s="365"/>
      <c r="AK103" s="365"/>
      <c r="AL103" s="365"/>
      <c r="AM103" s="365"/>
    </row>
    <row r="104" spans="1:39" ht="12.75" hidden="1" customHeight="1" outlineLevel="1" x14ac:dyDescent="0.25">
      <c r="A104" s="995"/>
      <c r="B104" s="613" t="s">
        <v>214</v>
      </c>
      <c r="C104" s="584" t="s">
        <v>212</v>
      </c>
      <c r="D104" s="588"/>
      <c r="E104" s="588"/>
      <c r="F104" s="588"/>
      <c r="G104" s="588"/>
      <c r="H104" s="67" t="s">
        <v>63</v>
      </c>
      <c r="I104" s="67" t="s">
        <v>215</v>
      </c>
      <c r="J104" s="67" t="s">
        <v>216</v>
      </c>
      <c r="L104" s="870"/>
      <c r="Z104" s="93"/>
      <c r="AH104" s="613"/>
      <c r="AI104" s="365"/>
      <c r="AJ104" s="365"/>
      <c r="AK104" s="365"/>
      <c r="AL104" s="365"/>
      <c r="AM104" s="365"/>
    </row>
    <row r="105" spans="1:39" ht="12.75" hidden="1" customHeight="1" outlineLevel="1" x14ac:dyDescent="0.25">
      <c r="A105" s="995"/>
      <c r="C105" s="210" t="s">
        <v>217</v>
      </c>
      <c r="D105" s="969"/>
      <c r="E105" s="969"/>
      <c r="F105" s="970" t="s">
        <v>133</v>
      </c>
      <c r="G105" s="971"/>
      <c r="H105" s="590">
        <f>I61</f>
        <v>0</v>
      </c>
      <c r="I105" s="589" t="e">
        <f>H105/$F$15</f>
        <v>#DIV/0!</v>
      </c>
      <c r="J105" s="626" t="e">
        <f>H105/$J$122</f>
        <v>#DIV/0!</v>
      </c>
      <c r="L105" s="868"/>
      <c r="Z105" s="93"/>
      <c r="AH105" s="613"/>
      <c r="AI105" s="365"/>
      <c r="AJ105" s="365"/>
      <c r="AK105" s="365"/>
      <c r="AL105" s="365"/>
      <c r="AM105" s="365"/>
    </row>
    <row r="106" spans="1:39" ht="12.75" hidden="1" customHeight="1" outlineLevel="1" x14ac:dyDescent="0.25">
      <c r="A106" s="995"/>
      <c r="C106" s="210" t="s">
        <v>218</v>
      </c>
      <c r="D106" s="969"/>
      <c r="E106" s="969"/>
      <c r="F106" s="970" t="s">
        <v>122</v>
      </c>
      <c r="G106" s="971"/>
      <c r="H106" s="641"/>
      <c r="I106" s="592" t="e">
        <f t="shared" ref="I106:I109" si="25">H106/$F$15</f>
        <v>#DIV/0!</v>
      </c>
      <c r="J106" s="628" t="e">
        <f>H106/$J$122</f>
        <v>#DIV/0!</v>
      </c>
      <c r="L106" s="868"/>
      <c r="Z106" s="93"/>
      <c r="AH106" s="613"/>
      <c r="AI106" s="365"/>
      <c r="AJ106" s="365"/>
      <c r="AK106" s="365"/>
      <c r="AL106" s="365"/>
      <c r="AM106" s="365"/>
    </row>
    <row r="107" spans="1:39" ht="12.75" hidden="1" customHeight="1" outlineLevel="1" x14ac:dyDescent="0.25">
      <c r="A107" s="995"/>
      <c r="C107" s="210" t="s">
        <v>200</v>
      </c>
      <c r="D107" s="969"/>
      <c r="E107" s="969"/>
      <c r="F107" s="970" t="s">
        <v>219</v>
      </c>
      <c r="G107" s="971"/>
      <c r="H107" s="590">
        <f>H109-SUM(H105:H106)-H108</f>
        <v>0</v>
      </c>
      <c r="I107" s="592" t="e">
        <f t="shared" si="25"/>
        <v>#DIV/0!</v>
      </c>
      <c r="J107" s="628" t="e">
        <f>H107/$J$122</f>
        <v>#DIV/0!</v>
      </c>
      <c r="L107" s="868"/>
      <c r="Z107" s="93"/>
      <c r="AH107" s="613"/>
      <c r="AI107" s="365"/>
      <c r="AJ107" s="365"/>
      <c r="AK107" s="365"/>
      <c r="AL107" s="365"/>
      <c r="AM107" s="365"/>
    </row>
    <row r="108" spans="1:39" ht="12.75" hidden="1" customHeight="1" outlineLevel="1" x14ac:dyDescent="0.25">
      <c r="A108" s="995"/>
      <c r="C108" s="210"/>
      <c r="D108" s="969"/>
      <c r="E108" s="969"/>
      <c r="F108" s="970" t="s">
        <v>220</v>
      </c>
      <c r="G108" s="971"/>
      <c r="H108" s="641"/>
      <c r="I108" s="591" t="e">
        <f t="shared" si="25"/>
        <v>#DIV/0!</v>
      </c>
      <c r="J108" s="627" t="e">
        <f>H108/$J$122</f>
        <v>#DIV/0!</v>
      </c>
      <c r="L108" s="868"/>
      <c r="Z108" s="93"/>
      <c r="AH108" s="613"/>
      <c r="AI108" s="365"/>
      <c r="AJ108" s="365"/>
      <c r="AK108" s="365"/>
      <c r="AL108" s="365"/>
      <c r="AM108" s="365"/>
    </row>
    <row r="109" spans="1:39" ht="12.75" hidden="1" customHeight="1" outlineLevel="1" x14ac:dyDescent="0.25">
      <c r="A109" s="995"/>
      <c r="C109" s="593" t="s">
        <v>63</v>
      </c>
      <c r="D109" s="594"/>
      <c r="E109" s="594"/>
      <c r="F109" s="594"/>
      <c r="G109" s="594"/>
      <c r="H109" s="598">
        <f>H118</f>
        <v>0</v>
      </c>
      <c r="I109" s="595" t="e">
        <f t="shared" si="25"/>
        <v>#DIV/0!</v>
      </c>
      <c r="J109" s="596" t="e">
        <f>H109/$J$122</f>
        <v>#DIV/0!</v>
      </c>
      <c r="L109" s="869"/>
      <c r="Z109" s="93"/>
      <c r="AH109" s="613"/>
      <c r="AI109" s="365"/>
      <c r="AJ109" s="365"/>
      <c r="AK109" s="365"/>
      <c r="AL109" s="365"/>
      <c r="AM109" s="365"/>
    </row>
    <row r="110" spans="1:39" ht="12.75" hidden="1" customHeight="1" outlineLevel="1" x14ac:dyDescent="0.25">
      <c r="A110" s="995"/>
      <c r="C110" s="631"/>
      <c r="D110" s="629"/>
      <c r="E110" s="629"/>
      <c r="F110" s="436"/>
      <c r="G110" s="436"/>
      <c r="H110" s="436"/>
      <c r="I110" s="630"/>
      <c r="J110" s="436"/>
      <c r="Z110" s="93"/>
      <c r="AH110" s="613"/>
      <c r="AI110" s="365"/>
      <c r="AJ110" s="365"/>
      <c r="AK110" s="365"/>
      <c r="AL110" s="365"/>
      <c r="AM110" s="365"/>
    </row>
    <row r="111" spans="1:39" ht="12.75" hidden="1" customHeight="1" outlineLevel="1" x14ac:dyDescent="0.25">
      <c r="A111" s="995"/>
      <c r="C111" s="183" t="s">
        <v>213</v>
      </c>
      <c r="D111" s="183"/>
      <c r="E111" s="183"/>
      <c r="F111" s="183"/>
      <c r="G111" s="183"/>
      <c r="H111" s="111" t="s">
        <v>63</v>
      </c>
      <c r="I111" s="111" t="s">
        <v>215</v>
      </c>
      <c r="J111" s="111" t="s">
        <v>216</v>
      </c>
      <c r="L111" s="870"/>
      <c r="Z111" s="93"/>
      <c r="AH111" s="613"/>
      <c r="AI111" s="365"/>
      <c r="AJ111" s="365"/>
      <c r="AK111" s="365"/>
      <c r="AL111" s="365"/>
      <c r="AM111" s="365"/>
    </row>
    <row r="112" spans="1:39" ht="12.75" hidden="1" customHeight="1" outlineLevel="1" x14ac:dyDescent="0.25">
      <c r="A112" s="995"/>
      <c r="C112" s="623" t="s">
        <v>221</v>
      </c>
      <c r="E112" s="648"/>
      <c r="F112" s="763" t="s">
        <v>222</v>
      </c>
      <c r="G112" s="622"/>
      <c r="H112" s="694">
        <f>Budget!$K$9</f>
        <v>0</v>
      </c>
      <c r="I112" s="624" t="e">
        <f t="shared" ref="I112:I118" si="26">H112/$F$15</f>
        <v>#DIV/0!</v>
      </c>
      <c r="J112" s="625" t="e">
        <f>H112/$J$122</f>
        <v>#DIV/0!</v>
      </c>
      <c r="L112" s="868"/>
      <c r="Z112" s="93"/>
      <c r="AH112" s="613"/>
      <c r="AI112" s="365"/>
      <c r="AJ112" s="365"/>
      <c r="AK112" s="365"/>
      <c r="AL112" s="365"/>
      <c r="AM112" s="365"/>
    </row>
    <row r="113" spans="1:39" ht="12.75" hidden="1" customHeight="1" outlineLevel="1" x14ac:dyDescent="0.25">
      <c r="A113" s="995"/>
      <c r="C113" s="623" t="s">
        <v>223</v>
      </c>
      <c r="D113" s="622"/>
      <c r="E113" s="622"/>
      <c r="F113" s="685"/>
      <c r="G113" s="622"/>
      <c r="H113" s="694">
        <f>Budget!$K$19</f>
        <v>0</v>
      </c>
      <c r="I113" s="624" t="e">
        <f t="shared" si="26"/>
        <v>#DIV/0!</v>
      </c>
      <c r="J113" s="625" t="e">
        <f t="shared" ref="J113:J117" si="27">H113/$J$122</f>
        <v>#DIV/0!</v>
      </c>
      <c r="L113" s="868"/>
      <c r="Z113" s="93"/>
      <c r="AH113" s="613"/>
      <c r="AI113" s="365"/>
      <c r="AJ113" s="365"/>
      <c r="AK113" s="365"/>
      <c r="AL113" s="365"/>
      <c r="AM113" s="365"/>
    </row>
    <row r="114" spans="1:39" ht="12.75" hidden="1" customHeight="1" outlineLevel="1" x14ac:dyDescent="0.25">
      <c r="A114" s="995"/>
      <c r="C114" s="623" t="s">
        <v>224</v>
      </c>
      <c r="D114" s="622"/>
      <c r="F114" s="763" t="e">
        <f>+TEXT(I114/I34,"0.00%") &amp;" of residential value"</f>
        <v>#DIV/0!</v>
      </c>
      <c r="G114" s="659"/>
      <c r="H114" s="694">
        <f>Budget!$K$28</f>
        <v>0</v>
      </c>
      <c r="I114" s="624" t="e">
        <f t="shared" si="26"/>
        <v>#DIV/0!</v>
      </c>
      <c r="J114" s="625" t="e">
        <f t="shared" si="27"/>
        <v>#DIV/0!</v>
      </c>
      <c r="L114" s="868"/>
      <c r="Z114" s="93"/>
      <c r="AH114" s="613"/>
      <c r="AI114" s="365"/>
      <c r="AJ114" s="365"/>
      <c r="AK114" s="365"/>
      <c r="AL114" s="365"/>
      <c r="AM114" s="365"/>
    </row>
    <row r="115" spans="1:39" ht="12.75" hidden="1" customHeight="1" outlineLevel="1" x14ac:dyDescent="0.25">
      <c r="A115" s="995"/>
      <c r="C115" s="623" t="s">
        <v>225</v>
      </c>
      <c r="D115" s="622"/>
      <c r="F115" s="622"/>
      <c r="G115" s="622"/>
      <c r="H115" s="694">
        <f>Budget!$K$46</f>
        <v>0</v>
      </c>
      <c r="I115" s="624" t="e">
        <f t="shared" si="26"/>
        <v>#DIV/0!</v>
      </c>
      <c r="J115" s="625" t="e">
        <f t="shared" si="27"/>
        <v>#DIV/0!</v>
      </c>
      <c r="L115" s="868"/>
      <c r="Z115" s="93"/>
      <c r="AH115" s="613"/>
      <c r="AI115" s="365"/>
      <c r="AJ115" s="365"/>
      <c r="AK115" s="365"/>
      <c r="AL115" s="365"/>
      <c r="AM115" s="365"/>
    </row>
    <row r="116" spans="1:39" ht="12.75" hidden="1" customHeight="1" outlineLevel="1" x14ac:dyDescent="0.25">
      <c r="A116" s="995"/>
      <c r="C116" s="623" t="s">
        <v>226</v>
      </c>
      <c r="D116" s="622"/>
      <c r="E116" s="622"/>
      <c r="F116" s="622"/>
      <c r="G116" s="622"/>
      <c r="H116" s="694">
        <f>Budget!$K$32-Budget!$K$28</f>
        <v>0</v>
      </c>
      <c r="I116" s="624" t="e">
        <f t="shared" si="26"/>
        <v>#DIV/0!</v>
      </c>
      <c r="J116" s="625" t="e">
        <f t="shared" si="27"/>
        <v>#DIV/0!</v>
      </c>
      <c r="L116" s="868"/>
      <c r="Z116" s="93"/>
      <c r="AH116" s="613"/>
      <c r="AI116" s="365"/>
      <c r="AJ116" s="365"/>
      <c r="AK116" s="365"/>
      <c r="AL116" s="365"/>
      <c r="AM116" s="365"/>
    </row>
    <row r="117" spans="1:39" ht="12.75" hidden="1" customHeight="1" outlineLevel="1" x14ac:dyDescent="0.25">
      <c r="A117" s="995"/>
      <c r="C117" s="623" t="s">
        <v>227</v>
      </c>
      <c r="D117" s="622"/>
      <c r="E117" s="622"/>
      <c r="F117" s="622"/>
      <c r="G117" s="1399" t="e">
        <f>H117/SUM(H113:H116)</f>
        <v>#DIV/0!</v>
      </c>
      <c r="H117" s="694">
        <f>Budget!$K$52</f>
        <v>0</v>
      </c>
      <c r="I117" s="624" t="e">
        <f t="shared" si="26"/>
        <v>#DIV/0!</v>
      </c>
      <c r="J117" s="625" t="e">
        <f t="shared" si="27"/>
        <v>#DIV/0!</v>
      </c>
      <c r="L117" s="868"/>
      <c r="Z117" s="93"/>
      <c r="AH117" s="613"/>
      <c r="AI117" s="365"/>
      <c r="AJ117" s="365"/>
      <c r="AK117" s="365"/>
      <c r="AL117" s="365"/>
      <c r="AM117" s="365"/>
    </row>
    <row r="118" spans="1:39" ht="12.75" hidden="1" customHeight="1" outlineLevel="1" x14ac:dyDescent="0.25">
      <c r="A118" s="995"/>
      <c r="C118" s="593" t="s">
        <v>63</v>
      </c>
      <c r="D118" s="585"/>
      <c r="E118" s="585"/>
      <c r="F118" s="585"/>
      <c r="G118" s="585"/>
      <c r="H118" s="586">
        <f>SUM(H112:H117)</f>
        <v>0</v>
      </c>
      <c r="I118" s="586" t="e">
        <f t="shared" si="26"/>
        <v>#DIV/0!</v>
      </c>
      <c r="J118" s="587" t="e">
        <f>H118/$J$122</f>
        <v>#DIV/0!</v>
      </c>
      <c r="L118" s="869"/>
      <c r="Z118" s="93"/>
      <c r="AH118" s="613"/>
      <c r="AI118" s="365"/>
      <c r="AJ118" s="365"/>
      <c r="AK118" s="365"/>
      <c r="AL118" s="365"/>
      <c r="AM118" s="365"/>
    </row>
    <row r="119" spans="1:39" ht="12.75" hidden="1" customHeight="1" outlineLevel="1" x14ac:dyDescent="0.25">
      <c r="A119" s="995"/>
      <c r="C119" s="631"/>
      <c r="D119" s="629"/>
      <c r="E119" s="629"/>
      <c r="F119" s="436"/>
      <c r="G119" s="436"/>
      <c r="H119" s="436"/>
      <c r="I119" s="630"/>
      <c r="J119" s="436"/>
      <c r="Z119" s="93"/>
      <c r="AH119" s="613"/>
      <c r="AI119" s="365"/>
      <c r="AJ119" s="365"/>
      <c r="AK119" s="365"/>
      <c r="AL119" s="365"/>
      <c r="AM119" s="365"/>
    </row>
    <row r="120" spans="1:39" ht="12.75" hidden="1" customHeight="1" outlineLevel="1" x14ac:dyDescent="0.25">
      <c r="A120" s="995"/>
      <c r="C120" s="570" t="s">
        <v>228</v>
      </c>
      <c r="D120" s="571"/>
      <c r="E120" s="572"/>
      <c r="F120" s="573"/>
      <c r="G120" s="573"/>
      <c r="H120" s="597" t="s">
        <v>229</v>
      </c>
      <c r="I120" s="597" t="s">
        <v>110</v>
      </c>
      <c r="J120" s="574" t="s">
        <v>63</v>
      </c>
      <c r="L120" s="870"/>
      <c r="Z120" s="93"/>
      <c r="AH120" s="613"/>
      <c r="AI120" s="365"/>
      <c r="AJ120" s="365"/>
      <c r="AK120" s="365"/>
      <c r="AL120" s="365"/>
      <c r="AM120" s="365"/>
    </row>
    <row r="121" spans="1:39" ht="12.75" hidden="1" customHeight="1" outlineLevel="1" x14ac:dyDescent="0.25">
      <c r="A121" s="995"/>
      <c r="C121" s="575" t="s">
        <v>230</v>
      </c>
      <c r="D121" s="576"/>
      <c r="E121" s="577"/>
      <c r="F121" s="972"/>
      <c r="G121" s="973"/>
      <c r="H121" s="1400">
        <f>Budget!$B$5</f>
        <v>0</v>
      </c>
      <c r="I121" s="1401">
        <f>Budget!$B$6</f>
        <v>0</v>
      </c>
      <c r="J121" s="640">
        <f t="shared" ref="J121" si="28">I121+H121</f>
        <v>0</v>
      </c>
      <c r="L121" s="868"/>
      <c r="Z121" s="93"/>
      <c r="AH121" s="613"/>
      <c r="AI121" s="365"/>
      <c r="AJ121" s="365"/>
      <c r="AK121" s="365"/>
      <c r="AL121" s="365"/>
      <c r="AM121" s="365"/>
    </row>
    <row r="122" spans="1:39" ht="12.75" hidden="1" customHeight="1" outlineLevel="1" x14ac:dyDescent="0.25">
      <c r="A122" s="995"/>
      <c r="C122" s="575" t="s">
        <v>231</v>
      </c>
      <c r="D122" s="576"/>
      <c r="E122" s="577"/>
      <c r="F122" s="972"/>
      <c r="G122" s="973"/>
      <c r="H122" s="694">
        <f>Budget!$D$5</f>
        <v>0</v>
      </c>
      <c r="I122" s="1398">
        <f>Budget!$D$6</f>
        <v>0</v>
      </c>
      <c r="J122" s="578">
        <f>I122+H122</f>
        <v>0</v>
      </c>
      <c r="L122" s="868"/>
      <c r="Z122" s="93"/>
      <c r="AH122" s="613"/>
      <c r="AI122" s="365"/>
      <c r="AJ122" s="365"/>
      <c r="AK122" s="365"/>
      <c r="AL122" s="365"/>
      <c r="AM122" s="365"/>
    </row>
    <row r="123" spans="1:39" ht="12.75" hidden="1" customHeight="1" outlineLevel="1" x14ac:dyDescent="0.25">
      <c r="A123" s="995"/>
      <c r="C123" s="575" t="s">
        <v>232</v>
      </c>
      <c r="D123" s="576"/>
      <c r="E123" s="577"/>
      <c r="F123" s="972"/>
      <c r="G123" s="973"/>
      <c r="H123" s="694" t="e">
        <f>+G15*F15</f>
        <v>#DIV/0!</v>
      </c>
      <c r="I123" s="823">
        <f>+G42</f>
        <v>0</v>
      </c>
      <c r="J123" s="578" t="e">
        <f>I123+H123</f>
        <v>#DIV/0!</v>
      </c>
      <c r="L123" s="868"/>
      <c r="Z123" s="93"/>
      <c r="AH123" s="613"/>
      <c r="AI123" s="365"/>
      <c r="AJ123" s="365"/>
      <c r="AK123" s="365"/>
      <c r="AL123" s="365"/>
      <c r="AM123" s="365"/>
    </row>
    <row r="124" spans="1:39" ht="12.75" hidden="1" customHeight="1" outlineLevel="1" x14ac:dyDescent="0.25">
      <c r="A124" s="995"/>
      <c r="C124" s="575" t="s">
        <v>233</v>
      </c>
      <c r="D124" s="576"/>
      <c r="E124" s="577"/>
      <c r="F124" s="972"/>
      <c r="G124" s="973"/>
      <c r="H124" s="757" t="e">
        <f>+H123/$J$123</f>
        <v>#DIV/0!</v>
      </c>
      <c r="I124" s="757" t="e">
        <f>+I123/$J$123</f>
        <v>#DIV/0!</v>
      </c>
      <c r="J124" s="759"/>
      <c r="L124" s="868"/>
      <c r="Z124" s="93"/>
      <c r="AH124" s="613"/>
      <c r="AI124" s="365"/>
      <c r="AJ124" s="365"/>
      <c r="AK124" s="365"/>
      <c r="AL124" s="365"/>
      <c r="AM124" s="365"/>
    </row>
    <row r="125" spans="1:39" ht="12.75" hidden="1" customHeight="1" outlineLevel="1" x14ac:dyDescent="0.25">
      <c r="A125" s="995"/>
      <c r="C125" s="579" t="s">
        <v>234</v>
      </c>
      <c r="D125" s="580"/>
      <c r="E125" s="581"/>
      <c r="F125" s="582"/>
      <c r="G125" s="583"/>
      <c r="H125" s="758" t="e">
        <f>H123/H122</f>
        <v>#DIV/0!</v>
      </c>
      <c r="I125" s="758" t="e">
        <f>I123/I122</f>
        <v>#DIV/0!</v>
      </c>
      <c r="J125" s="760" t="e">
        <f>J123/J122</f>
        <v>#DIV/0!</v>
      </c>
      <c r="L125" s="869"/>
      <c r="Z125" s="93"/>
      <c r="AH125" s="613"/>
      <c r="AI125" s="365"/>
      <c r="AJ125" s="365"/>
      <c r="AK125" s="365"/>
      <c r="AL125" s="365"/>
      <c r="AM125" s="365"/>
    </row>
    <row r="126" spans="1:39" ht="12.75" hidden="1" customHeight="1" outlineLevel="1" x14ac:dyDescent="0.25">
      <c r="A126" s="995"/>
      <c r="C126" s="686"/>
      <c r="D126" s="687"/>
      <c r="E126" s="687"/>
      <c r="F126" s="688"/>
      <c r="G126" s="688"/>
      <c r="H126" s="688"/>
      <c r="I126" s="689"/>
      <c r="J126" s="688"/>
      <c r="Z126" s="93"/>
      <c r="AH126" s="613"/>
      <c r="AI126" s="365"/>
      <c r="AJ126" s="365"/>
      <c r="AK126" s="365"/>
      <c r="AL126" s="365"/>
      <c r="AM126" s="365"/>
    </row>
    <row r="127" spans="1:39" ht="12.75" hidden="1" customHeight="1" outlineLevel="1" x14ac:dyDescent="0.25">
      <c r="A127" s="995"/>
      <c r="C127" s="638" t="s">
        <v>235</v>
      </c>
      <c r="D127" s="71"/>
      <c r="E127" s="71"/>
      <c r="F127" s="71"/>
      <c r="G127" s="71"/>
      <c r="H127" s="71"/>
      <c r="I127" s="71"/>
      <c r="J127" s="639"/>
      <c r="Z127" s="93"/>
      <c r="AH127" s="613"/>
      <c r="AM127" s="365"/>
    </row>
    <row r="128" spans="1:39" ht="42.75" hidden="1" customHeight="1" outlineLevel="1" x14ac:dyDescent="0.25">
      <c r="A128" s="995"/>
      <c r="B128" s="599"/>
      <c r="C128" s="845" t="s">
        <v>236</v>
      </c>
      <c r="D128" s="844" t="s">
        <v>237</v>
      </c>
      <c r="E128" s="844" t="s">
        <v>238</v>
      </c>
      <c r="F128" s="844" t="s">
        <v>105</v>
      </c>
      <c r="G128" s="844" t="s">
        <v>199</v>
      </c>
      <c r="H128" s="844" t="s">
        <v>106</v>
      </c>
      <c r="I128" s="844" t="s">
        <v>31</v>
      </c>
      <c r="J128" s="771"/>
      <c r="Z128" s="93"/>
      <c r="AH128" s="613"/>
      <c r="AM128" s="365"/>
    </row>
    <row r="129" spans="1:39" ht="12.75" hidden="1" customHeight="1" outlineLevel="1" x14ac:dyDescent="0.25">
      <c r="A129" s="995"/>
      <c r="C129" s="750">
        <v>0</v>
      </c>
      <c r="D129" s="751">
        <f t="shared" ref="D129" si="29">+C129*$I$65</f>
        <v>0</v>
      </c>
      <c r="E129" s="839">
        <f>+'Rent Roll'!J13</f>
        <v>0</v>
      </c>
      <c r="F129" s="839">
        <f>(E129+SUM($H$16:$H$20))*(1-$G$22)-($H$32-$H$30+((E129+SUM($H$16:$H$20))*(1-$G$22))*$G$30)</f>
        <v>0</v>
      </c>
      <c r="G129" s="751" t="e">
        <f>+F129/$I$64</f>
        <v>#N/A</v>
      </c>
      <c r="H129" s="839" t="e">
        <f>+ROUND(F129/$G$34,-4)</f>
        <v>#DIV/0!</v>
      </c>
      <c r="I129" s="752" t="e">
        <f>+$I$64/H129</f>
        <v>#N/A</v>
      </c>
      <c r="J129" s="753" t="s">
        <v>239</v>
      </c>
      <c r="Z129" s="93"/>
      <c r="AH129" s="613"/>
      <c r="AI129" s="365"/>
      <c r="AJ129" s="365"/>
      <c r="AK129" s="365"/>
      <c r="AL129" s="365"/>
      <c r="AM129" s="365"/>
    </row>
    <row r="130" spans="1:39" ht="12.75" hidden="1" customHeight="1" outlineLevel="1" x14ac:dyDescent="0.25">
      <c r="A130" s="995"/>
      <c r="C130" s="660">
        <f>+C131-1%</f>
        <v>-0.04</v>
      </c>
      <c r="D130" s="661">
        <f t="shared" ref="D130:D139" si="30">+$AJ$30</f>
        <v>0</v>
      </c>
      <c r="E130" s="840">
        <f>+SUM('Rent Roll'!$J$3:$J$7)*(1+C130*$I$65)+SUM('Rent Roll'!$J$8:$J$12)</f>
        <v>0</v>
      </c>
      <c r="F130" s="840">
        <f t="shared" ref="F130" si="31">(E130+SUM($H$16:$H$20))*(1-$G$22)-($H$32-$H$30+((E130+SUM($H$16:$H$20))*(1-$G$22))*$G$30)</f>
        <v>0</v>
      </c>
      <c r="G130" s="661" t="e">
        <f t="shared" ref="G130:G139" si="32">+F130/$I$64</f>
        <v>#N/A</v>
      </c>
      <c r="H130" s="840" t="e">
        <f t="shared" ref="H130:H139" si="33">+ROUND(F130/$G$34,-4)</f>
        <v>#DIV/0!</v>
      </c>
      <c r="I130" s="673" t="e">
        <f t="shared" ref="I130:I139" si="34">+$I$64/H130</f>
        <v>#N/A</v>
      </c>
      <c r="J130" s="662"/>
      <c r="Z130" s="93"/>
      <c r="AH130" s="613"/>
      <c r="AI130" s="365"/>
      <c r="AJ130" s="365"/>
      <c r="AK130" s="365"/>
      <c r="AL130" s="365"/>
      <c r="AM130" s="365"/>
    </row>
    <row r="131" spans="1:39" ht="12.75" hidden="1" customHeight="1" outlineLevel="1" x14ac:dyDescent="0.25">
      <c r="A131" s="995"/>
      <c r="B131" s="974"/>
      <c r="C131" s="660">
        <f>+C132-1%</f>
        <v>-0.03</v>
      </c>
      <c r="D131" s="661">
        <f t="shared" si="30"/>
        <v>0</v>
      </c>
      <c r="E131" s="840">
        <f>+SUM('Rent Roll'!$J$3:$J$7)*(1+C131*$I$65)+SUM('Rent Roll'!$J$8:$J$12)</f>
        <v>0</v>
      </c>
      <c r="F131" s="840">
        <f t="shared" ref="F131:F139" si="35">(E131+SUM($H$16:$H$20))*(1-$G$22)-($H$32-$H$30+((E131+SUM($H$16:$H$20))*(1-$G$22))*$G$30)</f>
        <v>0</v>
      </c>
      <c r="G131" s="661" t="e">
        <f t="shared" si="32"/>
        <v>#N/A</v>
      </c>
      <c r="H131" s="840" t="e">
        <f t="shared" si="33"/>
        <v>#DIV/0!</v>
      </c>
      <c r="I131" s="673" t="e">
        <f t="shared" si="34"/>
        <v>#N/A</v>
      </c>
      <c r="J131" s="662"/>
      <c r="Z131" s="93"/>
      <c r="AH131" s="613"/>
      <c r="AI131" s="365"/>
      <c r="AJ131" s="365"/>
      <c r="AK131" s="365"/>
      <c r="AL131" s="365"/>
      <c r="AM131" s="365"/>
    </row>
    <row r="132" spans="1:39" ht="12.75" hidden="1" customHeight="1" outlineLevel="1" x14ac:dyDescent="0.25">
      <c r="A132" s="995"/>
      <c r="C132" s="660">
        <f>+C133-1%</f>
        <v>-0.02</v>
      </c>
      <c r="D132" s="661">
        <f t="shared" si="30"/>
        <v>0</v>
      </c>
      <c r="E132" s="840">
        <f>+SUM('Rent Roll'!$J$3:$J$7)*(1+C132*$I$65)+SUM('Rent Roll'!$J$8:$J$12)</f>
        <v>0</v>
      </c>
      <c r="F132" s="840">
        <f t="shared" si="35"/>
        <v>0</v>
      </c>
      <c r="G132" s="661" t="e">
        <f t="shared" si="32"/>
        <v>#N/A</v>
      </c>
      <c r="H132" s="840" t="e">
        <f t="shared" si="33"/>
        <v>#DIV/0!</v>
      </c>
      <c r="I132" s="673" t="e">
        <f t="shared" si="34"/>
        <v>#N/A</v>
      </c>
      <c r="J132" s="662"/>
      <c r="Z132" s="93"/>
      <c r="AH132" s="613"/>
      <c r="AI132" s="365"/>
      <c r="AJ132" s="365"/>
      <c r="AK132" s="365"/>
      <c r="AL132" s="365"/>
      <c r="AM132" s="365"/>
    </row>
    <row r="133" spans="1:39" ht="12.75" hidden="1" customHeight="1" outlineLevel="1" x14ac:dyDescent="0.25">
      <c r="A133" s="995"/>
      <c r="C133" s="660">
        <f>+C134-1%</f>
        <v>-0.01</v>
      </c>
      <c r="D133" s="661">
        <f t="shared" si="30"/>
        <v>0</v>
      </c>
      <c r="E133" s="840">
        <f>+SUM('Rent Roll'!$J$3:$J$7)*(1+C133*$I$65)+SUM('Rent Roll'!$J$8:$J$12)</f>
        <v>0</v>
      </c>
      <c r="F133" s="840">
        <f t="shared" si="35"/>
        <v>0</v>
      </c>
      <c r="G133" s="661" t="e">
        <f t="shared" si="32"/>
        <v>#N/A</v>
      </c>
      <c r="H133" s="840" t="e">
        <f t="shared" si="33"/>
        <v>#DIV/0!</v>
      </c>
      <c r="I133" s="673" t="e">
        <f t="shared" si="34"/>
        <v>#N/A</v>
      </c>
      <c r="J133" s="662"/>
      <c r="Z133" s="93"/>
      <c r="AH133" s="613"/>
      <c r="AI133" s="365"/>
      <c r="AJ133" s="365"/>
      <c r="AK133" s="365"/>
      <c r="AL133" s="365"/>
      <c r="AM133" s="365"/>
    </row>
    <row r="134" spans="1:39" ht="12.75" hidden="1" customHeight="1" outlineLevel="1" x14ac:dyDescent="0.25">
      <c r="A134" s="995"/>
      <c r="C134" s="653">
        <f>+AJ29</f>
        <v>0</v>
      </c>
      <c r="D134" s="654">
        <f t="shared" si="30"/>
        <v>0</v>
      </c>
      <c r="E134" s="841">
        <f>+SUM('Rent Roll'!$J$3:$J$7)*(1+C134*$I$65)+SUM('Rent Roll'!$J$8:$J$12)</f>
        <v>0</v>
      </c>
      <c r="F134" s="841">
        <f t="shared" si="35"/>
        <v>0</v>
      </c>
      <c r="G134" s="654" t="e">
        <f t="shared" si="32"/>
        <v>#N/A</v>
      </c>
      <c r="H134" s="841" t="e">
        <f t="shared" si="33"/>
        <v>#DIV/0!</v>
      </c>
      <c r="I134" s="748" t="e">
        <f t="shared" si="34"/>
        <v>#N/A</v>
      </c>
      <c r="J134" s="747" t="s">
        <v>240</v>
      </c>
      <c r="Z134" s="93"/>
      <c r="AH134" s="613"/>
      <c r="AI134" s="365"/>
      <c r="AJ134" s="365"/>
      <c r="AK134" s="365"/>
      <c r="AL134" s="365"/>
      <c r="AM134" s="365"/>
    </row>
    <row r="135" spans="1:39" ht="12.75" hidden="1" customHeight="1" outlineLevel="1" x14ac:dyDescent="0.25">
      <c r="A135" s="995"/>
      <c r="C135" s="660">
        <f>+C134+1%</f>
        <v>0.01</v>
      </c>
      <c r="D135" s="661">
        <f t="shared" si="30"/>
        <v>0</v>
      </c>
      <c r="E135" s="840">
        <f>+SUM('Rent Roll'!$J$3:$J$7)*(1+C135*$I$65)+SUM('Rent Roll'!$J$8:$J$12)</f>
        <v>0</v>
      </c>
      <c r="F135" s="840">
        <f t="shared" si="35"/>
        <v>0</v>
      </c>
      <c r="G135" s="661" t="e">
        <f t="shared" si="32"/>
        <v>#N/A</v>
      </c>
      <c r="H135" s="840" t="e">
        <f t="shared" si="33"/>
        <v>#DIV/0!</v>
      </c>
      <c r="I135" s="673" t="e">
        <f t="shared" si="34"/>
        <v>#N/A</v>
      </c>
      <c r="J135" s="662"/>
      <c r="Z135" s="93"/>
      <c r="AH135" s="613"/>
      <c r="AI135" s="365"/>
      <c r="AJ135" s="365"/>
      <c r="AK135" s="365"/>
      <c r="AL135" s="365"/>
      <c r="AM135" s="365"/>
    </row>
    <row r="136" spans="1:39" ht="12.75" hidden="1" customHeight="1" outlineLevel="1" x14ac:dyDescent="0.25">
      <c r="A136" s="995"/>
      <c r="C136" s="660">
        <f>+C135+1%</f>
        <v>0.02</v>
      </c>
      <c r="D136" s="661">
        <f t="shared" si="30"/>
        <v>0</v>
      </c>
      <c r="E136" s="840">
        <f>+SUM('Rent Roll'!$J$3:$J$7)*(1+C136*$I$65)+SUM('Rent Roll'!$J$8:$J$12)</f>
        <v>0</v>
      </c>
      <c r="F136" s="840">
        <f t="shared" si="35"/>
        <v>0</v>
      </c>
      <c r="G136" s="661" t="e">
        <f t="shared" si="32"/>
        <v>#N/A</v>
      </c>
      <c r="H136" s="840" t="e">
        <f t="shared" si="33"/>
        <v>#DIV/0!</v>
      </c>
      <c r="I136" s="673" t="e">
        <f t="shared" si="34"/>
        <v>#N/A</v>
      </c>
      <c r="J136" s="662"/>
      <c r="Z136" s="93"/>
      <c r="AH136" s="613"/>
      <c r="AI136" s="365"/>
      <c r="AJ136" s="365"/>
      <c r="AK136" s="365"/>
      <c r="AL136" s="365"/>
      <c r="AM136" s="365"/>
    </row>
    <row r="137" spans="1:39" ht="12.75" hidden="1" customHeight="1" outlineLevel="1" x14ac:dyDescent="0.25">
      <c r="A137" s="995"/>
      <c r="C137" s="660">
        <f>+C136+1%</f>
        <v>0.03</v>
      </c>
      <c r="D137" s="661">
        <f t="shared" si="30"/>
        <v>0</v>
      </c>
      <c r="E137" s="840">
        <f>+SUM('Rent Roll'!$J$3:$J$7)*(1+C137*$I$65)+SUM('Rent Roll'!$J$8:$J$12)</f>
        <v>0</v>
      </c>
      <c r="F137" s="840">
        <f t="shared" si="35"/>
        <v>0</v>
      </c>
      <c r="G137" s="661" t="e">
        <f t="shared" si="32"/>
        <v>#N/A</v>
      </c>
      <c r="H137" s="840" t="e">
        <f t="shared" si="33"/>
        <v>#DIV/0!</v>
      </c>
      <c r="I137" s="673" t="e">
        <f t="shared" si="34"/>
        <v>#N/A</v>
      </c>
      <c r="J137" s="662"/>
      <c r="Z137" s="93"/>
      <c r="AH137" s="613"/>
      <c r="AI137" s="365"/>
      <c r="AJ137" s="365"/>
      <c r="AK137" s="365"/>
      <c r="AL137" s="365"/>
      <c r="AM137" s="365"/>
    </row>
    <row r="138" spans="1:39" ht="12.75" hidden="1" customHeight="1" outlineLevel="1" x14ac:dyDescent="0.25">
      <c r="A138" s="995"/>
      <c r="C138" s="660">
        <f>+C137+1%</f>
        <v>0.04</v>
      </c>
      <c r="D138" s="661">
        <f t="shared" si="30"/>
        <v>0</v>
      </c>
      <c r="E138" s="840">
        <f>+SUM('Rent Roll'!$J$3:$J$7)*(1+C138*$I$65)+SUM('Rent Roll'!$J$8:$J$12)</f>
        <v>0</v>
      </c>
      <c r="F138" s="840">
        <f t="shared" si="35"/>
        <v>0</v>
      </c>
      <c r="G138" s="661" t="e">
        <f t="shared" si="32"/>
        <v>#N/A</v>
      </c>
      <c r="H138" s="840" t="e">
        <f t="shared" si="33"/>
        <v>#DIV/0!</v>
      </c>
      <c r="I138" s="673" t="e">
        <f t="shared" si="34"/>
        <v>#N/A</v>
      </c>
      <c r="J138" s="662"/>
      <c r="Z138" s="93"/>
      <c r="AH138" s="613"/>
      <c r="AI138" s="365"/>
      <c r="AJ138" s="365"/>
      <c r="AK138" s="365"/>
      <c r="AL138" s="365"/>
      <c r="AM138" s="365"/>
    </row>
    <row r="139" spans="1:39" ht="12.75" hidden="1" customHeight="1" outlineLevel="1" x14ac:dyDescent="0.25">
      <c r="A139" s="995"/>
      <c r="C139" s="663">
        <f>+C138+1%</f>
        <v>0.05</v>
      </c>
      <c r="D139" s="664">
        <f t="shared" si="30"/>
        <v>0</v>
      </c>
      <c r="E139" s="842">
        <f>+SUM('Rent Roll'!$J$3:$J$7)*(1+C139*$I$65)+SUM('Rent Roll'!$J$8:$J$12)</f>
        <v>0</v>
      </c>
      <c r="F139" s="842">
        <f t="shared" si="35"/>
        <v>0</v>
      </c>
      <c r="G139" s="664" t="e">
        <f t="shared" si="32"/>
        <v>#N/A</v>
      </c>
      <c r="H139" s="842" t="e">
        <f t="shared" si="33"/>
        <v>#DIV/0!</v>
      </c>
      <c r="I139" s="749" t="e">
        <f t="shared" si="34"/>
        <v>#N/A</v>
      </c>
      <c r="J139" s="665"/>
      <c r="Z139" s="93"/>
      <c r="AH139" s="613"/>
      <c r="AM139" s="365"/>
    </row>
    <row r="140" spans="1:39" ht="12.75" hidden="1" customHeight="1" outlineLevel="1" x14ac:dyDescent="0.25">
      <c r="A140" s="995"/>
      <c r="C140" s="672"/>
      <c r="D140" s="661"/>
      <c r="E140" s="650"/>
      <c r="F140" s="650"/>
      <c r="G140" s="661"/>
      <c r="H140" s="650"/>
      <c r="I140" s="673"/>
      <c r="J140" s="611"/>
      <c r="Z140" s="93"/>
      <c r="AH140" s="613"/>
      <c r="AM140" s="365"/>
    </row>
    <row r="141" spans="1:39" ht="12.75" hidden="1" customHeight="1" outlineLevel="1" x14ac:dyDescent="0.25">
      <c r="A141" s="995"/>
      <c r="C141" s="638" t="s">
        <v>533</v>
      </c>
      <c r="D141" s="71"/>
      <c r="E141" s="639"/>
      <c r="F141" s="650"/>
      <c r="G141" s="638" t="s">
        <v>531</v>
      </c>
      <c r="H141" s="639"/>
      <c r="I141" s="1021"/>
      <c r="J141" s="611"/>
      <c r="Z141" s="93"/>
      <c r="AH141" s="613"/>
      <c r="AI141" s="365"/>
      <c r="AJ141" s="365"/>
      <c r="AK141" s="365"/>
      <c r="AL141" s="365"/>
      <c r="AM141" s="365"/>
    </row>
    <row r="142" spans="1:39" ht="12.75" hidden="1" customHeight="1" outlineLevel="1" x14ac:dyDescent="0.25">
      <c r="A142" s="995"/>
      <c r="C142" s="674" t="s">
        <v>241</v>
      </c>
      <c r="D142" s="675" t="s">
        <v>106</v>
      </c>
      <c r="E142" s="676" t="s">
        <v>31</v>
      </c>
      <c r="F142" s="650"/>
      <c r="G142" s="674" t="s">
        <v>88</v>
      </c>
      <c r="H142" s="1020" t="s">
        <v>532</v>
      </c>
      <c r="I142" s="1022"/>
      <c r="J142" s="611"/>
      <c r="L142" s="1015"/>
      <c r="Z142" s="93"/>
      <c r="AH142" s="613"/>
      <c r="AI142" s="365"/>
      <c r="AJ142" s="365"/>
      <c r="AK142" s="365"/>
      <c r="AL142" s="365"/>
      <c r="AM142" s="365"/>
    </row>
    <row r="143" spans="1:39" ht="12.75" hidden="1" customHeight="1" outlineLevel="1" x14ac:dyDescent="0.25">
      <c r="A143" s="995"/>
      <c r="C143" s="660">
        <f>C144-0.25%</f>
        <v>-5.0000000000000001E-3</v>
      </c>
      <c r="D143" s="975">
        <f>ROUND($H$33/C143,-4)</f>
        <v>0</v>
      </c>
      <c r="E143" s="678" t="e">
        <f>$I$64/D143</f>
        <v>#N/A</v>
      </c>
      <c r="F143" s="650"/>
      <c r="G143" s="660">
        <f>G144-1%</f>
        <v>-0.02</v>
      </c>
      <c r="H143" s="1534" t="e">
        <f>+($H$21*(1-G143)-$H$32)/(PMT((1+$I$71/2)^(1/6)-1,$I$69*12,-$I$61)*12)</f>
        <v>#NUM!</v>
      </c>
      <c r="I143" s="131"/>
      <c r="J143" s="611"/>
      <c r="L143" s="1016"/>
      <c r="Z143" s="93"/>
      <c r="AH143" s="1018"/>
      <c r="AI143" s="1017"/>
      <c r="AJ143" s="365"/>
      <c r="AK143" s="365"/>
      <c r="AL143" s="365"/>
      <c r="AM143" s="365"/>
    </row>
    <row r="144" spans="1:39" ht="12.75" hidden="1" customHeight="1" outlineLevel="1" x14ac:dyDescent="0.25">
      <c r="A144" s="995"/>
      <c r="C144" s="660">
        <f>C145-0.25%</f>
        <v>-2.5000000000000001E-3</v>
      </c>
      <c r="D144" s="975">
        <f t="shared" ref="D144" si="36">ROUND($H$33/C144,-4)</f>
        <v>0</v>
      </c>
      <c r="E144" s="678" t="e">
        <f>$I$64/D144</f>
        <v>#N/A</v>
      </c>
      <c r="F144" s="650"/>
      <c r="G144" s="660">
        <f>G145-1%</f>
        <v>-0.01</v>
      </c>
      <c r="H144" s="1534" t="e">
        <f t="shared" ref="H144:H147" si="37">+($H$21*(1-G144)-$H$32)/(PMT((1+$I$71/2)^(1/6)-1,$I$69*12,-$I$61)*12)</f>
        <v>#NUM!</v>
      </c>
      <c r="I144" s="131"/>
      <c r="J144" s="611"/>
      <c r="Z144" s="93"/>
      <c r="AH144" s="1018"/>
      <c r="AI144" s="1017"/>
      <c r="AJ144" s="365"/>
      <c r="AK144" s="365"/>
      <c r="AL144" s="365"/>
      <c r="AM144" s="365"/>
    </row>
    <row r="145" spans="1:39" ht="12.75" hidden="1" customHeight="1" outlineLevel="1" x14ac:dyDescent="0.25">
      <c r="A145" s="995"/>
      <c r="C145" s="653">
        <f>+G34</f>
        <v>0</v>
      </c>
      <c r="D145" s="976" t="e">
        <f>ROUND($H$33/C145,-4)</f>
        <v>#DIV/0!</v>
      </c>
      <c r="E145" s="677" t="e">
        <f>$I$64/D145</f>
        <v>#N/A</v>
      </c>
      <c r="F145" s="650"/>
      <c r="G145" s="653">
        <f>+AI21</f>
        <v>0</v>
      </c>
      <c r="H145" s="1535" t="e">
        <f t="shared" si="37"/>
        <v>#NUM!</v>
      </c>
      <c r="I145" s="131"/>
      <c r="J145" s="611"/>
      <c r="Z145" s="93"/>
      <c r="AH145" s="1018"/>
      <c r="AI145" s="1017"/>
      <c r="AJ145" s="365"/>
      <c r="AK145" s="365"/>
      <c r="AL145" s="365"/>
      <c r="AM145" s="365"/>
    </row>
    <row r="146" spans="1:39" ht="12.75" hidden="1" customHeight="1" outlineLevel="1" x14ac:dyDescent="0.25">
      <c r="A146" s="995"/>
      <c r="C146" s="660">
        <f>+C145+0.25%</f>
        <v>2.5000000000000001E-3</v>
      </c>
      <c r="D146" s="975">
        <f>ROUND($H$33/C146,-4)</f>
        <v>0</v>
      </c>
      <c r="E146" s="678" t="e">
        <f>$I$64/D146</f>
        <v>#N/A</v>
      </c>
      <c r="F146" s="650"/>
      <c r="G146" s="660">
        <f>+G145+1%</f>
        <v>0.01</v>
      </c>
      <c r="H146" s="1534" t="e">
        <f t="shared" si="37"/>
        <v>#NUM!</v>
      </c>
      <c r="I146" s="131"/>
      <c r="J146" s="611"/>
      <c r="Z146" s="93"/>
      <c r="AH146" s="1018"/>
      <c r="AI146" s="1017"/>
      <c r="AJ146" s="365"/>
      <c r="AK146" s="365"/>
      <c r="AL146" s="365"/>
      <c r="AM146" s="365"/>
    </row>
    <row r="147" spans="1:39" ht="12.75" hidden="1" customHeight="1" outlineLevel="1" x14ac:dyDescent="0.25">
      <c r="A147" s="995"/>
      <c r="C147" s="663">
        <f t="shared" ref="C147" si="38">+C146+0.25%</f>
        <v>5.0000000000000001E-3</v>
      </c>
      <c r="D147" s="843">
        <f>ROUND($H$33/C147,-4)</f>
        <v>0</v>
      </c>
      <c r="E147" s="679" t="e">
        <f>$I$64/D147</f>
        <v>#N/A</v>
      </c>
      <c r="F147" s="650"/>
      <c r="G147" s="663">
        <f>+G146+1%</f>
        <v>0.02</v>
      </c>
      <c r="H147" s="1536" t="e">
        <f t="shared" si="37"/>
        <v>#NUM!</v>
      </c>
      <c r="I147" s="131"/>
      <c r="J147" s="611"/>
      <c r="Z147" s="93"/>
      <c r="AH147" s="1018"/>
      <c r="AI147" s="1017"/>
      <c r="AJ147" s="365"/>
      <c r="AK147" s="365"/>
      <c r="AL147" s="365"/>
      <c r="AM147" s="365"/>
    </row>
    <row r="148" spans="1:39" ht="12.75" hidden="1" customHeight="1" outlineLevel="1" x14ac:dyDescent="0.25">
      <c r="A148" s="995"/>
      <c r="C148" s="690"/>
      <c r="D148" s="691"/>
      <c r="E148" s="691"/>
      <c r="F148" s="615"/>
      <c r="G148" s="615"/>
      <c r="H148" s="615"/>
      <c r="J148" s="615"/>
      <c r="Z148" s="93"/>
      <c r="AH148" s="613"/>
      <c r="AJ148" s="365"/>
      <c r="AK148" s="365"/>
      <c r="AL148" s="365"/>
      <c r="AM148" s="365"/>
    </row>
    <row r="149" spans="1:39" ht="12.75" customHeight="1" collapsed="1" x14ac:dyDescent="0.25">
      <c r="A149" s="995"/>
      <c r="C149" s="182" t="s">
        <v>510</v>
      </c>
      <c r="D149" s="183"/>
      <c r="E149" s="183"/>
      <c r="F149" s="183"/>
      <c r="G149" s="183"/>
      <c r="H149" s="111" t="s">
        <v>88</v>
      </c>
      <c r="I149" s="111" t="s">
        <v>171</v>
      </c>
      <c r="J149" s="178" t="s">
        <v>174</v>
      </c>
      <c r="Z149" s="93"/>
      <c r="AH149" s="613"/>
      <c r="AI149" s="111" t="s">
        <v>511</v>
      </c>
      <c r="AJ149" s="111" t="s">
        <v>88</v>
      </c>
      <c r="AK149" s="111" t="s">
        <v>171</v>
      </c>
      <c r="AL149" s="199" t="s">
        <v>174</v>
      </c>
      <c r="AM149" s="365"/>
    </row>
    <row r="150" spans="1:39" ht="12.75" customHeight="1" x14ac:dyDescent="0.25">
      <c r="A150" s="996"/>
      <c r="C150" s="955" t="s">
        <v>168</v>
      </c>
      <c r="D150" s="956"/>
      <c r="E150" s="956"/>
      <c r="F150" s="956"/>
      <c r="G150" s="956"/>
      <c r="H150" s="957" t="e">
        <f>1-((($I$64-$H$52)*$G$34+SUM($H$24:$H$28,$H$31))/((1-($G$29+$G$30)))/$H$21)</f>
        <v>#N/A</v>
      </c>
      <c r="I150" s="958" t="e">
        <f>((($I$64-$H$52)*$G$34+SUM($H$24:$H$28,$H$31))/((1-$G$22)*(1-$G$30-$G$29))-SUM($H$16:$H$20))/(12*$F$15)</f>
        <v>#N/A</v>
      </c>
      <c r="J150" s="959" t="e">
        <f>I150/$G$15</f>
        <v>#N/A</v>
      </c>
      <c r="Z150" s="93"/>
      <c r="AH150" s="613"/>
      <c r="AJ150" s="952" t="e">
        <f>1-(SUM(H24:H28,H31)/(1-(G29+$G$30))+PMT((1+$I$71/2)^(1/6)-1,$I$69*12,-$I$64)*12)/H21</f>
        <v>#N/A</v>
      </c>
      <c r="AK150" s="953" t="e">
        <f>(SUM(H24:H28,H31)/(1-(G29+$G$30))+PMT((1+$I$71/2)^(1/6)-1,$I$69*12,-$I$64)*12)/F15/12</f>
        <v>#N/A</v>
      </c>
      <c r="AL150" s="954" t="e">
        <f>AK150/$G$15</f>
        <v>#N/A</v>
      </c>
      <c r="AM150" s="365"/>
    </row>
    <row r="151" spans="1:39" ht="12.75" customHeight="1" x14ac:dyDescent="0.25">
      <c r="C151" s="78"/>
      <c r="D151" s="78"/>
      <c r="E151" s="977"/>
      <c r="F151" s="978"/>
      <c r="G151" s="978"/>
      <c r="H151" s="27"/>
      <c r="I151" s="27"/>
      <c r="J151" s="27"/>
      <c r="Z151" s="93"/>
      <c r="AH151" s="613"/>
      <c r="AJ151" s="365"/>
      <c r="AK151" s="365"/>
      <c r="AL151" s="365"/>
      <c r="AM151" s="365"/>
    </row>
    <row r="152" spans="1:39" ht="12.75" hidden="1" customHeight="1" outlineLevel="1" x14ac:dyDescent="0.25">
      <c r="B152" s="613" t="s">
        <v>243</v>
      </c>
      <c r="C152" s="945" t="s">
        <v>120</v>
      </c>
      <c r="D152" s="946"/>
      <c r="E152" s="946"/>
      <c r="F152" s="946"/>
      <c r="G152" s="111" t="s">
        <v>530</v>
      </c>
      <c r="H152" s="947" t="s">
        <v>244</v>
      </c>
      <c r="I152" s="947" t="s">
        <v>245</v>
      </c>
      <c r="J152" s="494"/>
      <c r="L152" s="870"/>
      <c r="Z152" s="93"/>
      <c r="AH152" s="613"/>
      <c r="AI152" s="365"/>
      <c r="AJ152" s="365"/>
      <c r="AK152" s="365"/>
      <c r="AL152" s="365"/>
      <c r="AM152" s="365"/>
    </row>
    <row r="153" spans="1:39" ht="12.75" hidden="1" customHeight="1" outlineLevel="1" x14ac:dyDescent="0.25">
      <c r="B153" s="613"/>
      <c r="C153" s="210" t="s">
        <v>167</v>
      </c>
      <c r="D153" s="219"/>
      <c r="E153" s="219"/>
      <c r="F153" s="219"/>
      <c r="G153" s="219"/>
      <c r="H153" s="219"/>
      <c r="I153" s="434">
        <f>+IF(I159&lt;&gt;"",IF(I159=5,$I$226,$J$226),0)</f>
        <v>0</v>
      </c>
      <c r="J153" s="221"/>
      <c r="L153" s="868"/>
      <c r="Z153" s="93"/>
      <c r="AH153" s="613"/>
      <c r="AI153" s="365"/>
      <c r="AJ153" s="365"/>
      <c r="AK153" s="365"/>
      <c r="AL153" s="365"/>
      <c r="AM153" s="365"/>
    </row>
    <row r="154" spans="1:39" ht="12.75" hidden="1" customHeight="1" outlineLevel="1" x14ac:dyDescent="0.25">
      <c r="B154" s="613"/>
      <c r="C154" s="210" t="s">
        <v>169</v>
      </c>
      <c r="D154" s="102"/>
      <c r="E154" s="102"/>
      <c r="F154" s="102"/>
      <c r="G154" s="102"/>
      <c r="H154" s="102"/>
      <c r="I154" s="430">
        <f>+IF(I159&lt;&gt;"",IF(I159=5,$I$231,$J$231),0)</f>
        <v>0</v>
      </c>
      <c r="J154" s="216"/>
      <c r="L154" s="868"/>
      <c r="Z154" s="93"/>
      <c r="AH154" s="613"/>
      <c r="AI154" s="365"/>
      <c r="AJ154" s="365"/>
      <c r="AK154" s="365"/>
      <c r="AL154" s="365"/>
      <c r="AM154" s="365"/>
    </row>
    <row r="155" spans="1:39" ht="12.75" hidden="1" customHeight="1" outlineLevel="1" x14ac:dyDescent="0.25">
      <c r="C155" s="220" t="s">
        <v>170</v>
      </c>
      <c r="D155" s="219"/>
      <c r="E155" s="219"/>
      <c r="F155" s="219"/>
      <c r="G155" s="219"/>
      <c r="H155" s="257"/>
      <c r="I155" s="491">
        <f>SUM(I153:I154)</f>
        <v>0</v>
      </c>
      <c r="J155" s="215"/>
      <c r="L155" s="868"/>
      <c r="Z155" s="93"/>
      <c r="AH155" s="613"/>
      <c r="AI155" s="365"/>
      <c r="AJ155" s="365"/>
      <c r="AK155" s="365"/>
      <c r="AL155" s="365"/>
      <c r="AM155" s="365"/>
    </row>
    <row r="156" spans="1:39" ht="12.75" hidden="1" customHeight="1" outlineLevel="1" x14ac:dyDescent="0.25">
      <c r="C156" s="210" t="s">
        <v>173</v>
      </c>
      <c r="H156" s="403"/>
      <c r="I156" s="492">
        <f>+I257</f>
        <v>0</v>
      </c>
      <c r="J156" s="215"/>
      <c r="L156" s="868"/>
      <c r="Z156" s="93"/>
    </row>
    <row r="157" spans="1:39" ht="13.5" hidden="1" customHeight="1" outlineLevel="1" x14ac:dyDescent="0.25">
      <c r="C157" s="106" t="s">
        <v>176</v>
      </c>
      <c r="D157" s="102"/>
      <c r="E157" s="102"/>
      <c r="F157" s="102"/>
      <c r="G157" s="102"/>
      <c r="H157" s="404"/>
      <c r="I157" s="1512" t="e">
        <f>+I250*0
+IF(F208="Effective July 14, 2025", I250,I272)</f>
        <v>#N/A</v>
      </c>
      <c r="J157" s="215"/>
      <c r="L157" s="868"/>
      <c r="Z157" s="93"/>
    </row>
    <row r="158" spans="1:39" ht="13.5" hidden="1" customHeight="1" outlineLevel="1" x14ac:dyDescent="0.25">
      <c r="C158" s="255" t="s">
        <v>177</v>
      </c>
      <c r="D158" s="256"/>
      <c r="E158" s="256"/>
      <c r="F158" s="256"/>
      <c r="G158" s="256"/>
      <c r="H158" s="252">
        <f>+SUM(H155:H157)</f>
        <v>0</v>
      </c>
      <c r="I158" s="252" t="e">
        <f>+SUM(I155:I157)</f>
        <v>#N/A</v>
      </c>
      <c r="J158" s="775"/>
      <c r="L158" s="868"/>
      <c r="Z158" s="93"/>
    </row>
    <row r="159" spans="1:39" ht="13.5" hidden="1" customHeight="1" outlineLevel="1" x14ac:dyDescent="0.25">
      <c r="C159" s="220" t="s">
        <v>18</v>
      </c>
      <c r="D159" s="219"/>
      <c r="E159" s="219"/>
      <c r="F159" s="219"/>
      <c r="G159" s="219"/>
      <c r="H159" s="257"/>
      <c r="I159" s="491"/>
      <c r="J159" s="215"/>
      <c r="L159" s="868"/>
      <c r="Z159" s="93"/>
    </row>
    <row r="160" spans="1:39" ht="13.5" hidden="1" customHeight="1" outlineLevel="1" x14ac:dyDescent="0.25">
      <c r="C160" s="18" t="s">
        <v>19</v>
      </c>
      <c r="G160" s="1009" t="str">
        <f>+IF(AND(F204="MLI Market",F207="Existing Property"),40,IF(AND(F204="MLI Market",F207="New Construction"),50,IF(AND(F204="MLI Select",SUM(F217:F219)&lt;51),40,IF(AND(F204="MLI Select",SUM(F217:F219)&lt;71),45,IF(AND(F204="MLI Select",SUM(F217:F219)&lt;101),50,"")))))</f>
        <v/>
      </c>
      <c r="H160" s="253"/>
      <c r="I160" s="492"/>
      <c r="J160" s="215"/>
      <c r="L160" s="868"/>
      <c r="Z160" s="93"/>
      <c r="AH160" s="1032"/>
    </row>
    <row r="161" spans="2:37" ht="13.5" hidden="1" customHeight="1" outlineLevel="1" x14ac:dyDescent="0.25">
      <c r="C161" s="18" t="s">
        <v>146</v>
      </c>
      <c r="H161" s="254"/>
      <c r="I161" s="493"/>
      <c r="J161" s="215"/>
      <c r="L161" s="868"/>
      <c r="Z161" s="93"/>
      <c r="AH161" s="1032"/>
    </row>
    <row r="162" spans="2:37" ht="13.5" hidden="1" customHeight="1" outlineLevel="1" x14ac:dyDescent="0.25">
      <c r="C162" s="18" t="s">
        <v>246</v>
      </c>
      <c r="H162" s="1488"/>
      <c r="I162" s="1443"/>
      <c r="J162" s="215"/>
      <c r="L162" s="868"/>
      <c r="Z162" s="93"/>
    </row>
    <row r="163" spans="2:37" ht="13.5" hidden="1" customHeight="1" outlineLevel="1" x14ac:dyDescent="0.25">
      <c r="C163" s="18" t="s">
        <v>186</v>
      </c>
      <c r="H163" s="196" t="str">
        <f>IFERROR(CONCATENATE("5Y CMB (",TEXT($I$236,"0.000%"),") + ",TEXT($I$237,"0.000%")),"ERROR")</f>
        <v>5Y CMB (3.310%) + 0.000%</v>
      </c>
      <c r="I163" s="501">
        <f>+I239</f>
        <v>3.3099999999999997E-2</v>
      </c>
      <c r="J163" s="502" t="e">
        <f>+'Buydown Calc'!$C$6</f>
        <v>#N/A</v>
      </c>
      <c r="L163" s="868"/>
      <c r="Z163" s="93"/>
    </row>
    <row r="164" spans="2:37" ht="13.5" hidden="1" customHeight="1" outlineLevel="1" x14ac:dyDescent="0.25">
      <c r="C164" s="18" t="s">
        <v>189</v>
      </c>
      <c r="H164" s="196" t="str">
        <f>IFERROR(CONCATENATE("10Y CMB (",TEXT($J$236,"0.000%"),") + ",TEXT($J$237,"0.000%")),"ERROR")</f>
        <v>10Y CMB (3.740%) + 0.000%</v>
      </c>
      <c r="I164" s="501">
        <f>+J239</f>
        <v>3.7400000000000003E-2</v>
      </c>
      <c r="J164" s="502" t="e">
        <f>+'Buydown Calc'!$C$7</f>
        <v>#N/A</v>
      </c>
      <c r="L164" s="868"/>
      <c r="Z164" s="93"/>
    </row>
    <row r="165" spans="2:37" ht="13.5" hidden="1" customHeight="1" outlineLevel="1" x14ac:dyDescent="0.25">
      <c r="C165" s="106" t="s">
        <v>184</v>
      </c>
      <c r="D165" s="102"/>
      <c r="E165" s="102"/>
      <c r="F165" s="102"/>
      <c r="G165" s="102"/>
      <c r="H165" s="405"/>
      <c r="I165" s="998"/>
      <c r="J165" s="216"/>
      <c r="L165" s="869"/>
      <c r="Z165" s="93"/>
    </row>
    <row r="166" spans="2:37" ht="13.5" hidden="1" customHeight="1" outlineLevel="1" x14ac:dyDescent="0.25">
      <c r="Z166" s="93"/>
    </row>
    <row r="167" spans="2:37" ht="13.5" hidden="1" customHeight="1" outlineLevel="2" x14ac:dyDescent="0.25">
      <c r="B167" s="613" t="s">
        <v>247</v>
      </c>
      <c r="C167" s="182" t="s">
        <v>156</v>
      </c>
      <c r="D167" s="183"/>
      <c r="E167" s="183"/>
      <c r="F167" s="183"/>
      <c r="G167" s="111" t="s">
        <v>530</v>
      </c>
      <c r="H167" s="111" t="s">
        <v>244</v>
      </c>
      <c r="I167" s="111" t="s">
        <v>248</v>
      </c>
      <c r="J167" s="178"/>
      <c r="Z167" s="93"/>
      <c r="AJ167" s="196"/>
      <c r="AK167" s="1" t="s">
        <v>249</v>
      </c>
    </row>
    <row r="168" spans="2:37" ht="13.5" hidden="1" customHeight="1" outlineLevel="2" x14ac:dyDescent="0.25">
      <c r="C168" s="220" t="s">
        <v>199</v>
      </c>
      <c r="D168" s="219"/>
      <c r="E168" s="219"/>
      <c r="F168" s="219"/>
      <c r="G168" s="219"/>
      <c r="H168" s="997" t="e">
        <f>H53/H158</f>
        <v>#DIV/0!</v>
      </c>
      <c r="I168" s="997" t="e">
        <f>+H53/(H158+I158)</f>
        <v>#N/A</v>
      </c>
      <c r="J168" s="221"/>
      <c r="Z168" s="93"/>
      <c r="AI168" s="1" t="s">
        <v>515</v>
      </c>
      <c r="AJ168" s="1002"/>
    </row>
    <row r="169" spans="2:37" ht="13.5" hidden="1" customHeight="1" outlineLevel="2" x14ac:dyDescent="0.25">
      <c r="C169" s="18" t="s">
        <v>160</v>
      </c>
      <c r="G169" s="1010" t="str">
        <f>+IF(F204="MLI Market",0.85,IF(AND(F204="MLI Select",F207="Existing Property",SUM(Economics!F217:F219)&lt;51),0.85,IF(AND(F204="MLI Select",F207="Existing Property",SUM(Economics!F217:F219)&gt;69),0.95,"")))</f>
        <v/>
      </c>
      <c r="H169" s="744" t="e">
        <f>H158/H54</f>
        <v>#DIV/0!</v>
      </c>
      <c r="I169" s="744" t="e">
        <f>SUM(H158,I158)/H54</f>
        <v>#N/A</v>
      </c>
      <c r="J169" s="108"/>
      <c r="Z169" s="93"/>
      <c r="AI169" s="1" t="s">
        <v>514</v>
      </c>
      <c r="AJ169" s="406">
        <f>+AJ168*12</f>
        <v>0</v>
      </c>
    </row>
    <row r="170" spans="2:37" ht="13.5" hidden="1" customHeight="1" outlineLevel="2" x14ac:dyDescent="0.25">
      <c r="C170" s="18" t="str">
        <f>+IF(F220=0,"LTPP","LTC")</f>
        <v>LTPP</v>
      </c>
      <c r="G170" s="1010">
        <f>+IF(H118=0,0.85,IF(AND(F204="MLI Select",F207="New Construction"),0.95,IF(OR(F200="Construction Financing",AND(F204="MLI Market",F207="New Construction")),1,"")))</f>
        <v>0.85</v>
      </c>
      <c r="H170" s="744" t="e">
        <f>H158/H56</f>
        <v>#VALUE!</v>
      </c>
      <c r="I170" s="744" t="e">
        <f>+(I158+H158)/H56</f>
        <v>#N/A</v>
      </c>
      <c r="J170" s="108"/>
      <c r="Z170" s="93"/>
      <c r="AI170" s="1" t="s">
        <v>516</v>
      </c>
      <c r="AJ170" s="406" t="e">
        <f>(PMT((1+I163/2)^(1/6)-1,$I$160*12,-$I$158)*12)</f>
        <v>#N/A</v>
      </c>
      <c r="AK170" s="999" t="e">
        <f>+$H$33/SUM(AJ170,$AJ$169)</f>
        <v>#N/A</v>
      </c>
    </row>
    <row r="171" spans="2:37" ht="13.5" hidden="1" customHeight="1" outlineLevel="2" x14ac:dyDescent="0.25">
      <c r="C171" s="18" t="s">
        <v>202</v>
      </c>
      <c r="H171" s="328" t="e">
        <f>$H$53/(PMT((1+$I163/2)^(1/6)-1,H$160*12,-H$158)*12)</f>
        <v>#NUM!</v>
      </c>
      <c r="I171" s="328" t="e">
        <f>$H$53/(PMT((1+$I163/2)^(1/6)-1,I$160*12,-SUM(H158:I158))*12)</f>
        <v>#N/A</v>
      </c>
      <c r="J171" s="212"/>
      <c r="Z171" s="93"/>
      <c r="AI171" s="1" t="s">
        <v>517</v>
      </c>
      <c r="AJ171" s="406" t="e">
        <f>(PMT((1+I164/2)^(1/6)-1,$I$160*12,-$I$158)*12)</f>
        <v>#N/A</v>
      </c>
      <c r="AK171" s="999" t="e">
        <f>+$H$33/SUM(AJ171,$AJ$169)</f>
        <v>#N/A</v>
      </c>
    </row>
    <row r="172" spans="2:37" ht="13.5" hidden="1" customHeight="1" outlineLevel="2" x14ac:dyDescent="0.25">
      <c r="C172" s="18" t="s">
        <v>203</v>
      </c>
      <c r="H172" s="328" t="e">
        <f>$H$53/(PMT((1+$I164/2)^(1/6)-1,H$160*12,-H$158)*12)</f>
        <v>#NUM!</v>
      </c>
      <c r="I172" s="328" t="e">
        <f>$H$53/(PMT((1+$I164/2)^(1/6)-1,I$160*12,-SUM(H158:I158)*12))</f>
        <v>#N/A</v>
      </c>
      <c r="J172" s="212"/>
      <c r="Z172" s="93"/>
      <c r="AI172" s="1" t="s">
        <v>518</v>
      </c>
      <c r="AJ172" s="406" t="e">
        <f>(PMT((1+I165/2)^(1/6)-1,$I$160*12,-$I$158)*12)</f>
        <v>#N/A</v>
      </c>
      <c r="AK172" s="999" t="e">
        <f>+$H$33/SUM(AJ172,$AJ$169)</f>
        <v>#N/A</v>
      </c>
    </row>
    <row r="173" spans="2:37" ht="13.5" hidden="1" customHeight="1" outlineLevel="2" x14ac:dyDescent="0.25">
      <c r="C173" s="18" t="s">
        <v>204</v>
      </c>
      <c r="G173" s="328" t="str">
        <f>+IF(I68=5,D223,IF(I68=10,E223,""))</f>
        <v/>
      </c>
      <c r="H173" s="328" t="e">
        <f>$H$53/(PMT((1+$I165/2)^(1/6)-1,H$160*12,-H$158)*12)</f>
        <v>#NUM!</v>
      </c>
      <c r="I173" s="328" t="e">
        <f>$H$53/(PMT((1+$I165/2)^(1/6)-1,I$160*12,-SUM(H158:I158)*12))</f>
        <v>#N/A</v>
      </c>
      <c r="J173" s="212"/>
      <c r="Z173" s="93"/>
    </row>
    <row r="174" spans="2:37" ht="13.5" hidden="1" customHeight="1" outlineLevel="2" x14ac:dyDescent="0.25">
      <c r="C174" s="106" t="s">
        <v>206</v>
      </c>
      <c r="D174" s="102"/>
      <c r="E174" s="102"/>
      <c r="F174" s="102"/>
      <c r="G174" s="102"/>
      <c r="H174" s="213" t="e">
        <f>+H158/F15</f>
        <v>#DIV/0!</v>
      </c>
      <c r="I174" s="213" t="e">
        <f>+(H158+I158)/F15</f>
        <v>#N/A</v>
      </c>
      <c r="J174" s="457"/>
      <c r="Z174" s="93"/>
      <c r="AI174" s="1" t="s">
        <v>283</v>
      </c>
      <c r="AJ174" s="754" t="e">
        <f>SUM(H158,I158)/H54</f>
        <v>#N/A</v>
      </c>
    </row>
    <row r="175" spans="2:37" ht="13.5" hidden="1" customHeight="1" outlineLevel="2" x14ac:dyDescent="0.25">
      <c r="Z175" s="93"/>
    </row>
    <row r="176" spans="2:37" ht="13.5" hidden="1" customHeight="1" outlineLevel="2" x14ac:dyDescent="0.25">
      <c r="B176" s="613" t="s">
        <v>250</v>
      </c>
      <c r="C176" s="182" t="s">
        <v>156</v>
      </c>
      <c r="D176" s="183"/>
      <c r="E176" s="183"/>
      <c r="F176" s="183"/>
      <c r="G176" s="183"/>
      <c r="H176" s="111" t="s">
        <v>244</v>
      </c>
      <c r="I176" s="111" t="s">
        <v>248</v>
      </c>
      <c r="J176" s="178"/>
      <c r="Z176" s="93"/>
    </row>
    <row r="177" spans="2:37" ht="13.5" hidden="1" customHeight="1" outlineLevel="2" x14ac:dyDescent="0.25">
      <c r="B177" s="613" t="s">
        <v>251</v>
      </c>
      <c r="C177" s="18" t="s">
        <v>199</v>
      </c>
      <c r="H177" s="171" t="e">
        <f>H53/H158</f>
        <v>#DIV/0!</v>
      </c>
      <c r="I177" s="697" t="e">
        <f>+H63/(H158+I158)</f>
        <v>#N/A</v>
      </c>
      <c r="J177" s="215"/>
      <c r="Z177" s="93"/>
    </row>
    <row r="178" spans="2:37" ht="13.5" hidden="1" customHeight="1" outlineLevel="2" x14ac:dyDescent="0.25">
      <c r="C178" s="18" t="s">
        <v>160</v>
      </c>
      <c r="H178" s="744" t="e">
        <f>H158/H54</f>
        <v>#DIV/0!</v>
      </c>
      <c r="I178" s="744" t="e">
        <f>(H158+I158)/H62</f>
        <v>#N/A</v>
      </c>
      <c r="J178" s="215"/>
      <c r="Z178" s="93"/>
      <c r="AJ178" s="406"/>
      <c r="AK178" s="406"/>
    </row>
    <row r="179" spans="2:37" ht="13.5" hidden="1" customHeight="1" outlineLevel="2" x14ac:dyDescent="0.25">
      <c r="C179" s="18" t="str">
        <f>+IF(F215=0,"LTPP","LTC")</f>
        <v>LTPP</v>
      </c>
      <c r="H179" s="211" t="e">
        <f>H158/H56</f>
        <v>#VALUE!</v>
      </c>
      <c r="I179" s="563" t="e">
        <f>+(I158+H158)/H56</f>
        <v>#N/A</v>
      </c>
      <c r="J179" s="215"/>
      <c r="Z179" s="93"/>
      <c r="AJ179" s="406"/>
      <c r="AK179" s="406"/>
    </row>
    <row r="180" spans="2:37" ht="13.5" hidden="1" customHeight="1" outlineLevel="2" x14ac:dyDescent="0.25">
      <c r="C180" s="18" t="s">
        <v>202</v>
      </c>
      <c r="H180" s="565" t="e">
        <f>$H$53/(PMT((1+$I163/2)^(1/6)-1,H$160*12,-H$158)*12)</f>
        <v>#NUM!</v>
      </c>
      <c r="I180" s="328" t="e">
        <f>$H$53/(PMT((1+$I163/2)^(1/6)-1,I$160*12,-I$158)*12)</f>
        <v>#N/A</v>
      </c>
      <c r="J180" s="215"/>
      <c r="Z180" s="93"/>
      <c r="AJ180" s="406"/>
      <c r="AK180" s="406"/>
    </row>
    <row r="181" spans="2:37" ht="13.5" hidden="1" customHeight="1" outlineLevel="2" x14ac:dyDescent="0.25">
      <c r="C181" s="18" t="s">
        <v>203</v>
      </c>
      <c r="H181" s="565" t="e">
        <f>$H$53/(PMT((1+$I164/2)^(1/6)-1,H$160*12,-H$158)*12)</f>
        <v>#NUM!</v>
      </c>
      <c r="I181" s="328" t="e">
        <f>$H$53/(PMT((1+$I164/2)^(1/6)-1,I$160*12,-I$158)*12)</f>
        <v>#N/A</v>
      </c>
      <c r="J181" s="215"/>
      <c r="Z181" s="93"/>
      <c r="AJ181" s="406"/>
      <c r="AK181" s="406"/>
    </row>
    <row r="182" spans="2:37" ht="13.5" hidden="1" customHeight="1" outlineLevel="2" x14ac:dyDescent="0.25">
      <c r="C182" s="18" t="s">
        <v>252</v>
      </c>
      <c r="H182" s="566" t="e">
        <f>(PMT((1+$I165/2)^(1/6)-1,H$160*12,-H$158)*12)</f>
        <v>#NUM!</v>
      </c>
      <c r="I182" s="328" t="e">
        <f>((PMT((1+$I165/2)^(1/6)-1,I$160*12,-I$155)*12)+(PMT((1+$I165/2)^(1/6)-1,H$160*12,-H$158)*12))</f>
        <v>#NUM!</v>
      </c>
      <c r="J182" s="215"/>
      <c r="Z182" s="93"/>
      <c r="AJ182" s="406"/>
      <c r="AK182" s="406"/>
    </row>
    <row r="183" spans="2:37" ht="13.5" hidden="1" customHeight="1" outlineLevel="2" x14ac:dyDescent="0.25">
      <c r="C183" s="18" t="s">
        <v>513</v>
      </c>
      <c r="H183" s="567">
        <f>+AJ169</f>
        <v>0</v>
      </c>
      <c r="I183" s="564" t="e">
        <f>((PMT((1+$I165/2)^(1/6)-1,I$160*12,-I$155)*12)+H183)</f>
        <v>#NUM!</v>
      </c>
      <c r="J183" s="215"/>
      <c r="Z183" s="93"/>
      <c r="AJ183" s="406"/>
      <c r="AK183" s="406"/>
    </row>
    <row r="184" spans="2:37" ht="13.5" hidden="1" customHeight="1" outlineLevel="2" x14ac:dyDescent="0.25">
      <c r="C184" s="18" t="s">
        <v>252</v>
      </c>
      <c r="H184" s="328" t="e">
        <f>$H$53/(PMT((1+$I165/2)^(1/6)-1,H$160*12,-H$158)*12)</f>
        <v>#NUM!</v>
      </c>
      <c r="I184" s="311" t="e">
        <f>$H$53/((PMT((1+$I165/2)^(1/6)-1,I$160*12,-I$155)*12)+(PMT((1+$I165/2)^(1/6)-1,H$160*12,-H$158)*12))</f>
        <v>#NUM!</v>
      </c>
      <c r="J184" s="215"/>
      <c r="Z184" s="93"/>
      <c r="AJ184" s="406"/>
      <c r="AK184" s="406"/>
    </row>
    <row r="185" spans="2:37" ht="13.5" hidden="1" customHeight="1" outlineLevel="2" x14ac:dyDescent="0.25">
      <c r="C185" s="18" t="s">
        <v>512</v>
      </c>
      <c r="H185" s="311" t="e">
        <f>$H$53/H183</f>
        <v>#DIV/0!</v>
      </c>
      <c r="I185" s="311" t="e">
        <f>$H$53/(H183+(PMT((1+$I165/2)^(1/6)-1,I$160*12,-I$155)*12))</f>
        <v>#NUM!</v>
      </c>
      <c r="J185" s="215"/>
      <c r="Z185" s="93"/>
      <c r="AJ185" s="406"/>
      <c r="AK185" s="406"/>
    </row>
    <row r="186" spans="2:37" ht="13.5" hidden="1" customHeight="1" outlineLevel="2" x14ac:dyDescent="0.25">
      <c r="C186" s="106" t="s">
        <v>206</v>
      </c>
      <c r="D186" s="102"/>
      <c r="E186" s="102"/>
      <c r="F186" s="102"/>
      <c r="G186" s="102"/>
      <c r="H186" s="1008" t="e">
        <f>+H158/F21</f>
        <v>#DIV/0!</v>
      </c>
      <c r="I186" s="1008" t="e">
        <f>+(H158+I158)/F21</f>
        <v>#N/A</v>
      </c>
      <c r="J186" s="216"/>
      <c r="Z186" s="93"/>
      <c r="AJ186" s="406"/>
      <c r="AK186" s="406"/>
    </row>
    <row r="187" spans="2:37" ht="13.5" hidden="1" customHeight="1" outlineLevel="2" x14ac:dyDescent="0.25">
      <c r="Z187" s="93"/>
      <c r="AJ187" s="406"/>
      <c r="AK187" s="406"/>
    </row>
    <row r="188" spans="2:37" ht="13.5" hidden="1" customHeight="1" outlineLevel="1" x14ac:dyDescent="0.25">
      <c r="C188" s="182" t="s">
        <v>510</v>
      </c>
      <c r="D188" s="183"/>
      <c r="E188" s="183"/>
      <c r="F188" s="183"/>
      <c r="G188" s="183"/>
      <c r="H188" s="111" t="s">
        <v>88</v>
      </c>
      <c r="I188" s="111" t="s">
        <v>171</v>
      </c>
      <c r="J188" s="178" t="s">
        <v>174</v>
      </c>
      <c r="Z188" s="93"/>
    </row>
    <row r="189" spans="2:37" ht="13.5" hidden="1" customHeight="1" outlineLevel="1" x14ac:dyDescent="0.25">
      <c r="C189" s="955" t="s">
        <v>168</v>
      </c>
      <c r="D189" s="956"/>
      <c r="E189" s="956"/>
      <c r="F189" s="956"/>
      <c r="G189" s="956"/>
      <c r="H189" s="957" t="e">
        <f>1-(((SUM(H158:I158)-$H$52)*$G$34+SUM($H$24:$H$28,H31))/((1-(G29+$G$30)))/$H$21)</f>
        <v>#N/A</v>
      </c>
      <c r="I189" s="958" t="e">
        <f>(((SUM(H158:I158)-$H$52)*$G$34+SUM($H$24:$H$28,H31))/((1-$G$22)*(1-G30-G29))-SUM($H$16:$H$20))/(12*$F$15)</f>
        <v>#N/A</v>
      </c>
      <c r="J189" s="959" t="e">
        <f>I189/$G$15</f>
        <v>#N/A</v>
      </c>
      <c r="Z189" s="93"/>
    </row>
    <row r="190" spans="2:37" ht="13.5" hidden="1" customHeight="1" outlineLevel="1" x14ac:dyDescent="0.25">
      <c r="Z190" s="93"/>
    </row>
    <row r="191" spans="2:37" ht="13.5" hidden="1" customHeight="1" outlineLevel="1" x14ac:dyDescent="0.25">
      <c r="C191" s="182" t="s">
        <v>212</v>
      </c>
      <c r="D191" s="183"/>
      <c r="E191" s="183"/>
      <c r="F191" s="183"/>
      <c r="G191" s="183"/>
      <c r="H191" s="400" t="s">
        <v>213</v>
      </c>
      <c r="I191" s="111"/>
      <c r="J191" s="180"/>
      <c r="Z191" s="93"/>
    </row>
    <row r="192" spans="2:37" ht="13.5" hidden="1" customHeight="1" outlineLevel="1" x14ac:dyDescent="0.25">
      <c r="C192" s="223" t="s">
        <v>170</v>
      </c>
      <c r="D192" s="1604">
        <f>+I155</f>
        <v>0</v>
      </c>
      <c r="E192" s="1604"/>
      <c r="F192" s="219"/>
      <c r="G192" s="219"/>
      <c r="H192" s="219"/>
      <c r="I192" s="308"/>
      <c r="J192" s="221"/>
      <c r="Z192" s="93"/>
    </row>
    <row r="193" spans="2:38" ht="13.5" hidden="1" customHeight="1" outlineLevel="1" x14ac:dyDescent="0.25">
      <c r="C193" s="309"/>
      <c r="D193" s="1603" t="str">
        <f>+IF(I192&gt;D192,I192-D192,"")</f>
        <v/>
      </c>
      <c r="E193" s="1603"/>
      <c r="F193" s="102"/>
      <c r="G193" s="102"/>
      <c r="H193" s="102"/>
      <c r="I193" s="293" t="str">
        <f>+IF(D192&gt;I192,D192-I192,"")</f>
        <v/>
      </c>
      <c r="J193" s="216"/>
      <c r="Z193" s="93"/>
    </row>
    <row r="194" spans="2:38" ht="13.5" hidden="1" customHeight="1" outlineLevel="1" x14ac:dyDescent="0.25">
      <c r="C194" s="305" t="s">
        <v>253</v>
      </c>
      <c r="D194" s="1605">
        <f>SUM(D192:E193)</f>
        <v>0</v>
      </c>
      <c r="E194" s="1605"/>
      <c r="F194" s="154"/>
      <c r="G194" s="154"/>
      <c r="H194" s="154" t="s">
        <v>254</v>
      </c>
      <c r="I194" s="310">
        <f>SUM(I192:I193)</f>
        <v>0</v>
      </c>
      <c r="J194" s="222"/>
      <c r="Z194" s="93"/>
    </row>
    <row r="195" spans="2:38" ht="13.5" customHeight="1" collapsed="1" x14ac:dyDescent="0.25">
      <c r="Z195" s="93"/>
    </row>
    <row r="196" spans="2:38" ht="12.75" customHeight="1" x14ac:dyDescent="0.25">
      <c r="Z196" s="93"/>
    </row>
    <row r="197" spans="2:38" s="219" customFormat="1" ht="12.75" customHeight="1" x14ac:dyDescent="0.25">
      <c r="B197" s="614"/>
      <c r="L197" s="721"/>
      <c r="Z197" s="407"/>
      <c r="AF197" s="408"/>
      <c r="AH197" s="408"/>
    </row>
    <row r="198" spans="2:38" ht="12.75" customHeight="1" x14ac:dyDescent="0.25">
      <c r="Z198" s="93"/>
    </row>
    <row r="199" spans="2:38" ht="12.75" customHeight="1" x14ac:dyDescent="0.25">
      <c r="C199" s="179" t="s">
        <v>255</v>
      </c>
      <c r="D199" s="83"/>
      <c r="E199" s="83"/>
      <c r="F199" s="83"/>
      <c r="G199" s="83"/>
      <c r="H199" s="111"/>
      <c r="I199" s="111"/>
      <c r="J199" s="178"/>
      <c r="Z199" s="93"/>
      <c r="AI199" s="1444" t="s">
        <v>541</v>
      </c>
      <c r="AJ199" s="1444"/>
      <c r="AK199" s="1444"/>
    </row>
    <row r="200" spans="2:38" ht="12.75" customHeight="1" x14ac:dyDescent="0.25">
      <c r="C200" s="243" t="s">
        <v>256</v>
      </c>
      <c r="D200" s="295"/>
      <c r="E200" s="295"/>
      <c r="F200" s="1503" t="s">
        <v>359</v>
      </c>
      <c r="G200" s="296"/>
      <c r="H200" s="296"/>
      <c r="I200" s="296"/>
      <c r="J200" s="297"/>
      <c r="W200" s="754"/>
      <c r="Z200" s="93"/>
      <c r="AI200" s="1038" t="s">
        <v>542</v>
      </c>
      <c r="AJ200" s="1038" t="s">
        <v>543</v>
      </c>
      <c r="AK200" s="1041" t="s">
        <v>544</v>
      </c>
    </row>
    <row r="201" spans="2:38" ht="12.75" customHeight="1" x14ac:dyDescent="0.25">
      <c r="C201" s="151" t="s">
        <v>257</v>
      </c>
      <c r="D201" s="285"/>
      <c r="E201" s="285"/>
      <c r="F201" s="272" t="s">
        <v>258</v>
      </c>
      <c r="G201" s="273"/>
      <c r="H201" s="273"/>
      <c r="I201" s="273"/>
      <c r="J201" s="294"/>
      <c r="W201" s="754"/>
      <c r="Z201" s="93"/>
      <c r="AH201" s="1042" t="s">
        <v>551</v>
      </c>
      <c r="AI201" s="1033"/>
      <c r="AJ201" s="1034">
        <f>G22</f>
        <v>0</v>
      </c>
      <c r="AK201" s="1034">
        <f>AJ201-AI201</f>
        <v>0</v>
      </c>
    </row>
    <row r="202" spans="2:38" ht="12.75" customHeight="1" x14ac:dyDescent="0.25">
      <c r="C202" s="151" t="s">
        <v>259</v>
      </c>
      <c r="D202" s="285"/>
      <c r="E202" s="285"/>
      <c r="F202" s="272" t="s">
        <v>368</v>
      </c>
      <c r="G202" s="273"/>
      <c r="H202" s="273"/>
      <c r="I202" s="273"/>
      <c r="J202" s="294"/>
      <c r="W202" s="754"/>
      <c r="Z202" s="93"/>
      <c r="AH202" s="1043"/>
    </row>
    <row r="203" spans="2:38" ht="12.75" customHeight="1" x14ac:dyDescent="0.25">
      <c r="C203" s="16" t="s">
        <v>260</v>
      </c>
      <c r="D203" s="285"/>
      <c r="E203" s="285"/>
      <c r="F203" s="272" t="s">
        <v>325</v>
      </c>
      <c r="G203" s="273"/>
      <c r="H203" s="273"/>
      <c r="I203" s="273"/>
      <c r="J203" s="294"/>
      <c r="W203" s="754"/>
      <c r="Z203" s="93"/>
      <c r="AH203" s="1043"/>
      <c r="AI203" s="1444" t="s">
        <v>545</v>
      </c>
      <c r="AJ203" s="1444"/>
      <c r="AK203" s="1444"/>
      <c r="AL203" s="1444"/>
    </row>
    <row r="204" spans="2:38" ht="12.75" customHeight="1" x14ac:dyDescent="0.25">
      <c r="C204" s="16" t="s">
        <v>11</v>
      </c>
      <c r="D204" s="285"/>
      <c r="E204" s="285"/>
      <c r="F204" s="272" t="s">
        <v>329</v>
      </c>
      <c r="G204" s="273"/>
      <c r="H204" s="273"/>
      <c r="I204" s="273"/>
      <c r="J204" s="294"/>
      <c r="W204" s="754"/>
      <c r="Z204" s="93"/>
      <c r="AH204" s="1043"/>
      <c r="AI204" s="1038" t="s">
        <v>546</v>
      </c>
      <c r="AJ204" s="1039" t="s">
        <v>542</v>
      </c>
      <c r="AK204" s="1039" t="s">
        <v>543</v>
      </c>
      <c r="AL204" s="1040" t="s">
        <v>544</v>
      </c>
    </row>
    <row r="205" spans="2:38" ht="12.75" customHeight="1" x14ac:dyDescent="0.25">
      <c r="C205" s="16" t="s">
        <v>261</v>
      </c>
      <c r="D205" s="285"/>
      <c r="E205" s="285"/>
      <c r="F205" s="272" t="s">
        <v>262</v>
      </c>
      <c r="G205" s="273"/>
      <c r="H205" s="273"/>
      <c r="I205" s="273"/>
      <c r="J205" s="294"/>
      <c r="W205" s="754"/>
      <c r="Z205" s="93"/>
      <c r="AH205" s="1042" t="s">
        <v>552</v>
      </c>
      <c r="AI205" s="1035" t="s">
        <v>71</v>
      </c>
      <c r="AJ205" s="1036">
        <f>AI5</f>
        <v>0</v>
      </c>
      <c r="AK205" s="1036" t="str">
        <f>I5</f>
        <v>-</v>
      </c>
      <c r="AL205" s="1037" t="e">
        <f>AK205-AJ205</f>
        <v>#VALUE!</v>
      </c>
    </row>
    <row r="206" spans="2:38" ht="12.75" customHeight="1" x14ac:dyDescent="0.25">
      <c r="C206" s="16" t="s">
        <v>263</v>
      </c>
      <c r="D206" s="285"/>
      <c r="E206" s="285"/>
      <c r="F206" s="272" t="s">
        <v>264</v>
      </c>
      <c r="G206" s="273"/>
      <c r="H206" s="273"/>
      <c r="I206" s="273"/>
      <c r="J206" s="294"/>
      <c r="W206" s="754"/>
      <c r="Z206" s="93"/>
      <c r="AI206" s="356" t="s">
        <v>547</v>
      </c>
      <c r="AJ206" s="1036">
        <f>AI6</f>
        <v>0</v>
      </c>
      <c r="AK206" s="1036" t="str">
        <f>I6</f>
        <v>-</v>
      </c>
      <c r="AL206" s="1037" t="e">
        <f>AK206-AJ206</f>
        <v>#VALUE!</v>
      </c>
    </row>
    <row r="207" spans="2:38" ht="12.75" customHeight="1" x14ac:dyDescent="0.25">
      <c r="C207" s="16" t="s">
        <v>265</v>
      </c>
      <c r="D207" s="285"/>
      <c r="E207" s="285"/>
      <c r="F207" s="272" t="s">
        <v>266</v>
      </c>
      <c r="G207" s="273"/>
      <c r="H207" s="273"/>
      <c r="I207" s="273"/>
      <c r="J207" s="294"/>
      <c r="Z207" s="93"/>
      <c r="AI207" s="356" t="s">
        <v>548</v>
      </c>
      <c r="AJ207" s="1036">
        <f>AI7</f>
        <v>0</v>
      </c>
      <c r="AK207" s="1036" t="str">
        <f>I7</f>
        <v>-</v>
      </c>
      <c r="AL207" s="1037" t="e">
        <f>AK207-AJ207</f>
        <v>#VALUE!</v>
      </c>
    </row>
    <row r="208" spans="2:38" ht="12.75" customHeight="1" x14ac:dyDescent="0.25">
      <c r="C208" s="1504" t="s">
        <v>811</v>
      </c>
      <c r="D208" s="285"/>
      <c r="E208" s="285"/>
      <c r="F208" s="272" t="s">
        <v>804</v>
      </c>
      <c r="G208" s="273"/>
      <c r="H208" s="273"/>
      <c r="I208" s="273"/>
      <c r="J208" s="294"/>
      <c r="Z208" s="93"/>
      <c r="AI208" s="356" t="s">
        <v>549</v>
      </c>
      <c r="AJ208" s="1036">
        <f>AI8</f>
        <v>0</v>
      </c>
      <c r="AK208" s="1036" t="str">
        <f>I8</f>
        <v>-</v>
      </c>
      <c r="AL208" s="1037" t="e">
        <f>AK208-AJ208</f>
        <v>#VALUE!</v>
      </c>
    </row>
    <row r="209" spans="3:38" ht="12.75" customHeight="1" x14ac:dyDescent="0.25">
      <c r="C209" s="16" t="s">
        <v>267</v>
      </c>
      <c r="D209" s="285"/>
      <c r="E209" s="285"/>
      <c r="F209" s="1591" t="s">
        <v>268</v>
      </c>
      <c r="G209" s="1592"/>
      <c r="H209" s="1592"/>
      <c r="I209" s="1592"/>
      <c r="J209" s="1597"/>
      <c r="Z209" s="93"/>
      <c r="AI209" s="1044" t="s">
        <v>550</v>
      </c>
      <c r="AJ209" s="1045">
        <f>AI9</f>
        <v>0</v>
      </c>
      <c r="AK209" s="1045" t="str">
        <f>I9</f>
        <v>-</v>
      </c>
      <c r="AL209" s="1046" t="e">
        <f>AK209-AJ209</f>
        <v>#VALUE!</v>
      </c>
    </row>
    <row r="210" spans="3:38" ht="12.75" customHeight="1" x14ac:dyDescent="0.25">
      <c r="C210" s="16" t="s">
        <v>269</v>
      </c>
      <c r="D210" s="285"/>
      <c r="E210" s="285"/>
      <c r="F210" s="11" t="str">
        <f>+IF(AND(F201="QC",F206="Wood Frame",F15&lt;=11),"11 units and less",IF(AND(F201="QC",F206="Wood Frame",F15&gt;=12),"12 units and more","&lt;N/A&gt;"))</f>
        <v>&lt;N/A&gt;</v>
      </c>
      <c r="G210" s="81"/>
      <c r="H210" s="81"/>
      <c r="I210" s="81"/>
      <c r="J210" s="215"/>
      <c r="Z210" s="93"/>
    </row>
    <row r="211" spans="3:38" ht="12.75" customHeight="1" x14ac:dyDescent="0.25">
      <c r="C211" s="16" t="s">
        <v>830</v>
      </c>
      <c r="D211" s="285"/>
      <c r="E211" s="285"/>
      <c r="F211" s="11" t="str">
        <f>IF(F15&gt;=7,"7+ units",IF(F15&gt;=5,"5 or 6 units","Populate Rent Roll"))</f>
        <v>Populate Rent Roll</v>
      </c>
      <c r="G211" s="562"/>
      <c r="H211" s="562"/>
      <c r="I211" s="562"/>
      <c r="J211" s="215"/>
      <c r="Z211" s="93"/>
    </row>
    <row r="212" spans="3:38" ht="12.75" customHeight="1" x14ac:dyDescent="0.25">
      <c r="C212" s="16" t="s">
        <v>270</v>
      </c>
      <c r="D212" s="285"/>
      <c r="E212" s="285"/>
      <c r="F212" s="1593" t="s">
        <v>271</v>
      </c>
      <c r="G212" s="1594"/>
      <c r="H212" s="1594"/>
      <c r="I212" s="1594"/>
      <c r="J212" s="1598"/>
      <c r="Z212" s="93"/>
    </row>
    <row r="213" spans="3:38" ht="12.75" customHeight="1" x14ac:dyDescent="0.25">
      <c r="C213" s="16" t="s">
        <v>528</v>
      </c>
      <c r="D213" s="285"/>
      <c r="E213" s="285"/>
      <c r="F213" s="852" t="s">
        <v>527</v>
      </c>
      <c r="G213" s="273"/>
      <c r="H213" s="273"/>
      <c r="I213" s="273"/>
      <c r="J213" s="294"/>
      <c r="Z213" s="93"/>
      <c r="AF213" s="1"/>
      <c r="AH213" s="1"/>
    </row>
    <row r="214" spans="3:38" ht="12.75" customHeight="1" x14ac:dyDescent="0.25">
      <c r="C214" s="16" t="s">
        <v>272</v>
      </c>
      <c r="D214" s="285"/>
      <c r="E214" s="285"/>
      <c r="F214" s="329">
        <v>0</v>
      </c>
      <c r="G214" s="273"/>
      <c r="H214" s="273"/>
      <c r="I214" s="273"/>
      <c r="J214" s="294"/>
      <c r="X214" s="754"/>
      <c r="Z214" s="93"/>
    </row>
    <row r="215" spans="3:38" ht="12.75" customHeight="1" x14ac:dyDescent="0.25">
      <c r="C215" s="16" t="s">
        <v>273</v>
      </c>
      <c r="D215" s="285"/>
      <c r="E215" s="285"/>
      <c r="F215" s="329">
        <v>0</v>
      </c>
      <c r="G215" s="273"/>
      <c r="H215" s="273"/>
      <c r="I215" s="273"/>
      <c r="J215" s="294"/>
      <c r="X215" s="754"/>
      <c r="Z215" s="93"/>
    </row>
    <row r="216" spans="3:38" ht="12.75" customHeight="1" x14ac:dyDescent="0.25">
      <c r="C216" s="16" t="s">
        <v>274</v>
      </c>
      <c r="D216" s="285"/>
      <c r="E216" s="285"/>
      <c r="F216" s="329">
        <v>0</v>
      </c>
      <c r="G216" s="273" t="str">
        <f>+IF(F206="Concrete Frame","Concrete = 0 elevators","")</f>
        <v/>
      </c>
      <c r="H216" s="273"/>
      <c r="I216" s="273"/>
      <c r="J216" s="294"/>
      <c r="Z216" s="93"/>
      <c r="AI216" s="356"/>
      <c r="AJ216" s="356"/>
      <c r="AK216" s="356"/>
    </row>
    <row r="217" spans="3:38" ht="12.75" customHeight="1" x14ac:dyDescent="0.25">
      <c r="C217" s="16" t="s">
        <v>275</v>
      </c>
      <c r="D217" s="285"/>
      <c r="E217" s="285"/>
      <c r="F217" s="329">
        <v>0</v>
      </c>
      <c r="G217" s="273"/>
      <c r="H217" s="273"/>
      <c r="I217" s="273"/>
      <c r="J217" s="294"/>
      <c r="Z217" s="93"/>
      <c r="AI217" s="356"/>
      <c r="AJ217" s="356"/>
      <c r="AK217" s="356"/>
    </row>
    <row r="218" spans="3:38" ht="12.75" customHeight="1" x14ac:dyDescent="0.25">
      <c r="C218" s="16" t="s">
        <v>276</v>
      </c>
      <c r="D218" s="285"/>
      <c r="E218" s="285"/>
      <c r="F218" s="329">
        <v>0</v>
      </c>
      <c r="G218" s="273"/>
      <c r="H218" s="273"/>
      <c r="I218" s="273"/>
      <c r="J218" s="294"/>
      <c r="Z218" s="93"/>
      <c r="AH218" s="681"/>
      <c r="AI218" s="356"/>
      <c r="AJ218" s="356"/>
      <c r="AK218" s="356"/>
    </row>
    <row r="219" spans="3:38" ht="12.75" customHeight="1" x14ac:dyDescent="0.25">
      <c r="C219" s="16" t="s">
        <v>277</v>
      </c>
      <c r="D219" s="285"/>
      <c r="E219" s="285"/>
      <c r="F219" s="329">
        <v>0</v>
      </c>
      <c r="G219" s="273"/>
      <c r="H219" s="273"/>
      <c r="I219" s="273"/>
      <c r="J219" s="294"/>
      <c r="Z219" s="93"/>
      <c r="AH219" s="681"/>
    </row>
    <row r="220" spans="3:38" ht="12.75" customHeight="1" x14ac:dyDescent="0.25">
      <c r="C220" s="302" t="s">
        <v>278</v>
      </c>
      <c r="D220" s="103"/>
      <c r="E220" s="103"/>
      <c r="F220" s="1602">
        <f>+H118</f>
        <v>0</v>
      </c>
      <c r="G220" s="1602"/>
      <c r="H220" s="102"/>
      <c r="I220" s="102"/>
      <c r="J220" s="216"/>
      <c r="Z220" s="93"/>
      <c r="AH220" s="681"/>
      <c r="AI220" s="356"/>
      <c r="AJ220" s="356"/>
      <c r="AK220" s="356"/>
    </row>
    <row r="221" spans="3:38" ht="12.75" customHeight="1" x14ac:dyDescent="0.25">
      <c r="C221" s="464"/>
      <c r="L221" s="464"/>
      <c r="Z221" s="93"/>
    </row>
    <row r="222" spans="3:38" x14ac:dyDescent="0.25">
      <c r="C222" s="182" t="str">
        <f>+_xlfn.CONCAT("Loan Constraints - ",F203,"; ",F204,"; ",F207)</f>
        <v>Loan Constraints - &lt;Housing Type&gt;; &lt;Program&gt;; &lt;Project Status&gt;</v>
      </c>
      <c r="D222" s="183"/>
      <c r="E222" s="183"/>
      <c r="F222" s="183"/>
      <c r="G222" s="183"/>
      <c r="H222" s="111"/>
      <c r="I222" s="357" t="s">
        <v>279</v>
      </c>
      <c r="J222" s="358" t="s">
        <v>280</v>
      </c>
      <c r="Z222" s="93"/>
    </row>
    <row r="223" spans="3:38" x14ac:dyDescent="0.25">
      <c r="C223" s="462" t="s">
        <v>163</v>
      </c>
      <c r="D223" s="1537" t="str">
        <f>+IFERROR(VLOOKUP($F$203&amp;$F$204&amp;$F$211,'Premium&amp;DSCBackEndNEW'!$B$74:$G$84,5,0),"")</f>
        <v/>
      </c>
      <c r="E223" s="1538" t="str">
        <f>+IFERROR(VLOOKUP($F$203&amp;$F$204&amp;$F$211,'Premium&amp;DSCBackEndNEW'!$B$74:$G$84,6,0),"")</f>
        <v/>
      </c>
      <c r="I223" s="668" t="str">
        <f>IF(I71="","Enter Max Rate",IF(PV((1+$I$71/2)^(1/6)-1,I69*12,-H33/12/D223)=0,"",PV((1+$I$71/2)^(1/6)-1,I69*12,-H33/12/D223)))</f>
        <v>Enter Max Rate</v>
      </c>
      <c r="J223" s="669" t="str">
        <f>IF(I71="","Enter Max Rate",IF(PV((1+$I$71/2)^(1/6)-1,I69*12,-H33/12/E223)=0,"",PV((1+$I$71/2)^(1/6)-1,I69*12,-H33/12/E223)))</f>
        <v>Enter Max Rate</v>
      </c>
      <c r="Z223" s="93"/>
    </row>
    <row r="224" spans="3:38" x14ac:dyDescent="0.25">
      <c r="C224" s="463" t="s">
        <v>160</v>
      </c>
      <c r="D224" s="876" t="str">
        <f>IF(ISNUMBER(F213),TEXT(F213,"0%"),IF(F204="MLI Market","85%",IF(AND(F204="MLI Select",F207="Existing Property",SUM(F217:F219)&lt;70),"50 pts limited to 85%",IF(AND(F204="MLI Select",F207="Existing Property",SUM(F217:F219)&gt;=70),"&gt; 70 points limited to 95%",""))))</f>
        <v/>
      </c>
      <c r="I224" s="824" t="str">
        <f>IF(ISNUMBER(F213),F213*H34,IF(I71="","Enter Max Rate",IFERROR(IF(F204="&lt;Program&gt;","Select Program",IF(F204="MLI Market",0.85*H34,IF(AND(F204="MLI Select",F207="Existing Property",SUM(F217:F219)&lt;70),0.85*H34,IF(AND(F204="MLI Select",F207="Existing Property",SUM(F217:F219)&gt;=70),0.95*H34,"")))),"")))</f>
        <v>Enter Max Rate</v>
      </c>
      <c r="J224" s="671" t="str">
        <f>+I224</f>
        <v>Enter Max Rate</v>
      </c>
      <c r="N224" s="444"/>
      <c r="V224" s="2"/>
      <c r="Z224" s="93"/>
      <c r="AH224" s="682"/>
      <c r="AI224" s="525"/>
    </row>
    <row r="225" spans="3:35" x14ac:dyDescent="0.25">
      <c r="C225" s="463" t="s">
        <v>281</v>
      </c>
      <c r="D225" s="526" t="str">
        <f>IF(AND(F204="MLI Select",F207="New Construction",F220&lt;&gt;0),"95% of residential proportion of Total Development Cost",IF(OR(F200="Construction Financing",AND(F204="MLI Market",F207="New Construction",F220&lt;&gt;0)),"100% of residential proportion of Total Development Cost",""))</f>
        <v/>
      </c>
      <c r="I225" s="824" t="str">
        <f>IF(I71="","Enter Max Rate",IF(F204="&lt;Program&gt;","Select Program",IF(F220=0,"",IF(AND(F204="MLI Select",F207="New Construction"),0.95*F220*H124,IF(AND(F204="MLI Market",F207="New Construction"),F220*H124,"")))))</f>
        <v>Enter Max Rate</v>
      </c>
      <c r="J225" s="671" t="str">
        <f>+I225</f>
        <v>Enter Max Rate</v>
      </c>
      <c r="N225" s="444"/>
      <c r="V225" s="2"/>
      <c r="Z225" s="93"/>
      <c r="AH225" s="682"/>
      <c r="AI225" s="525"/>
    </row>
    <row r="226" spans="3:35" ht="12.75" customHeight="1" x14ac:dyDescent="0.25">
      <c r="C226" s="435" t="s">
        <v>282</v>
      </c>
      <c r="D226" s="436"/>
      <c r="E226" s="436"/>
      <c r="F226" s="436"/>
      <c r="G226" s="436"/>
      <c r="H226" s="436"/>
      <c r="I226" s="666">
        <f>+ROUNDDOWN(MIN(I223:I225),-4)</f>
        <v>0</v>
      </c>
      <c r="J226" s="667">
        <f>+ROUNDDOWN(MIN(J223:J225),-4)</f>
        <v>0</v>
      </c>
      <c r="K226" s="2"/>
      <c r="L226" s="871"/>
      <c r="M226" s="2"/>
      <c r="N226" s="444"/>
      <c r="V226" s="2"/>
      <c r="Z226" s="93"/>
      <c r="AG226" s="2"/>
      <c r="AI226" s="444"/>
    </row>
    <row r="227" spans="3:35" ht="12.75" customHeight="1" x14ac:dyDescent="0.25">
      <c r="C227" s="462" t="s">
        <v>163</v>
      </c>
      <c r="D227" s="1537" t="str">
        <f>IF(H52=0,"",VLOOKUP(F203&amp;F204&amp;$F$211,'Premium&amp;DSCBackEndNEW'!B74:I84,7,0))</f>
        <v/>
      </c>
      <c r="E227" s="1538" t="str">
        <f>IF(H52=0,"",VLOOKUP(F203&amp;F204&amp;$F$211,'Premium&amp;DSCBackEndNEW'!B74:I84,8,0))</f>
        <v/>
      </c>
      <c r="I227" s="668" t="str">
        <f>IF(I71="","Enter Max Rate",IF(H51=0,"",PV((1+$I$71/2)^(1/6)-1,I69*12,-H51/12/D227)))</f>
        <v>Enter Max Rate</v>
      </c>
      <c r="J227" s="669" t="str">
        <f>IF(I71="","Enter Max Rate",IF(H51=0,"",PV((1+$I$71/2)^(1/6)-1,I69*12,-H51/12/E227)))</f>
        <v>Enter Max Rate</v>
      </c>
      <c r="K227" s="2"/>
      <c r="M227" s="2"/>
      <c r="V227" s="2"/>
      <c r="X227" s="146"/>
      <c r="Z227" s="93"/>
      <c r="AG227" s="2"/>
    </row>
    <row r="228" spans="3:35" ht="12.75" customHeight="1" x14ac:dyDescent="0.25">
      <c r="C228" s="463" t="s">
        <v>160</v>
      </c>
      <c r="D228" s="470" t="str">
        <f>IF(ISNUMBER(F213),TEXT(F213,"0%"),IF(H52=0,"",IF(OR(F204="MLI Market",AND(F200="All Other Loan Purposes",F207="Existing Property")),"75% of commercial value","")))</f>
        <v/>
      </c>
      <c r="I228" s="824" t="str">
        <f>IF(ISNUMBER(F213),F213*H52,IF(I71="","Enter Max Rate",IF(H52=0,"",IF(OR(F204="MLI Market",AND(F200="All Other Loan Purposes",F207="Existing Property")),0.75*H52,""))))</f>
        <v>Enter Max Rate</v>
      </c>
      <c r="J228" s="671" t="str">
        <f>+I228</f>
        <v>Enter Max Rate</v>
      </c>
      <c r="K228" s="2"/>
      <c r="L228" s="871"/>
      <c r="M228" s="2"/>
      <c r="V228" s="2"/>
      <c r="Z228" s="93"/>
      <c r="AG228" s="2"/>
    </row>
    <row r="229" spans="3:35" ht="12.75" customHeight="1" x14ac:dyDescent="0.25">
      <c r="C229" s="463" t="s">
        <v>281</v>
      </c>
      <c r="D229" s="470" t="str">
        <f>IF(OR(H52=0,F220=0),"",IF(OR(F200="Construction Financing",AND(F200="All Other Loan Purposes",F207="New Construction")),"75% of commercial proportion of Total Development Cost",""))</f>
        <v/>
      </c>
      <c r="I229" s="824" t="str">
        <f>IF(I71="","Enter Max Rate",IF(H52=0,"",IF(F220=0,"",IF(OR(F200="Construction Financing",AND(F200="All Other Loan Purposes",F207="New Construction")),0.75*F220*I124,""))))</f>
        <v>Enter Max Rate</v>
      </c>
      <c r="J229" s="671" t="str">
        <f>+I229</f>
        <v>Enter Max Rate</v>
      </c>
      <c r="K229" s="2"/>
      <c r="L229" s="871"/>
      <c r="M229" s="2"/>
      <c r="N229" s="444"/>
      <c r="V229" s="2"/>
      <c r="Z229" s="93"/>
      <c r="AG229" s="2"/>
    </row>
    <row r="230" spans="3:35" ht="12.75" customHeight="1" x14ac:dyDescent="0.25">
      <c r="C230" s="469" t="s">
        <v>283</v>
      </c>
      <c r="D230" s="468" t="str">
        <f>IF(H52=0,"","30% of combined value")</f>
        <v/>
      </c>
      <c r="I230" s="670" t="str">
        <f>IF(I71="","Enter Max Rate",IF(H52=0,"",0.3*H54))</f>
        <v>Enter Max Rate</v>
      </c>
      <c r="J230" s="671" t="str">
        <f>+I230</f>
        <v>Enter Max Rate</v>
      </c>
      <c r="K230" s="2"/>
      <c r="L230" s="871"/>
      <c r="M230" s="2"/>
      <c r="V230" s="2"/>
      <c r="Z230" s="93"/>
      <c r="AG230" s="2"/>
    </row>
    <row r="231" spans="3:35" ht="12.75" customHeight="1" x14ac:dyDescent="0.25">
      <c r="C231" s="466" t="s">
        <v>284</v>
      </c>
      <c r="D231" s="467"/>
      <c r="E231" s="467"/>
      <c r="F231" s="467"/>
      <c r="G231" s="467"/>
      <c r="H231" s="467"/>
      <c r="I231" s="666">
        <f>+ROUNDDOWN(MIN(I227:I230),-4)</f>
        <v>0</v>
      </c>
      <c r="J231" s="667">
        <f>+ROUNDDOWN(MIN(J227:J230),-4)</f>
        <v>0</v>
      </c>
      <c r="K231" s="2"/>
      <c r="L231" s="871"/>
      <c r="M231" s="2"/>
      <c r="V231" s="2"/>
      <c r="Z231" s="93"/>
      <c r="AG231" s="2"/>
    </row>
    <row r="232" spans="3:35" ht="12.75" customHeight="1" x14ac:dyDescent="0.25">
      <c r="C232" s="437" t="s">
        <v>285</v>
      </c>
      <c r="D232" s="438"/>
      <c r="E232" s="438"/>
      <c r="F232" s="438"/>
      <c r="G232" s="438"/>
      <c r="H232" s="438"/>
      <c r="I232" s="226">
        <f>MIN(SUM(I231,I226))</f>
        <v>0</v>
      </c>
      <c r="J232" s="545">
        <f t="shared" ref="J232" si="39">MIN(SUM(J231,J226))</f>
        <v>0</v>
      </c>
      <c r="K232" s="2"/>
      <c r="L232" s="871"/>
      <c r="M232" s="2"/>
      <c r="N232" s="11"/>
      <c r="O232" s="11"/>
      <c r="P232" s="11"/>
      <c r="Q232" s="107"/>
      <c r="R232" s="107"/>
      <c r="S232" s="31"/>
      <c r="T232" s="31"/>
      <c r="U232" s="27"/>
      <c r="V232" s="2"/>
      <c r="Z232" s="93"/>
      <c r="AG232" s="2"/>
    </row>
    <row r="233" spans="3:35" ht="12.75" customHeight="1" x14ac:dyDescent="0.25">
      <c r="K233" s="2"/>
      <c r="L233" s="871"/>
      <c r="M233" s="2"/>
      <c r="N233" s="11"/>
      <c r="O233" s="11"/>
      <c r="P233" s="11"/>
      <c r="Q233" s="107"/>
      <c r="R233" s="107"/>
      <c r="S233" s="31"/>
      <c r="T233" s="31"/>
      <c r="U233" s="27"/>
      <c r="V233" s="2"/>
      <c r="Z233" s="93"/>
      <c r="AG233" s="2"/>
    </row>
    <row r="234" spans="3:35" ht="12.75" customHeight="1" x14ac:dyDescent="0.25">
      <c r="C234" s="182" t="s">
        <v>286</v>
      </c>
      <c r="D234" s="183"/>
      <c r="E234" s="183"/>
      <c r="F234" s="183"/>
      <c r="G234" s="183"/>
      <c r="H234" s="111"/>
      <c r="I234" s="111" t="s">
        <v>279</v>
      </c>
      <c r="J234" s="178" t="s">
        <v>280</v>
      </c>
      <c r="K234" s="2"/>
      <c r="L234" s="871"/>
      <c r="M234" s="2"/>
      <c r="V234" s="2"/>
      <c r="Z234" s="93"/>
      <c r="AG234" s="2"/>
    </row>
    <row r="235" spans="3:35" ht="12.75" customHeight="1" x14ac:dyDescent="0.25">
      <c r="C235" s="139" t="s">
        <v>287</v>
      </c>
      <c r="D235" s="154"/>
      <c r="E235" s="154"/>
      <c r="F235" s="154"/>
      <c r="G235" s="154"/>
      <c r="H235" s="262"/>
      <c r="I235" s="1544" t="e">
        <f>((1+RATE(I69*12,(H53/VLOOKUP($F$203&amp;$F$204&amp;$F$211,'Premium&amp;DSCBackEndNEW'!$B$74:$I$84,5,0)/12),-I61,0,0,I239))^6-1)*2</f>
        <v>#N/A</v>
      </c>
      <c r="J235" s="1545" t="e">
        <f>((1+RATE(I69*12,(H53/VLOOKUP($F$203&amp;$F$204&amp;$F$211,'Premium&amp;DSCBackEndNEW'!$B$74:$I$84,6,0)/12),-I61,0,0,J239))^6-1)*2</f>
        <v>#N/A</v>
      </c>
      <c r="K235" s="2"/>
      <c r="L235" s="871"/>
      <c r="M235" s="2"/>
      <c r="Z235" s="93"/>
      <c r="AG235" s="2"/>
    </row>
    <row r="236" spans="3:35" ht="12.75" customHeight="1" x14ac:dyDescent="0.25">
      <c r="C236" s="227" t="s">
        <v>288</v>
      </c>
      <c r="D236" s="263" t="s">
        <v>829</v>
      </c>
      <c r="E236" s="264"/>
      <c r="F236" s="219"/>
      <c r="G236" s="219"/>
      <c r="H236" s="219"/>
      <c r="I236" s="265">
        <v>3.3099999999999997E-2</v>
      </c>
      <c r="J236" s="266">
        <v>3.7400000000000003E-2</v>
      </c>
      <c r="Z236" s="93"/>
    </row>
    <row r="237" spans="3:35" ht="12.75" customHeight="1" x14ac:dyDescent="0.25">
      <c r="C237" s="104" t="s">
        <v>289</v>
      </c>
      <c r="I237" s="943">
        <f>Summary!D32/10000</f>
        <v>0</v>
      </c>
      <c r="J237" s="944">
        <f>Summary!D45/10000</f>
        <v>0</v>
      </c>
      <c r="Z237" s="93"/>
    </row>
    <row r="238" spans="3:35" ht="12.75" customHeight="1" x14ac:dyDescent="0.25">
      <c r="C238" s="24" t="s">
        <v>290</v>
      </c>
      <c r="D238" s="102"/>
      <c r="E238" s="102"/>
      <c r="F238" s="102"/>
      <c r="G238" s="102"/>
      <c r="H238" s="102"/>
      <c r="I238" s="267"/>
      <c r="J238" s="268"/>
      <c r="N238" s="11"/>
      <c r="O238" s="11"/>
      <c r="P238" s="11"/>
      <c r="Q238" s="107"/>
      <c r="R238" s="107"/>
      <c r="S238" s="107"/>
      <c r="T238" s="107"/>
      <c r="U238" s="170"/>
      <c r="Z238" s="93"/>
    </row>
    <row r="239" spans="3:35" ht="12.75" customHeight="1" x14ac:dyDescent="0.25">
      <c r="C239" s="151" t="s">
        <v>291</v>
      </c>
      <c r="I239" s="128">
        <f>SUM(I236:I238)</f>
        <v>3.3099999999999997E-2</v>
      </c>
      <c r="J239" s="109">
        <f>SUM(J236:J238)</f>
        <v>3.7400000000000003E-2</v>
      </c>
      <c r="Z239" s="93"/>
    </row>
    <row r="240" spans="3:35" ht="12.75" customHeight="1" x14ac:dyDescent="0.25">
      <c r="C240" s="139" t="s">
        <v>292</v>
      </c>
      <c r="D240" s="153"/>
      <c r="E240" s="154"/>
      <c r="F240" s="154"/>
      <c r="G240" s="154"/>
      <c r="H240" s="154"/>
      <c r="I240" s="152" t="e">
        <f>I235-I239</f>
        <v>#N/A</v>
      </c>
      <c r="J240" s="155" t="e">
        <f>J235-J239</f>
        <v>#N/A</v>
      </c>
      <c r="Q240" s="444"/>
      <c r="Z240" s="93"/>
    </row>
    <row r="241" spans="3:43" ht="12.75" customHeight="1" x14ac:dyDescent="0.25">
      <c r="Q241" s="444"/>
      <c r="Z241" s="93"/>
    </row>
    <row r="242" spans="3:43" ht="12.75" customHeight="1" x14ac:dyDescent="0.25">
      <c r="C242" s="179" t="s">
        <v>807</v>
      </c>
      <c r="D242" s="185"/>
      <c r="E242" s="185"/>
      <c r="F242" s="185"/>
      <c r="G242" s="185"/>
      <c r="H242" s="185"/>
      <c r="I242" s="185"/>
      <c r="J242" s="186"/>
      <c r="Z242" s="93"/>
      <c r="AH242" s="1"/>
      <c r="AI242" s="179" t="s">
        <v>803</v>
      </c>
      <c r="AJ242" s="185"/>
      <c r="AK242" s="180"/>
      <c r="AM242" s="179" t="s">
        <v>293</v>
      </c>
      <c r="AN242" s="180"/>
    </row>
    <row r="243" spans="3:43" ht="12.75" customHeight="1" x14ac:dyDescent="0.25">
      <c r="C243" s="1505" t="str">
        <f>+IF(F205="Yes","Base - EGI Test Met","Base - EGI Test Not Met")</f>
        <v>Base - EGI Test Not Met</v>
      </c>
      <c r="D243" s="219"/>
      <c r="E243" s="1497" t="e">
        <f>_xlfn.CONCAT(F203, " LTV: ", 'Premium&amp;DSCBackEndNEW'!P9)</f>
        <v>#DIV/0!</v>
      </c>
      <c r="F243" s="298"/>
      <c r="G243" s="298"/>
      <c r="H243" s="298"/>
      <c r="I243" s="1506" t="e">
        <f>IF($I$155=0,J243*$I$61,SUM($H$158,$I$155)*J243)</f>
        <v>#N/A</v>
      </c>
      <c r="J243" s="1499" t="e">
        <f>'Premium&amp;DSCBackEndNEW'!P15</f>
        <v>#N/A</v>
      </c>
      <c r="W243" s="754"/>
      <c r="Z243" s="93"/>
      <c r="AH243" s="1"/>
      <c r="AI243" s="547" t="s">
        <v>526</v>
      </c>
      <c r="AJ243" s="1004"/>
      <c r="AK243" s="1005">
        <f ca="1">+ROUNDUP((TODAY()-AJ243)/365,0)</f>
        <v>127</v>
      </c>
      <c r="AM243" s="547" t="e">
        <f>J243*I155</f>
        <v>#N/A</v>
      </c>
      <c r="AN243" s="558" t="e">
        <f>+TEXT(J243,"0.00%") &amp; " of top-up amount"</f>
        <v>#N/A</v>
      </c>
    </row>
    <row r="244" spans="3:43" ht="12.75" customHeight="1" x14ac:dyDescent="0.25">
      <c r="C244" s="1507" t="s">
        <v>781</v>
      </c>
      <c r="E244" s="1508" t="str">
        <f>IF(F200="Construction Financing","N/A - Construction Financing",IF(F205="Yes","EGI met; no surcharge applicable",IF(F205="No","EGI not met - 25 bps surcharge","ERROR")))</f>
        <v>ERROR</v>
      </c>
      <c r="F244" s="1492"/>
      <c r="G244" s="1492"/>
      <c r="H244" s="1492"/>
      <c r="I244" s="1509" t="e">
        <f>IF($I$155=0,J244*$I$61,SUM($H$158,$I$155)*J244)</f>
        <v>#VALUE!</v>
      </c>
      <c r="J244" s="1510" t="str">
        <f>IF(ISNUMBER('Premium&amp;DSCBackEndNEW'!P17)=TRUE,'Premium&amp;DSCBackEndNEW'!P17,"#N/A")</f>
        <v>#N/A</v>
      </c>
      <c r="Z244" s="93"/>
      <c r="AH244" s="1"/>
      <c r="AI244" s="547" t="s">
        <v>521</v>
      </c>
      <c r="AJ244" s="1002"/>
      <c r="AK244" s="1000"/>
      <c r="AM244" s="561">
        <f>MAX(0,IF(F204="MLI Select",0,ROUNDUP((AQ244-25),1)/5*0.0025))</f>
        <v>0</v>
      </c>
      <c r="AN244" s="559"/>
      <c r="AO244" s="1" t="s">
        <v>519</v>
      </c>
      <c r="AQ244" s="253"/>
    </row>
    <row r="245" spans="3:43" ht="12.75" customHeight="1" x14ac:dyDescent="0.25">
      <c r="C245" s="874" t="s">
        <v>19</v>
      </c>
      <c r="E245" s="299" t="s">
        <v>797</v>
      </c>
      <c r="F245" s="1492"/>
      <c r="G245" s="1492"/>
      <c r="H245" s="1492"/>
      <c r="I245" s="1509">
        <f t="shared" ref="I245" si="40">IF($I$155=0,J245*$I$61,SUM($H$158,$I$155)*J245)</f>
        <v>0</v>
      </c>
      <c r="J245" s="105">
        <f>IF(I160="",MAX(0,ROUNDUP((I69-25),1)/5*0.0025),MAX(0,ROUNDUP((I160-25),1)/5*0.0025))</f>
        <v>0</v>
      </c>
      <c r="Z245" s="93"/>
      <c r="AH245" s="1"/>
      <c r="AI245" s="561" t="s">
        <v>522</v>
      </c>
      <c r="AJ245" s="1446">
        <f ca="1">+IF(AK243&gt;7,0,VLOOKUP(AK243,'Premium&amp;DSCBackEndNEW'!$R$21:$S$27,2))</f>
        <v>0</v>
      </c>
      <c r="AK245" s="559"/>
      <c r="AM245" s="547">
        <f>1%*I60</f>
        <v>0</v>
      </c>
      <c r="AN245" s="560"/>
    </row>
    <row r="246" spans="3:43" ht="12.75" customHeight="1" x14ac:dyDescent="0.25">
      <c r="C246" s="874" t="s">
        <v>294</v>
      </c>
      <c r="E246" s="299" t="s">
        <v>295</v>
      </c>
      <c r="F246" s="300"/>
      <c r="G246" s="300"/>
      <c r="H246" s="300"/>
      <c r="I246" s="1509">
        <f>IF(I155=0,I60*0.01,I154*0.01)</f>
        <v>0</v>
      </c>
      <c r="J246" s="105" t="e">
        <f>IF(I155=0,I246/I61,I246/SUM(H158,I155))</f>
        <v>#DIV/0!</v>
      </c>
      <c r="Z246" s="93"/>
      <c r="AH246" s="1"/>
      <c r="AI246" s="548" t="s">
        <v>523</v>
      </c>
      <c r="AJ246" s="142">
        <f ca="1">-AJ244*AJ245</f>
        <v>0</v>
      </c>
      <c r="AK246" s="148"/>
      <c r="AM246" s="547">
        <f>0.5%*H158</f>
        <v>0</v>
      </c>
      <c r="AN246" s="558"/>
    </row>
    <row r="247" spans="3:43" ht="12.75" customHeight="1" x14ac:dyDescent="0.25">
      <c r="C247" s="874" t="s">
        <v>296</v>
      </c>
      <c r="E247" s="1492" t="str">
        <f>+IF(H158&lt;&gt;"","0.50% of the first mortgage of "&amp;TEXT(H158,"$#,#"),"0.50% of the first mortgage")</f>
        <v>0.50% of the first mortgage of $</v>
      </c>
      <c r="F247" s="1492"/>
      <c r="G247" s="1492"/>
      <c r="H247" s="1492"/>
      <c r="I247" s="1509">
        <f>H158*0.005</f>
        <v>0</v>
      </c>
      <c r="J247" s="546" t="e">
        <f>IF(I155=0,I247/I61,I247/SUM(H158,I155))</f>
        <v>#DIV/0!</v>
      </c>
      <c r="Z247" s="93"/>
      <c r="AH247" s="1"/>
      <c r="AI247" s="1001"/>
      <c r="AJ247" s="1001"/>
      <c r="AK247" s="722"/>
      <c r="AM247" s="547">
        <v>0</v>
      </c>
      <c r="AN247" s="559" t="s">
        <v>298</v>
      </c>
    </row>
    <row r="248" spans="3:43" ht="12.75" customHeight="1" x14ac:dyDescent="0.25">
      <c r="C248" s="1507" t="s">
        <v>776</v>
      </c>
      <c r="E248" s="1511" t="str">
        <f>IF(F204="MLI Select",_xlfn.CONCAT(F204, " Total Points: ", SUM(Economics!F217:F219)),"N/A - Market Rental")</f>
        <v>N/A - Market Rental</v>
      </c>
      <c r="F248" s="1492"/>
      <c r="G248" s="1492"/>
      <c r="H248" s="1492"/>
      <c r="I248" s="1509" t="e">
        <f>IF($I$155=0,J248*$I$61,SUM($H$158,$I$155)*J248)</f>
        <v>#N/A</v>
      </c>
      <c r="J248" s="1510" t="e">
        <f>SUM(J243:J247)*-'Premium&amp;DSCBackEndNEW'!P16</f>
        <v>#N/A</v>
      </c>
      <c r="Z248" s="93"/>
      <c r="AH248" s="754"/>
      <c r="AM248" s="548" t="e">
        <f>SUM(AM243:AM247)</f>
        <v>#N/A</v>
      </c>
      <c r="AN248" s="148"/>
    </row>
    <row r="249" spans="3:43" ht="12.75" customHeight="1" x14ac:dyDescent="0.25">
      <c r="C249" s="875" t="s">
        <v>803</v>
      </c>
      <c r="D249" s="102"/>
      <c r="E249" s="301" t="s">
        <v>297</v>
      </c>
      <c r="F249" s="301"/>
      <c r="G249" s="301"/>
      <c r="H249" s="301"/>
      <c r="I249" s="1436">
        <f ca="1">+AJ246</f>
        <v>0</v>
      </c>
      <c r="J249" s="269" t="e">
        <f ca="1">IF(I155=0,I249/I61,I249/SUM(H158,I155))</f>
        <v>#DIV/0!</v>
      </c>
      <c r="Z249" s="93"/>
      <c r="AH249" s="1441"/>
    </row>
    <row r="250" spans="3:43" ht="12.75" customHeight="1" x14ac:dyDescent="0.25">
      <c r="C250" s="139" t="s">
        <v>299</v>
      </c>
      <c r="D250" s="147"/>
      <c r="E250" s="147"/>
      <c r="F250" s="147"/>
      <c r="G250" s="147"/>
      <c r="H250" s="147"/>
      <c r="I250" s="284" t="e">
        <f>+SUM(I243:I249)</f>
        <v>#N/A</v>
      </c>
      <c r="J250" s="148" t="e">
        <f>SUM(J243:J249)</f>
        <v>#N/A</v>
      </c>
      <c r="L250" s="1014"/>
      <c r="Y250" s="2"/>
      <c r="Z250" s="93"/>
      <c r="AH250" s="1442"/>
    </row>
    <row r="251" spans="3:43" ht="12.75" customHeight="1" x14ac:dyDescent="0.25">
      <c r="C251" s="217" t="s">
        <v>300</v>
      </c>
      <c r="D251" s="218"/>
      <c r="E251" s="218"/>
      <c r="F251" s="218"/>
      <c r="G251" s="218"/>
      <c r="H251" s="218"/>
      <c r="I251" s="333"/>
      <c r="J251" s="214"/>
      <c r="X251" s="2"/>
      <c r="Y251" s="2"/>
      <c r="Z251" s="93"/>
    </row>
    <row r="252" spans="3:43" ht="12.75" customHeight="1" x14ac:dyDescent="0.25">
      <c r="X252" s="2"/>
      <c r="Y252" s="2"/>
      <c r="Z252" s="93"/>
    </row>
    <row r="253" spans="3:43" ht="12.75" customHeight="1" x14ac:dyDescent="0.25">
      <c r="C253" s="179" t="s">
        <v>301</v>
      </c>
      <c r="D253" s="185"/>
      <c r="E253" s="185"/>
      <c r="F253" s="185"/>
      <c r="G253" s="185"/>
      <c r="H253" s="185"/>
      <c r="I253" s="111"/>
      <c r="J253" s="178"/>
      <c r="X253" s="2"/>
      <c r="Y253" s="2"/>
      <c r="Z253" s="93"/>
    </row>
    <row r="254" spans="3:43" ht="12.75" customHeight="1" x14ac:dyDescent="0.25">
      <c r="C254" s="227" t="s">
        <v>302</v>
      </c>
      <c r="D254" s="219"/>
      <c r="E254" s="219"/>
      <c r="F254" s="219"/>
      <c r="G254" s="219"/>
      <c r="H254" s="219"/>
      <c r="I254" s="225">
        <f>+IF(F212="Two or less",MIN(100,F15)*150,MIN(100,F15)*200)</f>
        <v>0</v>
      </c>
      <c r="J254" s="544"/>
      <c r="N254" s="444"/>
      <c r="P254" s="444"/>
      <c r="V254" s="96"/>
      <c r="X254" s="2"/>
      <c r="Y254" s="2"/>
      <c r="Z254" s="93"/>
    </row>
    <row r="255" spans="3:43" ht="12.75" customHeight="1" x14ac:dyDescent="0.25">
      <c r="C255" s="18" t="s">
        <v>303</v>
      </c>
      <c r="I255" s="31">
        <f>+IF(F212="Two or less",MIN(MAX(F15-100,0)*100,50000-I254),MIN(MAX(F15-100,0)*100,55000-I254))</f>
        <v>0</v>
      </c>
      <c r="J255" s="75"/>
      <c r="K255" s="96"/>
      <c r="L255" s="872"/>
      <c r="M255" s="96"/>
      <c r="N255" s="444"/>
      <c r="R255" s="444"/>
      <c r="V255" s="95"/>
      <c r="X255" s="2"/>
      <c r="Y255" s="2"/>
      <c r="Z255" s="93"/>
      <c r="AG255" s="96"/>
    </row>
    <row r="256" spans="3:43" ht="12.75" customHeight="1" x14ac:dyDescent="0.25">
      <c r="C256" s="106" t="s">
        <v>304</v>
      </c>
      <c r="D256" s="102"/>
      <c r="E256" s="102"/>
      <c r="F256" s="102"/>
      <c r="G256" s="102"/>
      <c r="H256" s="102"/>
      <c r="I256" s="30">
        <f>+I60*0.003</f>
        <v>0</v>
      </c>
      <c r="J256" s="76"/>
      <c r="K256" s="96"/>
      <c r="L256" s="872"/>
      <c r="M256" s="96"/>
      <c r="V256" s="95"/>
      <c r="X256" s="2"/>
      <c r="Y256" s="2"/>
      <c r="Z256" s="93"/>
      <c r="AG256" s="96"/>
    </row>
    <row r="257" spans="3:33" ht="12.75" customHeight="1" x14ac:dyDescent="0.25">
      <c r="C257" s="139" t="s">
        <v>63</v>
      </c>
      <c r="D257" s="154"/>
      <c r="E257" s="154"/>
      <c r="F257" s="154"/>
      <c r="G257" s="154"/>
      <c r="H257" s="154"/>
      <c r="I257" s="226">
        <f>SUM(I254:I256)</f>
        <v>0</v>
      </c>
      <c r="J257" s="545"/>
      <c r="K257" s="96"/>
      <c r="L257" s="872"/>
      <c r="M257" s="96"/>
      <c r="V257" s="95"/>
      <c r="X257" s="2"/>
      <c r="Y257" s="2"/>
      <c r="Z257" s="93"/>
      <c r="AG257" s="96"/>
    </row>
    <row r="258" spans="3:33" ht="12.75" customHeight="1" x14ac:dyDescent="0.25">
      <c r="K258" s="95"/>
      <c r="L258" s="873"/>
      <c r="M258" s="95"/>
      <c r="V258" s="2"/>
      <c r="X258" s="2"/>
      <c r="Y258" s="2"/>
      <c r="Z258" s="93"/>
      <c r="AG258" s="95"/>
    </row>
    <row r="259" spans="3:33" ht="12.75" customHeight="1" x14ac:dyDescent="0.25">
      <c r="C259" s="179" t="s">
        <v>305</v>
      </c>
      <c r="D259" s="185"/>
      <c r="E259" s="185"/>
      <c r="F259" s="185"/>
      <c r="G259" s="185"/>
      <c r="H259" s="185"/>
      <c r="I259" s="185"/>
      <c r="J259" s="186"/>
      <c r="X259" s="2"/>
    </row>
    <row r="260" spans="3:33" ht="12.75" customHeight="1" x14ac:dyDescent="0.25">
      <c r="C260" s="227" t="str">
        <f>"First 100 Units @ $25"</f>
        <v>First 100 Units @ $25</v>
      </c>
      <c r="D260" s="219"/>
      <c r="E260" s="219"/>
      <c r="F260" s="219"/>
      <c r="G260" s="219"/>
      <c r="H260" s="219"/>
      <c r="I260" s="225">
        <f>MIN(100,F15)*25</f>
        <v>0</v>
      </c>
      <c r="J260" s="221"/>
    </row>
    <row r="261" spans="3:33" ht="12.75" customHeight="1" x14ac:dyDescent="0.25">
      <c r="C261" s="18" t="s">
        <v>306</v>
      </c>
      <c r="I261" s="31">
        <f>MAX(F15-100,0)*15</f>
        <v>0</v>
      </c>
      <c r="J261" s="215"/>
    </row>
    <row r="262" spans="3:33" ht="12.75" customHeight="1" x14ac:dyDescent="0.25">
      <c r="C262" s="139" t="s">
        <v>63</v>
      </c>
      <c r="D262" s="154"/>
      <c r="E262" s="154"/>
      <c r="F262" s="154"/>
      <c r="G262" s="154"/>
      <c r="H262" s="154"/>
      <c r="I262" s="226">
        <f>MIN(7750,I260+I261)</f>
        <v>0</v>
      </c>
      <c r="J262" s="222"/>
    </row>
    <row r="263" spans="3:33" ht="12.75" customHeight="1" x14ac:dyDescent="0.25"/>
    <row r="264" spans="3:33" ht="12.75" customHeight="1" x14ac:dyDescent="0.25"/>
    <row r="265" spans="3:33" ht="12.75" customHeight="1" x14ac:dyDescent="0.25">
      <c r="C265" s="964" t="s">
        <v>812</v>
      </c>
    </row>
    <row r="266" spans="3:33" ht="12.75" customHeight="1" x14ac:dyDescent="0.25">
      <c r="C266" s="179" t="s">
        <v>809</v>
      </c>
      <c r="D266" s="185"/>
      <c r="E266" s="185"/>
      <c r="F266" s="185"/>
      <c r="G266" s="185"/>
      <c r="H266" s="185"/>
      <c r="I266" s="185"/>
      <c r="J266" s="186"/>
    </row>
    <row r="267" spans="3:33" ht="12.75" customHeight="1" x14ac:dyDescent="0.25">
      <c r="C267" s="227" t="str">
        <f>+IF(F205="Yes","Base - EGI Test Met","Base - EGI Test Not Met")</f>
        <v>Base - EGI Test Not Met</v>
      </c>
      <c r="D267" s="219"/>
      <c r="E267" s="1497" t="e">
        <f>IF(F204="MLI Select",_xlfn.CONCAT(F204, " Total Points: ", SUM(Economics!F216:F218)),_xlfn.CONCAT(F203, " LTV: ", PremiumBackEnd!B71))</f>
        <v>#DIV/0!</v>
      </c>
      <c r="F267" s="298"/>
      <c r="G267" s="298"/>
      <c r="H267" s="298"/>
      <c r="I267" s="1498" t="e">
        <f>IF(I155=0,J267*I61,SUM(H158,I155)*J267)</f>
        <v>#N/A</v>
      </c>
      <c r="J267" s="1499" t="e">
        <f>VLOOKUP("X",PremiumBackEnd!$F$3:$G$58,2,FALSE)</f>
        <v>#N/A</v>
      </c>
    </row>
    <row r="268" spans="3:33" x14ac:dyDescent="0.25">
      <c r="C268" s="18" t="s">
        <v>19</v>
      </c>
      <c r="E268" s="299" t="str">
        <f>IF(F204="MLI Select","N/A MLI Select","25 bps for each 5 year extension above 25 years")</f>
        <v>25 bps for each 5 year extension above 25 years</v>
      </c>
      <c r="F268" s="1492"/>
      <c r="G268" s="1492"/>
      <c r="H268" s="1492"/>
      <c r="I268" s="31">
        <f>IF(I155=0,J268*I61,J268*SUM(I155,H158))</f>
        <v>0</v>
      </c>
      <c r="J268" s="105">
        <f>IF(I160="",MAX(0,IF(F204="MLI Select",0,ROUNDUP((I69-25),1)/5*0.0025)),MAX(0,IF(F204="MLI Select",0,ROUNDUP((I160-25),1)/5*0.0025)))</f>
        <v>0</v>
      </c>
    </row>
    <row r="269" spans="3:33" x14ac:dyDescent="0.25">
      <c r="C269" s="18" t="s">
        <v>294</v>
      </c>
      <c r="E269" s="299" t="s">
        <v>295</v>
      </c>
      <c r="F269" s="300"/>
      <c r="G269" s="300"/>
      <c r="H269" s="300"/>
      <c r="I269" s="31">
        <f>IF(I155=0,I60*0.01,I154*0.01)</f>
        <v>0</v>
      </c>
      <c r="J269" s="105" t="e">
        <f>IF(I155=0,I269/I61,I269/SUM(H158,I155))</f>
        <v>#DIV/0!</v>
      </c>
    </row>
    <row r="270" spans="3:33" x14ac:dyDescent="0.25">
      <c r="C270" s="18" t="s">
        <v>296</v>
      </c>
      <c r="E270" s="1492" t="str">
        <f>+IF(H158&lt;&gt;"","0.50% of the first mortgage of "&amp;TEXT(H158,"$#,#"),"0.50% of the first mortgage")</f>
        <v>0.50% of the first mortgage of $</v>
      </c>
      <c r="F270" s="1492"/>
      <c r="G270" s="1492"/>
      <c r="H270" s="1492"/>
      <c r="I270" s="31">
        <f>H158*0.005</f>
        <v>0</v>
      </c>
      <c r="J270" s="546" t="e">
        <f>IF(I155=0,I270/I61,I270/SUM(H158,I155))</f>
        <v>#DIV/0!</v>
      </c>
    </row>
    <row r="271" spans="3:33" x14ac:dyDescent="0.25">
      <c r="C271" s="106" t="s">
        <v>808</v>
      </c>
      <c r="D271" s="102"/>
      <c r="E271" s="301" t="s">
        <v>297</v>
      </c>
      <c r="F271" s="301"/>
      <c r="G271" s="301"/>
      <c r="H271" s="301"/>
      <c r="I271" s="1500">
        <f ca="1">+AJ246</f>
        <v>0</v>
      </c>
      <c r="J271" s="269" t="e">
        <f ca="1">IF(I155=0,I271/I61,I271/SUM(H158,I155))</f>
        <v>#DIV/0!</v>
      </c>
    </row>
    <row r="272" spans="3:33" x14ac:dyDescent="0.25">
      <c r="C272" s="139" t="s">
        <v>299</v>
      </c>
      <c r="D272" s="147"/>
      <c r="E272" s="147"/>
      <c r="F272" s="147"/>
      <c r="G272" s="147"/>
      <c r="H272" s="147"/>
      <c r="I272" s="284" t="e">
        <f>+SUM(I267:I271)</f>
        <v>#N/A</v>
      </c>
      <c r="J272" s="148" t="e">
        <f>SUM(J267:J271)</f>
        <v>#N/A</v>
      </c>
    </row>
    <row r="273" spans="3:10" x14ac:dyDescent="0.25">
      <c r="C273" s="217" t="s">
        <v>810</v>
      </c>
      <c r="D273" s="218"/>
      <c r="E273" s="218"/>
      <c r="F273" s="218"/>
      <c r="G273" s="218"/>
      <c r="H273" s="218"/>
      <c r="I273" s="1501" t="e">
        <f>I250-I272</f>
        <v>#N/A</v>
      </c>
      <c r="J273" s="1502" t="e">
        <f>J250-J272</f>
        <v>#N/A</v>
      </c>
    </row>
  </sheetData>
  <mergeCells count="7">
    <mergeCell ref="F220:G220"/>
    <mergeCell ref="D193:E193"/>
    <mergeCell ref="D192:E192"/>
    <mergeCell ref="D194:E194"/>
    <mergeCell ref="D100:E100"/>
    <mergeCell ref="D102:E102"/>
    <mergeCell ref="D101:E101"/>
  </mergeCells>
  <phoneticPr fontId="28" type="noConversion"/>
  <conditionalFormatting sqref="E5:J14">
    <cfRule type="cellIs" dxfId="13" priority="13" operator="greaterThan">
      <formula>0</formula>
    </cfRule>
  </conditionalFormatting>
  <conditionalFormatting sqref="G19:G20">
    <cfRule type="cellIs" dxfId="12" priority="4" operator="equal">
      <formula>0</formula>
    </cfRule>
  </conditionalFormatting>
  <conditionalFormatting sqref="G24:G26">
    <cfRule type="cellIs" dxfId="11" priority="5" operator="equal">
      <formula>0</formula>
    </cfRule>
  </conditionalFormatting>
  <conditionalFormatting sqref="G80:G84 G169:G170 G173">
    <cfRule type="notContainsBlanks" dxfId="10" priority="6">
      <formula>LEN(TRIM(G80))&gt;0</formula>
    </cfRule>
  </conditionalFormatting>
  <conditionalFormatting sqref="I240:J240">
    <cfRule type="cellIs" dxfId="9" priority="14" operator="lessThan">
      <formula>0</formula>
    </cfRule>
  </conditionalFormatting>
  <conditionalFormatting sqref="L80">
    <cfRule type="expression" dxfId="8" priority="83">
      <formula>+H80&gt;VALUE(RIGHT(D224,3))</formula>
    </cfRule>
  </conditionalFormatting>
  <conditionalFormatting sqref="L84">
    <cfRule type="expression" dxfId="7" priority="84">
      <formula>+OR(AND(I68=5,H84&lt;D223),AND(I68=10,H84&lt;E223))</formula>
    </cfRule>
  </conditionalFormatting>
  <conditionalFormatting sqref="T5">
    <cfRule type="cellIs" dxfId="6" priority="7" operator="greaterThan">
      <formula>0</formula>
    </cfRule>
  </conditionalFormatting>
  <conditionalFormatting sqref="AJ5:AJ14">
    <cfRule type="cellIs" dxfId="5" priority="10" operator="greaterThan">
      <formula>0</formula>
    </cfRule>
  </conditionalFormatting>
  <dataValidations count="4">
    <dataValidation type="list" allowBlank="1" showInputMessage="1" showErrorMessage="1" sqref="F112" xr:uid="{DCDD2C7E-CE80-4302-80D2-818D98D7FDE6}">
      <formula1>"Purchase Price,Appraised"</formula1>
    </dataValidation>
    <dataValidation allowBlank="1" showInputMessage="1" showErrorMessage="1" prompt="Complete Step 1 in the Budget tab" sqref="H121:I122" xr:uid="{2F3F858F-0E67-4765-9033-D7E9FD9CB51C}"/>
    <dataValidation type="list" allowBlank="1" showInputMessage="1" showErrorMessage="1" sqref="G24:G26" xr:uid="{2E4F9377-9EF5-4559-B4DB-A4B8EE973D53}">
      <formula1>$AJ$23:$AM$23</formula1>
    </dataValidation>
    <dataValidation type="list" allowBlank="1" showInputMessage="1" showErrorMessage="1" sqref="G19:G20" xr:uid="{D75A5713-69EC-4EA0-99A1-162C31BA5696}">
      <formula1>"2024 O/S, Rent Roll, 2024 Appraisal, Borrower Proforma"</formula1>
    </dataValidation>
  </dataValidations>
  <pageMargins left="0.7" right="0.7" top="0.75" bottom="0.75" header="0.3" footer="0.3"/>
  <pageSetup orientation="portrait" r:id="rId1"/>
  <ignoredErrors>
    <ignoredError sqref="H125:J125" evalError="1"/>
    <ignoredError sqref="P15:Q15" formula="1"/>
    <ignoredError sqref="G15" evalError="1" formula="1"/>
    <ignoredError sqref="G169 G80 E248 E267" formulaRange="1"/>
  </ignoredErrors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1E675A59-0155-43A9-8DD7-BBDF18C7E0A2}">
          <x14:formula1>
            <xm:f>ControlBackEnd!$C$2:$C$7</xm:f>
          </x14:formula1>
          <xm:sqref>F201</xm:sqref>
        </x14:dataValidation>
        <x14:dataValidation type="list" allowBlank="1" showInputMessage="1" showErrorMessage="1" xr:uid="{96A6688C-75EF-460E-8F7E-12411F7E0008}">
          <x14:formula1>
            <xm:f>ControlBackEnd!$C$15:$C$17</xm:f>
          </x14:formula1>
          <xm:sqref>F204</xm:sqref>
        </x14:dataValidation>
        <x14:dataValidation type="list" allowBlank="1" showInputMessage="1" showErrorMessage="1" xr:uid="{CFF22D0C-7EEB-4F9D-9240-33B4D3BECDF5}">
          <x14:formula1>
            <xm:f>ControlBackEnd!$C$23:$C$25</xm:f>
          </x14:formula1>
          <xm:sqref>F206</xm:sqref>
        </x14:dataValidation>
        <x14:dataValidation type="list" allowBlank="1" showInputMessage="1" showErrorMessage="1" xr:uid="{CCFAE36E-487B-413D-B353-A5B4E3682AC2}">
          <x14:formula1>
            <xm:f>ControlBackEnd!$C$19:$C$21</xm:f>
          </x14:formula1>
          <xm:sqref>F205</xm:sqref>
        </x14:dataValidation>
        <x14:dataValidation type="list" allowBlank="1" showInputMessage="1" showErrorMessage="1" xr:uid="{BAF5FEDB-35DC-48B2-949E-D323E000CD06}">
          <x14:formula1>
            <xm:f>ControlBackEnd!$C$27:$C$29</xm:f>
          </x14:formula1>
          <xm:sqref>F207</xm:sqref>
        </x14:dataValidation>
        <x14:dataValidation type="list" allowBlank="1" showInputMessage="1" xr:uid="{3A47ED3A-9BE0-4BC4-9159-CC32BCB112F6}">
          <x14:formula1>
            <xm:f>ControlBackEnd!$C$59:$C$67</xm:f>
          </x14:formula1>
          <xm:sqref>D26</xm:sqref>
        </x14:dataValidation>
        <x14:dataValidation type="list" allowBlank="1" showInputMessage="1" showErrorMessage="1" xr:uid="{975C9E91-A5D5-4B3A-B452-85C94226A12E}">
          <x14:formula1>
            <xm:f>ControlBackEnd!$C$69:$C$71</xm:f>
          </x14:formula1>
          <xm:sqref>F212</xm:sqref>
        </x14:dataValidation>
        <x14:dataValidation type="list" allowBlank="1" showInputMessage="1" showErrorMessage="1" xr:uid="{9EDA931A-4EC0-43D6-82EA-A884A817B9DC}">
          <x14:formula1>
            <xm:f>ControlBackEnd!$C$73:$C$75</xm:f>
          </x14:formula1>
          <xm:sqref>F200</xm:sqref>
        </x14:dataValidation>
        <x14:dataValidation type="list" allowBlank="1" showInputMessage="1" showErrorMessage="1" xr:uid="{EB9EF518-37DB-4D12-B2A5-8CFD19D05FD1}">
          <x14:formula1>
            <xm:f>ControlBackEnd!$C$77:$C$85</xm:f>
          </x14:formula1>
          <xm:sqref>F209</xm:sqref>
        </x14:dataValidation>
        <x14:dataValidation type="list" allowBlank="1" showInputMessage="1" showErrorMessage="1" xr:uid="{868FE784-DD97-4AD4-92D7-43ABDA833A73}">
          <x14:formula1>
            <xm:f>ControlBackEnd!$C$87:$C$89</xm:f>
          </x14:formula1>
          <xm:sqref>F202</xm:sqref>
        </x14:dataValidation>
        <x14:dataValidation type="list" allowBlank="1" showInputMessage="1" showErrorMessage="1" xr:uid="{5FC365B4-E292-4501-B92D-AAE8C02377C9}">
          <x14:formula1>
            <xm:f>ControlBackEnd!$C$41:$C$45</xm:f>
          </x14:formula1>
          <xm:sqref>AE36</xm:sqref>
        </x14:dataValidation>
        <x14:dataValidation type="list" allowBlank="1" showInputMessage="1" showErrorMessage="1" xr:uid="{28D13051-73D7-4778-85EF-33193C698407}">
          <x14:formula1>
            <xm:f>ControlBackEnd!$C$35:$C$39</xm:f>
          </x14:formula1>
          <xm:sqref>AE35</xm:sqref>
        </x14:dataValidation>
        <x14:dataValidation type="list" allowBlank="1" showInputMessage="1" showErrorMessage="1" xr:uid="{CF791C08-D277-4DC8-B0C6-977B23CDE2CF}">
          <x14:formula1>
            <xm:f>ControlBackEnd!$C$9:$C$13</xm:f>
          </x14:formula1>
          <xm:sqref>F203</xm:sqref>
        </x14:dataValidation>
        <x14:dataValidation type="list" allowBlank="1" showInputMessage="1" showErrorMessage="1" xr:uid="{23C2AE1F-6BB7-4F03-B511-1565CD84094E}">
          <x14:formula1>
            <xm:f>ControlBackEnd!$C$92:$C$93</xm:f>
          </x14:formula1>
          <xm:sqref>AJ70:AL70</xm:sqref>
        </x14:dataValidation>
        <x14:dataValidation type="list" allowBlank="1" showInputMessage="1" showErrorMessage="1" xr:uid="{EE4DC7C5-DBAD-487C-BD3C-82B0B793AE79}">
          <x14:formula1>
            <xm:f>ControlBackEnd!$C$95:$C$97</xm:f>
          </x14:formula1>
          <xm:sqref>F208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F328-50E7-4F25-A26F-A931DFCA1D3C}">
  <dimension ref="B2:EJ21"/>
  <sheetViews>
    <sheetView showGridLines="0" workbookViewId="0">
      <selection activeCell="S21" sqref="S21"/>
    </sheetView>
  </sheetViews>
  <sheetFormatPr defaultColWidth="9" defaultRowHeight="15" x14ac:dyDescent="0.25"/>
  <cols>
    <col min="1" max="1" width="3.42578125" style="471" customWidth="1"/>
    <col min="2" max="2" width="9.140625" style="471" customWidth="1"/>
    <col min="3" max="3" width="11" style="471" customWidth="1"/>
    <col min="4" max="4" width="12.42578125" style="471" customWidth="1"/>
    <col min="5" max="93" width="9.140625" style="471" customWidth="1"/>
    <col min="94" max="94" width="10" style="471" customWidth="1"/>
    <col min="95" max="95" width="11.7109375" style="471" customWidth="1"/>
    <col min="96" max="96" width="12.42578125" style="471" customWidth="1"/>
    <col min="97" max="97" width="13.42578125" style="471" customWidth="1"/>
    <col min="98" max="98" width="14.28515625" style="471" customWidth="1"/>
    <col min="99" max="99" width="15.28515625" style="471" customWidth="1"/>
    <col min="100" max="100" width="16.140625" style="471" customWidth="1"/>
    <col min="101" max="101" width="17.140625" style="471" customWidth="1"/>
    <col min="102" max="102" width="18.140625" style="471" customWidth="1"/>
    <col min="103" max="103" width="19" style="471" customWidth="1"/>
    <col min="104" max="104" width="19.7109375" style="471" customWidth="1"/>
    <col min="105" max="105" width="20.7109375" style="471" customWidth="1"/>
    <col min="106" max="106" width="21.7109375" style="471" customWidth="1"/>
    <col min="107" max="107" width="22.42578125" style="471" customWidth="1"/>
    <col min="108" max="109" width="23.28515625" style="471" customWidth="1"/>
    <col min="110" max="110" width="24.28515625" style="471" customWidth="1"/>
    <col min="111" max="111" width="25.28515625" style="471" customWidth="1"/>
    <col min="112" max="113" width="26.140625" style="471" customWidth="1"/>
    <col min="114" max="114" width="27.140625" style="471" customWidth="1"/>
    <col min="115" max="116" width="28" style="471" customWidth="1"/>
    <col min="117" max="117" width="28.7109375" style="471" customWidth="1"/>
    <col min="118" max="119" width="29.7109375" style="471" customWidth="1"/>
    <col min="120" max="120" width="30.7109375" style="471" customWidth="1"/>
    <col min="121" max="121" width="31.42578125" style="471" customWidth="1"/>
    <col min="122" max="16384" width="9" style="471"/>
  </cols>
  <sheetData>
    <row r="2" spans="2:140" x14ac:dyDescent="0.25">
      <c r="C2" s="471" t="s">
        <v>16</v>
      </c>
      <c r="D2" s="480" t="e">
        <f>+IF(Economics!I155=0,Economics!I64,Economics!I158)</f>
        <v>#N/A</v>
      </c>
    </row>
    <row r="3" spans="2:140" x14ac:dyDescent="0.25">
      <c r="C3" s="471" t="s">
        <v>185</v>
      </c>
      <c r="D3" s="481">
        <f>+IF(Economics!I165="",Economics!I71,Economics!I165)</f>
        <v>0</v>
      </c>
    </row>
    <row r="4" spans="2:140" x14ac:dyDescent="0.25">
      <c r="E4" s="472"/>
      <c r="F4" s="472"/>
      <c r="G4" s="472"/>
      <c r="H4" s="472"/>
      <c r="I4" s="472"/>
      <c r="J4" s="472"/>
      <c r="K4" s="472"/>
      <c r="L4" s="472"/>
      <c r="M4" s="472"/>
      <c r="N4" s="472"/>
      <c r="O4" s="472"/>
      <c r="P4" s="472"/>
      <c r="Q4" s="472"/>
      <c r="R4" s="472"/>
      <c r="S4" s="472"/>
      <c r="T4" s="472"/>
      <c r="U4" s="472"/>
      <c r="V4" s="472"/>
      <c r="W4" s="472"/>
      <c r="X4" s="472"/>
      <c r="Y4" s="472"/>
      <c r="Z4" s="472"/>
      <c r="AA4" s="472"/>
      <c r="AB4" s="472"/>
      <c r="AC4" s="472"/>
      <c r="AD4" s="472"/>
      <c r="AE4" s="472"/>
      <c r="AF4" s="472"/>
      <c r="AG4" s="472"/>
      <c r="AH4" s="472"/>
      <c r="AI4" s="472"/>
      <c r="AJ4" s="472"/>
      <c r="AK4" s="472"/>
      <c r="AL4" s="472"/>
      <c r="AM4" s="472"/>
      <c r="AN4" s="472"/>
      <c r="AO4" s="472"/>
      <c r="AP4" s="472"/>
      <c r="AQ4" s="472"/>
      <c r="AR4" s="472"/>
      <c r="AS4" s="472"/>
      <c r="AT4" s="472"/>
      <c r="AU4" s="472"/>
      <c r="AV4" s="472"/>
      <c r="AW4" s="472"/>
      <c r="AX4" s="472"/>
      <c r="AY4" s="472"/>
      <c r="AZ4" s="472"/>
      <c r="BA4" s="472"/>
      <c r="BB4" s="472"/>
      <c r="BC4" s="472"/>
      <c r="BD4" s="472"/>
      <c r="BE4" s="472"/>
      <c r="BF4" s="472"/>
      <c r="BG4" s="472"/>
      <c r="BH4" s="472"/>
      <c r="BI4" s="472"/>
      <c r="BJ4" s="472"/>
      <c r="BK4" s="472"/>
      <c r="BL4" s="472"/>
      <c r="BM4" s="472"/>
      <c r="BN4" s="472"/>
      <c r="BO4" s="472"/>
      <c r="BP4" s="472"/>
      <c r="BQ4" s="472"/>
      <c r="BR4" s="472"/>
      <c r="BS4" s="472"/>
      <c r="BT4" s="472"/>
      <c r="BU4" s="472"/>
      <c r="BV4" s="472"/>
      <c r="BW4" s="472"/>
      <c r="BX4" s="472"/>
      <c r="BY4" s="472"/>
      <c r="BZ4" s="472"/>
      <c r="CA4" s="472"/>
      <c r="CB4" s="472"/>
      <c r="CC4" s="472"/>
      <c r="CD4" s="472"/>
      <c r="CE4" s="472"/>
      <c r="CF4" s="472"/>
      <c r="CG4" s="472"/>
      <c r="CH4" s="472"/>
      <c r="CI4" s="472"/>
      <c r="CJ4" s="472"/>
      <c r="CK4" s="472"/>
      <c r="CL4" s="472"/>
      <c r="CM4" s="472"/>
      <c r="CN4" s="472"/>
      <c r="CO4" s="472"/>
      <c r="CP4" s="472"/>
      <c r="CQ4" s="472"/>
      <c r="CR4" s="472"/>
      <c r="CS4" s="472"/>
      <c r="CT4" s="472"/>
      <c r="CU4" s="472"/>
      <c r="CV4" s="472"/>
      <c r="CW4" s="472"/>
      <c r="CX4" s="472"/>
      <c r="CY4" s="472"/>
      <c r="CZ4" s="472"/>
      <c r="DA4" s="472"/>
      <c r="DB4" s="472"/>
      <c r="DC4" s="472"/>
      <c r="DD4" s="472"/>
      <c r="DE4" s="472"/>
      <c r="DF4" s="472"/>
      <c r="DG4" s="472"/>
      <c r="DH4" s="472"/>
      <c r="DI4" s="472"/>
      <c r="DJ4" s="472"/>
      <c r="DK4" s="472"/>
      <c r="DL4" s="472"/>
      <c r="DM4" s="472"/>
      <c r="DN4" s="472"/>
      <c r="DO4" s="472"/>
      <c r="DP4" s="472"/>
      <c r="DQ4" s="472"/>
    </row>
    <row r="5" spans="2:140" s="478" customFormat="1" x14ac:dyDescent="0.25">
      <c r="C5" s="485" t="s">
        <v>307</v>
      </c>
      <c r="D5" s="486" t="s">
        <v>308</v>
      </c>
      <c r="E5" s="486" t="s">
        <v>309</v>
      </c>
      <c r="F5" s="486" t="s">
        <v>310</v>
      </c>
      <c r="G5" s="477"/>
      <c r="H5" s="479" t="s">
        <v>311</v>
      </c>
      <c r="I5" s="477">
        <v>1</v>
      </c>
      <c r="J5" s="477">
        <f>I5+1</f>
        <v>2</v>
      </c>
      <c r="K5" s="477">
        <f t="shared" ref="K5:BV5" si="0">J5+1</f>
        <v>3</v>
      </c>
      <c r="L5" s="477">
        <f t="shared" si="0"/>
        <v>4</v>
      </c>
      <c r="M5" s="477">
        <f t="shared" si="0"/>
        <v>5</v>
      </c>
      <c r="N5" s="477">
        <f t="shared" si="0"/>
        <v>6</v>
      </c>
      <c r="O5" s="477">
        <f t="shared" si="0"/>
        <v>7</v>
      </c>
      <c r="P5" s="477">
        <f t="shared" si="0"/>
        <v>8</v>
      </c>
      <c r="Q5" s="477">
        <f t="shared" si="0"/>
        <v>9</v>
      </c>
      <c r="R5" s="477">
        <f t="shared" si="0"/>
        <v>10</v>
      </c>
      <c r="S5" s="477">
        <f t="shared" si="0"/>
        <v>11</v>
      </c>
      <c r="T5" s="477">
        <f t="shared" si="0"/>
        <v>12</v>
      </c>
      <c r="U5" s="477">
        <f t="shared" si="0"/>
        <v>13</v>
      </c>
      <c r="V5" s="477">
        <f t="shared" si="0"/>
        <v>14</v>
      </c>
      <c r="W5" s="477">
        <f t="shared" si="0"/>
        <v>15</v>
      </c>
      <c r="X5" s="477">
        <f t="shared" si="0"/>
        <v>16</v>
      </c>
      <c r="Y5" s="477">
        <f t="shared" si="0"/>
        <v>17</v>
      </c>
      <c r="Z5" s="477">
        <f t="shared" si="0"/>
        <v>18</v>
      </c>
      <c r="AA5" s="477">
        <f t="shared" si="0"/>
        <v>19</v>
      </c>
      <c r="AB5" s="477">
        <f t="shared" si="0"/>
        <v>20</v>
      </c>
      <c r="AC5" s="477">
        <f t="shared" si="0"/>
        <v>21</v>
      </c>
      <c r="AD5" s="477">
        <f t="shared" si="0"/>
        <v>22</v>
      </c>
      <c r="AE5" s="477">
        <f t="shared" si="0"/>
        <v>23</v>
      </c>
      <c r="AF5" s="477">
        <f t="shared" si="0"/>
        <v>24</v>
      </c>
      <c r="AG5" s="477">
        <f t="shared" si="0"/>
        <v>25</v>
      </c>
      <c r="AH5" s="477">
        <f t="shared" si="0"/>
        <v>26</v>
      </c>
      <c r="AI5" s="477">
        <f t="shared" si="0"/>
        <v>27</v>
      </c>
      <c r="AJ5" s="477">
        <f t="shared" si="0"/>
        <v>28</v>
      </c>
      <c r="AK5" s="477">
        <f t="shared" si="0"/>
        <v>29</v>
      </c>
      <c r="AL5" s="477">
        <f t="shared" si="0"/>
        <v>30</v>
      </c>
      <c r="AM5" s="477">
        <f t="shared" si="0"/>
        <v>31</v>
      </c>
      <c r="AN5" s="477">
        <f t="shared" si="0"/>
        <v>32</v>
      </c>
      <c r="AO5" s="477">
        <f t="shared" si="0"/>
        <v>33</v>
      </c>
      <c r="AP5" s="477">
        <f t="shared" si="0"/>
        <v>34</v>
      </c>
      <c r="AQ5" s="477">
        <f t="shared" si="0"/>
        <v>35</v>
      </c>
      <c r="AR5" s="477">
        <f t="shared" si="0"/>
        <v>36</v>
      </c>
      <c r="AS5" s="477">
        <f t="shared" si="0"/>
        <v>37</v>
      </c>
      <c r="AT5" s="477">
        <f t="shared" si="0"/>
        <v>38</v>
      </c>
      <c r="AU5" s="477">
        <f t="shared" si="0"/>
        <v>39</v>
      </c>
      <c r="AV5" s="477">
        <f t="shared" si="0"/>
        <v>40</v>
      </c>
      <c r="AW5" s="477">
        <f t="shared" si="0"/>
        <v>41</v>
      </c>
      <c r="AX5" s="477">
        <f t="shared" si="0"/>
        <v>42</v>
      </c>
      <c r="AY5" s="477">
        <f t="shared" si="0"/>
        <v>43</v>
      </c>
      <c r="AZ5" s="477">
        <f t="shared" si="0"/>
        <v>44</v>
      </c>
      <c r="BA5" s="477">
        <f t="shared" si="0"/>
        <v>45</v>
      </c>
      <c r="BB5" s="477">
        <f t="shared" si="0"/>
        <v>46</v>
      </c>
      <c r="BC5" s="477">
        <f t="shared" si="0"/>
        <v>47</v>
      </c>
      <c r="BD5" s="477">
        <f t="shared" si="0"/>
        <v>48</v>
      </c>
      <c r="BE5" s="477">
        <f t="shared" si="0"/>
        <v>49</v>
      </c>
      <c r="BF5" s="477">
        <f t="shared" si="0"/>
        <v>50</v>
      </c>
      <c r="BG5" s="477">
        <f t="shared" si="0"/>
        <v>51</v>
      </c>
      <c r="BH5" s="477">
        <f t="shared" si="0"/>
        <v>52</v>
      </c>
      <c r="BI5" s="477">
        <f t="shared" si="0"/>
        <v>53</v>
      </c>
      <c r="BJ5" s="477">
        <f t="shared" si="0"/>
        <v>54</v>
      </c>
      <c r="BK5" s="477">
        <f t="shared" si="0"/>
        <v>55</v>
      </c>
      <c r="BL5" s="477">
        <f t="shared" si="0"/>
        <v>56</v>
      </c>
      <c r="BM5" s="477">
        <f t="shared" si="0"/>
        <v>57</v>
      </c>
      <c r="BN5" s="477">
        <f t="shared" si="0"/>
        <v>58</v>
      </c>
      <c r="BO5" s="477">
        <f t="shared" si="0"/>
        <v>59</v>
      </c>
      <c r="BP5" s="477">
        <f t="shared" si="0"/>
        <v>60</v>
      </c>
      <c r="BQ5" s="477">
        <f t="shared" si="0"/>
        <v>61</v>
      </c>
      <c r="BR5" s="477">
        <f t="shared" si="0"/>
        <v>62</v>
      </c>
      <c r="BS5" s="477">
        <f t="shared" si="0"/>
        <v>63</v>
      </c>
      <c r="BT5" s="477">
        <f t="shared" si="0"/>
        <v>64</v>
      </c>
      <c r="BU5" s="477">
        <f t="shared" si="0"/>
        <v>65</v>
      </c>
      <c r="BV5" s="477">
        <f t="shared" si="0"/>
        <v>66</v>
      </c>
      <c r="BW5" s="477">
        <f t="shared" ref="BW5:CT5" si="1">BV5+1</f>
        <v>67</v>
      </c>
      <c r="BX5" s="477">
        <f t="shared" si="1"/>
        <v>68</v>
      </c>
      <c r="BY5" s="477">
        <f t="shared" si="1"/>
        <v>69</v>
      </c>
      <c r="BZ5" s="477">
        <f t="shared" si="1"/>
        <v>70</v>
      </c>
      <c r="CA5" s="477">
        <f t="shared" si="1"/>
        <v>71</v>
      </c>
      <c r="CB5" s="477">
        <f t="shared" si="1"/>
        <v>72</v>
      </c>
      <c r="CC5" s="477">
        <f t="shared" si="1"/>
        <v>73</v>
      </c>
      <c r="CD5" s="477">
        <f t="shared" si="1"/>
        <v>74</v>
      </c>
      <c r="CE5" s="477">
        <f t="shared" si="1"/>
        <v>75</v>
      </c>
      <c r="CF5" s="477">
        <f t="shared" si="1"/>
        <v>76</v>
      </c>
      <c r="CG5" s="477">
        <f t="shared" si="1"/>
        <v>77</v>
      </c>
      <c r="CH5" s="477">
        <f t="shared" si="1"/>
        <v>78</v>
      </c>
      <c r="CI5" s="477">
        <f t="shared" si="1"/>
        <v>79</v>
      </c>
      <c r="CJ5" s="477">
        <f t="shared" si="1"/>
        <v>80</v>
      </c>
      <c r="CK5" s="477">
        <f t="shared" si="1"/>
        <v>81</v>
      </c>
      <c r="CL5" s="477">
        <f t="shared" si="1"/>
        <v>82</v>
      </c>
      <c r="CM5" s="477">
        <f t="shared" si="1"/>
        <v>83</v>
      </c>
      <c r="CN5" s="477">
        <f t="shared" si="1"/>
        <v>84</v>
      </c>
      <c r="CO5" s="477">
        <f t="shared" si="1"/>
        <v>85</v>
      </c>
      <c r="CP5" s="477">
        <f t="shared" si="1"/>
        <v>86</v>
      </c>
      <c r="CQ5" s="477">
        <f t="shared" si="1"/>
        <v>87</v>
      </c>
      <c r="CR5" s="477">
        <f t="shared" si="1"/>
        <v>88</v>
      </c>
      <c r="CS5" s="477">
        <f t="shared" si="1"/>
        <v>89</v>
      </c>
      <c r="CT5" s="477">
        <f t="shared" si="1"/>
        <v>90</v>
      </c>
      <c r="CU5" s="477">
        <f>CT5+1</f>
        <v>91</v>
      </c>
      <c r="CV5" s="477">
        <f t="shared" ref="CV5:EJ5" si="2">CU5+1</f>
        <v>92</v>
      </c>
      <c r="CW5" s="477">
        <f t="shared" si="2"/>
        <v>93</v>
      </c>
      <c r="CX5" s="477">
        <f t="shared" si="2"/>
        <v>94</v>
      </c>
      <c r="CY5" s="477">
        <f t="shared" si="2"/>
        <v>95</v>
      </c>
      <c r="CZ5" s="477">
        <f t="shared" si="2"/>
        <v>96</v>
      </c>
      <c r="DA5" s="477">
        <f t="shared" si="2"/>
        <v>97</v>
      </c>
      <c r="DB5" s="477">
        <f t="shared" si="2"/>
        <v>98</v>
      </c>
      <c r="DC5" s="477">
        <f t="shared" si="2"/>
        <v>99</v>
      </c>
      <c r="DD5" s="477">
        <f t="shared" si="2"/>
        <v>100</v>
      </c>
      <c r="DE5" s="477">
        <f t="shared" si="2"/>
        <v>101</v>
      </c>
      <c r="DF5" s="477">
        <f t="shared" si="2"/>
        <v>102</v>
      </c>
      <c r="DG5" s="477">
        <f t="shared" si="2"/>
        <v>103</v>
      </c>
      <c r="DH5" s="477">
        <f t="shared" si="2"/>
        <v>104</v>
      </c>
      <c r="DI5" s="477">
        <f t="shared" si="2"/>
        <v>105</v>
      </c>
      <c r="DJ5" s="477">
        <f t="shared" si="2"/>
        <v>106</v>
      </c>
      <c r="DK5" s="477">
        <f t="shared" si="2"/>
        <v>107</v>
      </c>
      <c r="DL5" s="477">
        <f t="shared" si="2"/>
        <v>108</v>
      </c>
      <c r="DM5" s="477">
        <f t="shared" si="2"/>
        <v>109</v>
      </c>
      <c r="DN5" s="477">
        <f t="shared" si="2"/>
        <v>110</v>
      </c>
      <c r="DO5" s="477">
        <f t="shared" si="2"/>
        <v>111</v>
      </c>
      <c r="DP5" s="477">
        <f t="shared" si="2"/>
        <v>112</v>
      </c>
      <c r="DQ5" s="477">
        <f t="shared" si="2"/>
        <v>113</v>
      </c>
      <c r="DR5" s="477">
        <f t="shared" si="2"/>
        <v>114</v>
      </c>
      <c r="DS5" s="477">
        <f t="shared" si="2"/>
        <v>115</v>
      </c>
      <c r="DT5" s="477">
        <f t="shared" si="2"/>
        <v>116</v>
      </c>
      <c r="DU5" s="477">
        <f t="shared" si="2"/>
        <v>117</v>
      </c>
      <c r="DV5" s="477">
        <f t="shared" si="2"/>
        <v>118</v>
      </c>
      <c r="DW5" s="477">
        <f t="shared" si="2"/>
        <v>119</v>
      </c>
      <c r="DX5" s="477">
        <f t="shared" si="2"/>
        <v>120</v>
      </c>
      <c r="DY5" s="477">
        <f t="shared" si="2"/>
        <v>121</v>
      </c>
      <c r="DZ5" s="477">
        <f t="shared" si="2"/>
        <v>122</v>
      </c>
      <c r="EA5" s="477">
        <f t="shared" si="2"/>
        <v>123</v>
      </c>
      <c r="EB5" s="477">
        <f t="shared" si="2"/>
        <v>124</v>
      </c>
      <c r="EC5" s="477">
        <f t="shared" si="2"/>
        <v>125</v>
      </c>
      <c r="ED5" s="477">
        <f t="shared" si="2"/>
        <v>126</v>
      </c>
      <c r="EE5" s="477">
        <f t="shared" si="2"/>
        <v>127</v>
      </c>
      <c r="EF5" s="477">
        <f t="shared" si="2"/>
        <v>128</v>
      </c>
      <c r="EG5" s="477">
        <f t="shared" si="2"/>
        <v>129</v>
      </c>
      <c r="EH5" s="477">
        <f t="shared" si="2"/>
        <v>130</v>
      </c>
      <c r="EI5" s="477">
        <f t="shared" si="2"/>
        <v>131</v>
      </c>
      <c r="EJ5" s="477">
        <f t="shared" si="2"/>
        <v>132</v>
      </c>
    </row>
    <row r="6" spans="2:140" x14ac:dyDescent="0.25">
      <c r="B6" s="475" t="s">
        <v>312</v>
      </c>
      <c r="C6" s="482" t="e">
        <f>+IF(E6&gt;$D$3,D6*(E6-$D$3)*$D$2,0)</f>
        <v>#N/A</v>
      </c>
      <c r="D6" s="483">
        <f>IFERROR((NPV(((1+(E6-0.01%)/2)^(2/12)-1),$I20:$EJ20)-NPV(((1+(E6+0.01%)/2)^(2/12)-1),$I20:$EJ20))/2,"")</f>
        <v>0</v>
      </c>
      <c r="E6" s="484">
        <f>+Economics!I239</f>
        <v>3.3099999999999997E-2</v>
      </c>
      <c r="F6" s="483" t="e">
        <f>IFERROR(-PMT((1+E6/2)^(2/12)-1,Economics!$I$160* 12, 10000),-PMT((1+E6/2)^(2/12)-1,Economics!$I$69* 12, 10000))</f>
        <v>#NUM!</v>
      </c>
    </row>
    <row r="7" spans="2:140" x14ac:dyDescent="0.25">
      <c r="B7" s="475" t="s">
        <v>313</v>
      </c>
      <c r="C7" s="482" t="e">
        <f>+IF(E7&gt;$D$3,D7*(E7-$D$3)*$D$2,0)</f>
        <v>#N/A</v>
      </c>
      <c r="D7" s="483">
        <f>IFERROR((NPV(((1+(E7-0.01%)/2)^(2/12)-1),$I21:$EJ21)-NPV(((1+(E7+0.01%)/2)^(2/12)-1),$I21:$EJ21))/2,"")</f>
        <v>0</v>
      </c>
      <c r="E7" s="484">
        <f>+Economics!J239</f>
        <v>3.7400000000000003E-2</v>
      </c>
      <c r="F7" s="483" t="e">
        <f>IFERROR(-PMT((1+E7/2)^(2/12)-1,Economics!$I$160* 12, 10000),-PMT((1+E7/2)^(2/12)-1,Economics!$I$69* 12, 10000))</f>
        <v>#NUM!</v>
      </c>
      <c r="H7" s="474" t="s">
        <v>314</v>
      </c>
    </row>
    <row r="8" spans="2:140" x14ac:dyDescent="0.25">
      <c r="H8" s="474" t="s">
        <v>312</v>
      </c>
      <c r="I8" s="475">
        <f t="shared" ref="I8:AN8" si="3">IF(I$5=1,10000,H8-H16)</f>
        <v>10000</v>
      </c>
      <c r="J8" s="475" t="e">
        <f t="shared" si="3"/>
        <v>#NUM!</v>
      </c>
      <c r="K8" s="475" t="e">
        <f t="shared" si="3"/>
        <v>#NUM!</v>
      </c>
      <c r="L8" s="475" t="e">
        <f t="shared" si="3"/>
        <v>#NUM!</v>
      </c>
      <c r="M8" s="475" t="e">
        <f t="shared" si="3"/>
        <v>#NUM!</v>
      </c>
      <c r="N8" s="475" t="e">
        <f t="shared" si="3"/>
        <v>#NUM!</v>
      </c>
      <c r="O8" s="475" t="e">
        <f t="shared" si="3"/>
        <v>#NUM!</v>
      </c>
      <c r="P8" s="475" t="e">
        <f t="shared" si="3"/>
        <v>#NUM!</v>
      </c>
      <c r="Q8" s="475" t="e">
        <f t="shared" si="3"/>
        <v>#NUM!</v>
      </c>
      <c r="R8" s="475" t="e">
        <f t="shared" si="3"/>
        <v>#NUM!</v>
      </c>
      <c r="S8" s="475" t="e">
        <f t="shared" si="3"/>
        <v>#NUM!</v>
      </c>
      <c r="T8" s="475" t="e">
        <f t="shared" si="3"/>
        <v>#NUM!</v>
      </c>
      <c r="U8" s="475" t="e">
        <f t="shared" si="3"/>
        <v>#NUM!</v>
      </c>
      <c r="V8" s="475" t="e">
        <f t="shared" si="3"/>
        <v>#NUM!</v>
      </c>
      <c r="W8" s="475" t="e">
        <f t="shared" si="3"/>
        <v>#NUM!</v>
      </c>
      <c r="X8" s="475" t="e">
        <f t="shared" si="3"/>
        <v>#NUM!</v>
      </c>
      <c r="Y8" s="475" t="e">
        <f t="shared" si="3"/>
        <v>#NUM!</v>
      </c>
      <c r="Z8" s="475" t="e">
        <f t="shared" si="3"/>
        <v>#NUM!</v>
      </c>
      <c r="AA8" s="475" t="e">
        <f t="shared" si="3"/>
        <v>#NUM!</v>
      </c>
      <c r="AB8" s="475" t="e">
        <f t="shared" si="3"/>
        <v>#NUM!</v>
      </c>
      <c r="AC8" s="475" t="e">
        <f t="shared" si="3"/>
        <v>#NUM!</v>
      </c>
      <c r="AD8" s="475" t="e">
        <f t="shared" si="3"/>
        <v>#NUM!</v>
      </c>
      <c r="AE8" s="475" t="e">
        <f t="shared" si="3"/>
        <v>#NUM!</v>
      </c>
      <c r="AF8" s="475" t="e">
        <f t="shared" si="3"/>
        <v>#NUM!</v>
      </c>
      <c r="AG8" s="475" t="e">
        <f t="shared" si="3"/>
        <v>#NUM!</v>
      </c>
      <c r="AH8" s="475" t="e">
        <f t="shared" si="3"/>
        <v>#NUM!</v>
      </c>
      <c r="AI8" s="475" t="e">
        <f t="shared" si="3"/>
        <v>#NUM!</v>
      </c>
      <c r="AJ8" s="475" t="e">
        <f t="shared" si="3"/>
        <v>#NUM!</v>
      </c>
      <c r="AK8" s="475" t="e">
        <f t="shared" si="3"/>
        <v>#NUM!</v>
      </c>
      <c r="AL8" s="475" t="e">
        <f t="shared" si="3"/>
        <v>#NUM!</v>
      </c>
      <c r="AM8" s="475" t="e">
        <f t="shared" si="3"/>
        <v>#NUM!</v>
      </c>
      <c r="AN8" s="475" t="e">
        <f t="shared" si="3"/>
        <v>#NUM!</v>
      </c>
      <c r="AO8" s="475" t="e">
        <f t="shared" ref="AO8:BT8" si="4">IF(AO$5=1,10000,AN8-AN16)</f>
        <v>#NUM!</v>
      </c>
      <c r="AP8" s="475" t="e">
        <f t="shared" si="4"/>
        <v>#NUM!</v>
      </c>
      <c r="AQ8" s="475" t="e">
        <f t="shared" si="4"/>
        <v>#NUM!</v>
      </c>
      <c r="AR8" s="475" t="e">
        <f t="shared" si="4"/>
        <v>#NUM!</v>
      </c>
      <c r="AS8" s="475" t="e">
        <f t="shared" si="4"/>
        <v>#NUM!</v>
      </c>
      <c r="AT8" s="475" t="e">
        <f t="shared" si="4"/>
        <v>#NUM!</v>
      </c>
      <c r="AU8" s="475" t="e">
        <f t="shared" si="4"/>
        <v>#NUM!</v>
      </c>
      <c r="AV8" s="475" t="e">
        <f t="shared" si="4"/>
        <v>#NUM!</v>
      </c>
      <c r="AW8" s="475" t="e">
        <f t="shared" si="4"/>
        <v>#NUM!</v>
      </c>
      <c r="AX8" s="475" t="e">
        <f t="shared" si="4"/>
        <v>#NUM!</v>
      </c>
      <c r="AY8" s="475" t="e">
        <f t="shared" si="4"/>
        <v>#NUM!</v>
      </c>
      <c r="AZ8" s="475" t="e">
        <f t="shared" si="4"/>
        <v>#NUM!</v>
      </c>
      <c r="BA8" s="475" t="e">
        <f t="shared" si="4"/>
        <v>#NUM!</v>
      </c>
      <c r="BB8" s="475" t="e">
        <f t="shared" si="4"/>
        <v>#NUM!</v>
      </c>
      <c r="BC8" s="475" t="e">
        <f t="shared" si="4"/>
        <v>#NUM!</v>
      </c>
      <c r="BD8" s="475" t="e">
        <f t="shared" si="4"/>
        <v>#NUM!</v>
      </c>
      <c r="BE8" s="475" t="e">
        <f t="shared" si="4"/>
        <v>#NUM!</v>
      </c>
      <c r="BF8" s="475" t="e">
        <f t="shared" si="4"/>
        <v>#NUM!</v>
      </c>
      <c r="BG8" s="475" t="e">
        <f t="shared" si="4"/>
        <v>#NUM!</v>
      </c>
      <c r="BH8" s="475" t="e">
        <f t="shared" si="4"/>
        <v>#NUM!</v>
      </c>
      <c r="BI8" s="475" t="e">
        <f t="shared" si="4"/>
        <v>#NUM!</v>
      </c>
      <c r="BJ8" s="475" t="e">
        <f t="shared" si="4"/>
        <v>#NUM!</v>
      </c>
      <c r="BK8" s="475" t="e">
        <f t="shared" si="4"/>
        <v>#NUM!</v>
      </c>
      <c r="BL8" s="475" t="e">
        <f t="shared" si="4"/>
        <v>#NUM!</v>
      </c>
      <c r="BM8" s="475" t="e">
        <f t="shared" si="4"/>
        <v>#NUM!</v>
      </c>
      <c r="BN8" s="475" t="e">
        <f t="shared" si="4"/>
        <v>#NUM!</v>
      </c>
      <c r="BO8" s="475" t="e">
        <f t="shared" si="4"/>
        <v>#NUM!</v>
      </c>
      <c r="BP8" s="475" t="e">
        <f t="shared" si="4"/>
        <v>#NUM!</v>
      </c>
      <c r="BQ8" s="475" t="e">
        <f t="shared" si="4"/>
        <v>#NUM!</v>
      </c>
      <c r="BR8" s="475" t="e">
        <f t="shared" si="4"/>
        <v>#NUM!</v>
      </c>
      <c r="BS8" s="475" t="e">
        <f t="shared" si="4"/>
        <v>#NUM!</v>
      </c>
      <c r="BT8" s="475" t="e">
        <f t="shared" si="4"/>
        <v>#NUM!</v>
      </c>
      <c r="BU8" s="475" t="e">
        <f t="shared" ref="BU8:CZ8" si="5">IF(BU$5=1,10000,BT8-BT16)</f>
        <v>#NUM!</v>
      </c>
      <c r="BV8" s="475" t="e">
        <f t="shared" si="5"/>
        <v>#NUM!</v>
      </c>
      <c r="BW8" s="475" t="e">
        <f t="shared" si="5"/>
        <v>#NUM!</v>
      </c>
      <c r="BX8" s="475" t="e">
        <f t="shared" si="5"/>
        <v>#NUM!</v>
      </c>
      <c r="BY8" s="475" t="e">
        <f t="shared" si="5"/>
        <v>#NUM!</v>
      </c>
      <c r="BZ8" s="475" t="e">
        <f t="shared" si="5"/>
        <v>#NUM!</v>
      </c>
      <c r="CA8" s="475" t="e">
        <f t="shared" si="5"/>
        <v>#NUM!</v>
      </c>
      <c r="CB8" s="475" t="e">
        <f t="shared" si="5"/>
        <v>#NUM!</v>
      </c>
      <c r="CC8" s="475" t="e">
        <f t="shared" si="5"/>
        <v>#NUM!</v>
      </c>
      <c r="CD8" s="475" t="e">
        <f t="shared" si="5"/>
        <v>#NUM!</v>
      </c>
      <c r="CE8" s="475" t="e">
        <f t="shared" si="5"/>
        <v>#NUM!</v>
      </c>
      <c r="CF8" s="475" t="e">
        <f t="shared" si="5"/>
        <v>#NUM!</v>
      </c>
      <c r="CG8" s="475" t="e">
        <f t="shared" si="5"/>
        <v>#NUM!</v>
      </c>
      <c r="CH8" s="475" t="e">
        <f t="shared" si="5"/>
        <v>#NUM!</v>
      </c>
      <c r="CI8" s="475" t="e">
        <f t="shared" si="5"/>
        <v>#NUM!</v>
      </c>
      <c r="CJ8" s="475" t="e">
        <f t="shared" si="5"/>
        <v>#NUM!</v>
      </c>
      <c r="CK8" s="475" t="e">
        <f t="shared" si="5"/>
        <v>#NUM!</v>
      </c>
      <c r="CL8" s="475" t="e">
        <f t="shared" si="5"/>
        <v>#NUM!</v>
      </c>
      <c r="CM8" s="475" t="e">
        <f t="shared" si="5"/>
        <v>#NUM!</v>
      </c>
      <c r="CN8" s="475" t="e">
        <f t="shared" si="5"/>
        <v>#NUM!</v>
      </c>
      <c r="CO8" s="475" t="e">
        <f t="shared" si="5"/>
        <v>#NUM!</v>
      </c>
      <c r="CP8" s="475" t="e">
        <f t="shared" si="5"/>
        <v>#NUM!</v>
      </c>
      <c r="CQ8" s="475" t="e">
        <f t="shared" si="5"/>
        <v>#NUM!</v>
      </c>
      <c r="CR8" s="475" t="e">
        <f t="shared" si="5"/>
        <v>#NUM!</v>
      </c>
      <c r="CS8" s="475" t="e">
        <f t="shared" si="5"/>
        <v>#NUM!</v>
      </c>
      <c r="CT8" s="475" t="e">
        <f t="shared" si="5"/>
        <v>#NUM!</v>
      </c>
      <c r="CU8" s="475" t="e">
        <f t="shared" si="5"/>
        <v>#NUM!</v>
      </c>
      <c r="CV8" s="475" t="e">
        <f t="shared" si="5"/>
        <v>#NUM!</v>
      </c>
      <c r="CW8" s="475" t="e">
        <f t="shared" si="5"/>
        <v>#NUM!</v>
      </c>
      <c r="CX8" s="475" t="e">
        <f t="shared" si="5"/>
        <v>#NUM!</v>
      </c>
      <c r="CY8" s="475" t="e">
        <f t="shared" si="5"/>
        <v>#NUM!</v>
      </c>
      <c r="CZ8" s="475" t="e">
        <f t="shared" si="5"/>
        <v>#NUM!</v>
      </c>
      <c r="DA8" s="475" t="e">
        <f t="shared" ref="DA8:EJ8" si="6">IF(DA$5=1,10000,CZ8-CZ16)</f>
        <v>#NUM!</v>
      </c>
      <c r="DB8" s="475" t="e">
        <f t="shared" si="6"/>
        <v>#NUM!</v>
      </c>
      <c r="DC8" s="475" t="e">
        <f t="shared" si="6"/>
        <v>#NUM!</v>
      </c>
      <c r="DD8" s="475" t="e">
        <f t="shared" si="6"/>
        <v>#NUM!</v>
      </c>
      <c r="DE8" s="475" t="e">
        <f t="shared" si="6"/>
        <v>#NUM!</v>
      </c>
      <c r="DF8" s="475" t="e">
        <f t="shared" si="6"/>
        <v>#NUM!</v>
      </c>
      <c r="DG8" s="475" t="e">
        <f t="shared" si="6"/>
        <v>#NUM!</v>
      </c>
      <c r="DH8" s="475" t="e">
        <f t="shared" si="6"/>
        <v>#NUM!</v>
      </c>
      <c r="DI8" s="475" t="e">
        <f t="shared" si="6"/>
        <v>#NUM!</v>
      </c>
      <c r="DJ8" s="475" t="e">
        <f t="shared" si="6"/>
        <v>#NUM!</v>
      </c>
      <c r="DK8" s="475" t="e">
        <f t="shared" si="6"/>
        <v>#NUM!</v>
      </c>
      <c r="DL8" s="475" t="e">
        <f t="shared" si="6"/>
        <v>#NUM!</v>
      </c>
      <c r="DM8" s="475" t="e">
        <f t="shared" si="6"/>
        <v>#NUM!</v>
      </c>
      <c r="DN8" s="475" t="e">
        <f t="shared" si="6"/>
        <v>#NUM!</v>
      </c>
      <c r="DO8" s="475" t="e">
        <f t="shared" si="6"/>
        <v>#NUM!</v>
      </c>
      <c r="DP8" s="475" t="e">
        <f t="shared" si="6"/>
        <v>#NUM!</v>
      </c>
      <c r="DQ8" s="475" t="e">
        <f t="shared" si="6"/>
        <v>#NUM!</v>
      </c>
      <c r="DR8" s="475" t="e">
        <f t="shared" si="6"/>
        <v>#NUM!</v>
      </c>
      <c r="DS8" s="475" t="e">
        <f t="shared" si="6"/>
        <v>#NUM!</v>
      </c>
      <c r="DT8" s="475" t="e">
        <f t="shared" si="6"/>
        <v>#NUM!</v>
      </c>
      <c r="DU8" s="475" t="e">
        <f t="shared" si="6"/>
        <v>#NUM!</v>
      </c>
      <c r="DV8" s="475" t="e">
        <f t="shared" si="6"/>
        <v>#NUM!</v>
      </c>
      <c r="DW8" s="475" t="e">
        <f t="shared" si="6"/>
        <v>#NUM!</v>
      </c>
      <c r="DX8" s="475" t="e">
        <f t="shared" si="6"/>
        <v>#NUM!</v>
      </c>
      <c r="DY8" s="475" t="e">
        <f t="shared" si="6"/>
        <v>#NUM!</v>
      </c>
      <c r="DZ8" s="475" t="e">
        <f t="shared" si="6"/>
        <v>#NUM!</v>
      </c>
      <c r="EA8" s="475" t="e">
        <f t="shared" si="6"/>
        <v>#NUM!</v>
      </c>
      <c r="EB8" s="475" t="e">
        <f t="shared" si="6"/>
        <v>#NUM!</v>
      </c>
      <c r="EC8" s="475" t="e">
        <f t="shared" si="6"/>
        <v>#NUM!</v>
      </c>
      <c r="ED8" s="475" t="e">
        <f t="shared" si="6"/>
        <v>#NUM!</v>
      </c>
      <c r="EE8" s="475" t="e">
        <f t="shared" si="6"/>
        <v>#NUM!</v>
      </c>
      <c r="EF8" s="475" t="e">
        <f t="shared" si="6"/>
        <v>#NUM!</v>
      </c>
      <c r="EG8" s="475" t="e">
        <f t="shared" si="6"/>
        <v>#NUM!</v>
      </c>
      <c r="EH8" s="475" t="e">
        <f t="shared" si="6"/>
        <v>#NUM!</v>
      </c>
      <c r="EI8" s="475" t="e">
        <f t="shared" si="6"/>
        <v>#NUM!</v>
      </c>
      <c r="EJ8" s="475" t="e">
        <f t="shared" si="6"/>
        <v>#NUM!</v>
      </c>
    </row>
    <row r="9" spans="2:140" x14ac:dyDescent="0.25">
      <c r="H9" s="474" t="s">
        <v>313</v>
      </c>
      <c r="I9" s="475">
        <f t="shared" ref="I9:AN9" si="7">IF(I$5=1,10000,H9-H17)</f>
        <v>10000</v>
      </c>
      <c r="J9" s="475" t="e">
        <f t="shared" si="7"/>
        <v>#NUM!</v>
      </c>
      <c r="K9" s="475" t="e">
        <f t="shared" si="7"/>
        <v>#NUM!</v>
      </c>
      <c r="L9" s="475" t="e">
        <f t="shared" si="7"/>
        <v>#NUM!</v>
      </c>
      <c r="M9" s="475" t="e">
        <f t="shared" si="7"/>
        <v>#NUM!</v>
      </c>
      <c r="N9" s="475" t="e">
        <f t="shared" si="7"/>
        <v>#NUM!</v>
      </c>
      <c r="O9" s="475" t="e">
        <f t="shared" si="7"/>
        <v>#NUM!</v>
      </c>
      <c r="P9" s="475" t="e">
        <f t="shared" si="7"/>
        <v>#NUM!</v>
      </c>
      <c r="Q9" s="475" t="e">
        <f t="shared" si="7"/>
        <v>#NUM!</v>
      </c>
      <c r="R9" s="475" t="e">
        <f t="shared" si="7"/>
        <v>#NUM!</v>
      </c>
      <c r="S9" s="475" t="e">
        <f t="shared" si="7"/>
        <v>#NUM!</v>
      </c>
      <c r="T9" s="475" t="e">
        <f t="shared" si="7"/>
        <v>#NUM!</v>
      </c>
      <c r="U9" s="475" t="e">
        <f t="shared" si="7"/>
        <v>#NUM!</v>
      </c>
      <c r="V9" s="475" t="e">
        <f t="shared" si="7"/>
        <v>#NUM!</v>
      </c>
      <c r="W9" s="475" t="e">
        <f t="shared" si="7"/>
        <v>#NUM!</v>
      </c>
      <c r="X9" s="475" t="e">
        <f t="shared" si="7"/>
        <v>#NUM!</v>
      </c>
      <c r="Y9" s="475" t="e">
        <f t="shared" si="7"/>
        <v>#NUM!</v>
      </c>
      <c r="Z9" s="475" t="e">
        <f t="shared" si="7"/>
        <v>#NUM!</v>
      </c>
      <c r="AA9" s="475" t="e">
        <f t="shared" si="7"/>
        <v>#NUM!</v>
      </c>
      <c r="AB9" s="475" t="e">
        <f t="shared" si="7"/>
        <v>#NUM!</v>
      </c>
      <c r="AC9" s="475" t="e">
        <f t="shared" si="7"/>
        <v>#NUM!</v>
      </c>
      <c r="AD9" s="475" t="e">
        <f t="shared" si="7"/>
        <v>#NUM!</v>
      </c>
      <c r="AE9" s="475" t="e">
        <f t="shared" si="7"/>
        <v>#NUM!</v>
      </c>
      <c r="AF9" s="475" t="e">
        <f t="shared" si="7"/>
        <v>#NUM!</v>
      </c>
      <c r="AG9" s="475" t="e">
        <f t="shared" si="7"/>
        <v>#NUM!</v>
      </c>
      <c r="AH9" s="475" t="e">
        <f t="shared" si="7"/>
        <v>#NUM!</v>
      </c>
      <c r="AI9" s="475" t="e">
        <f t="shared" si="7"/>
        <v>#NUM!</v>
      </c>
      <c r="AJ9" s="475" t="e">
        <f t="shared" si="7"/>
        <v>#NUM!</v>
      </c>
      <c r="AK9" s="475" t="e">
        <f t="shared" si="7"/>
        <v>#NUM!</v>
      </c>
      <c r="AL9" s="475" t="e">
        <f t="shared" si="7"/>
        <v>#NUM!</v>
      </c>
      <c r="AM9" s="475" t="e">
        <f t="shared" si="7"/>
        <v>#NUM!</v>
      </c>
      <c r="AN9" s="475" t="e">
        <f t="shared" si="7"/>
        <v>#NUM!</v>
      </c>
      <c r="AO9" s="475" t="e">
        <f t="shared" ref="AO9:BT9" si="8">IF(AO$5=1,10000,AN9-AN17)</f>
        <v>#NUM!</v>
      </c>
      <c r="AP9" s="475" t="e">
        <f t="shared" si="8"/>
        <v>#NUM!</v>
      </c>
      <c r="AQ9" s="475" t="e">
        <f t="shared" si="8"/>
        <v>#NUM!</v>
      </c>
      <c r="AR9" s="475" t="e">
        <f t="shared" si="8"/>
        <v>#NUM!</v>
      </c>
      <c r="AS9" s="475" t="e">
        <f t="shared" si="8"/>
        <v>#NUM!</v>
      </c>
      <c r="AT9" s="475" t="e">
        <f t="shared" si="8"/>
        <v>#NUM!</v>
      </c>
      <c r="AU9" s="475" t="e">
        <f t="shared" si="8"/>
        <v>#NUM!</v>
      </c>
      <c r="AV9" s="475" t="e">
        <f t="shared" si="8"/>
        <v>#NUM!</v>
      </c>
      <c r="AW9" s="475" t="e">
        <f t="shared" si="8"/>
        <v>#NUM!</v>
      </c>
      <c r="AX9" s="475" t="e">
        <f t="shared" si="8"/>
        <v>#NUM!</v>
      </c>
      <c r="AY9" s="475" t="e">
        <f t="shared" si="8"/>
        <v>#NUM!</v>
      </c>
      <c r="AZ9" s="475" t="e">
        <f t="shared" si="8"/>
        <v>#NUM!</v>
      </c>
      <c r="BA9" s="475" t="e">
        <f t="shared" si="8"/>
        <v>#NUM!</v>
      </c>
      <c r="BB9" s="475" t="e">
        <f t="shared" si="8"/>
        <v>#NUM!</v>
      </c>
      <c r="BC9" s="475" t="e">
        <f t="shared" si="8"/>
        <v>#NUM!</v>
      </c>
      <c r="BD9" s="475" t="e">
        <f t="shared" si="8"/>
        <v>#NUM!</v>
      </c>
      <c r="BE9" s="475" t="e">
        <f t="shared" si="8"/>
        <v>#NUM!</v>
      </c>
      <c r="BF9" s="475" t="e">
        <f t="shared" si="8"/>
        <v>#NUM!</v>
      </c>
      <c r="BG9" s="475" t="e">
        <f t="shared" si="8"/>
        <v>#NUM!</v>
      </c>
      <c r="BH9" s="475" t="e">
        <f t="shared" si="8"/>
        <v>#NUM!</v>
      </c>
      <c r="BI9" s="475" t="e">
        <f t="shared" si="8"/>
        <v>#NUM!</v>
      </c>
      <c r="BJ9" s="475" t="e">
        <f t="shared" si="8"/>
        <v>#NUM!</v>
      </c>
      <c r="BK9" s="475" t="e">
        <f t="shared" si="8"/>
        <v>#NUM!</v>
      </c>
      <c r="BL9" s="475" t="e">
        <f t="shared" si="8"/>
        <v>#NUM!</v>
      </c>
      <c r="BM9" s="475" t="e">
        <f t="shared" si="8"/>
        <v>#NUM!</v>
      </c>
      <c r="BN9" s="475" t="e">
        <f t="shared" si="8"/>
        <v>#NUM!</v>
      </c>
      <c r="BO9" s="475" t="e">
        <f t="shared" si="8"/>
        <v>#NUM!</v>
      </c>
      <c r="BP9" s="475" t="e">
        <f t="shared" si="8"/>
        <v>#NUM!</v>
      </c>
      <c r="BQ9" s="475" t="e">
        <f t="shared" si="8"/>
        <v>#NUM!</v>
      </c>
      <c r="BR9" s="475" t="e">
        <f t="shared" si="8"/>
        <v>#NUM!</v>
      </c>
      <c r="BS9" s="475" t="e">
        <f t="shared" si="8"/>
        <v>#NUM!</v>
      </c>
      <c r="BT9" s="475" t="e">
        <f t="shared" si="8"/>
        <v>#NUM!</v>
      </c>
      <c r="BU9" s="475" t="e">
        <f t="shared" ref="BU9:CZ9" si="9">IF(BU$5=1,10000,BT9-BT17)</f>
        <v>#NUM!</v>
      </c>
      <c r="BV9" s="475" t="e">
        <f t="shared" si="9"/>
        <v>#NUM!</v>
      </c>
      <c r="BW9" s="475" t="e">
        <f t="shared" si="9"/>
        <v>#NUM!</v>
      </c>
      <c r="BX9" s="475" t="e">
        <f t="shared" si="9"/>
        <v>#NUM!</v>
      </c>
      <c r="BY9" s="475" t="e">
        <f t="shared" si="9"/>
        <v>#NUM!</v>
      </c>
      <c r="BZ9" s="475" t="e">
        <f t="shared" si="9"/>
        <v>#NUM!</v>
      </c>
      <c r="CA9" s="475" t="e">
        <f t="shared" si="9"/>
        <v>#NUM!</v>
      </c>
      <c r="CB9" s="475" t="e">
        <f t="shared" si="9"/>
        <v>#NUM!</v>
      </c>
      <c r="CC9" s="475" t="e">
        <f t="shared" si="9"/>
        <v>#NUM!</v>
      </c>
      <c r="CD9" s="475" t="e">
        <f t="shared" si="9"/>
        <v>#NUM!</v>
      </c>
      <c r="CE9" s="475" t="e">
        <f t="shared" si="9"/>
        <v>#NUM!</v>
      </c>
      <c r="CF9" s="475" t="e">
        <f t="shared" si="9"/>
        <v>#NUM!</v>
      </c>
      <c r="CG9" s="475" t="e">
        <f t="shared" si="9"/>
        <v>#NUM!</v>
      </c>
      <c r="CH9" s="475" t="e">
        <f t="shared" si="9"/>
        <v>#NUM!</v>
      </c>
      <c r="CI9" s="475" t="e">
        <f t="shared" si="9"/>
        <v>#NUM!</v>
      </c>
      <c r="CJ9" s="475" t="e">
        <f t="shared" si="9"/>
        <v>#NUM!</v>
      </c>
      <c r="CK9" s="475" t="e">
        <f t="shared" si="9"/>
        <v>#NUM!</v>
      </c>
      <c r="CL9" s="475" t="e">
        <f t="shared" si="9"/>
        <v>#NUM!</v>
      </c>
      <c r="CM9" s="475" t="e">
        <f t="shared" si="9"/>
        <v>#NUM!</v>
      </c>
      <c r="CN9" s="475" t="e">
        <f t="shared" si="9"/>
        <v>#NUM!</v>
      </c>
      <c r="CO9" s="475" t="e">
        <f t="shared" si="9"/>
        <v>#NUM!</v>
      </c>
      <c r="CP9" s="475" t="e">
        <f t="shared" si="9"/>
        <v>#NUM!</v>
      </c>
      <c r="CQ9" s="475" t="e">
        <f t="shared" si="9"/>
        <v>#NUM!</v>
      </c>
      <c r="CR9" s="475" t="e">
        <f t="shared" si="9"/>
        <v>#NUM!</v>
      </c>
      <c r="CS9" s="475" t="e">
        <f t="shared" si="9"/>
        <v>#NUM!</v>
      </c>
      <c r="CT9" s="475" t="e">
        <f t="shared" si="9"/>
        <v>#NUM!</v>
      </c>
      <c r="CU9" s="475" t="e">
        <f t="shared" si="9"/>
        <v>#NUM!</v>
      </c>
      <c r="CV9" s="475" t="e">
        <f t="shared" si="9"/>
        <v>#NUM!</v>
      </c>
      <c r="CW9" s="475" t="e">
        <f t="shared" si="9"/>
        <v>#NUM!</v>
      </c>
      <c r="CX9" s="475" t="e">
        <f t="shared" si="9"/>
        <v>#NUM!</v>
      </c>
      <c r="CY9" s="475" t="e">
        <f t="shared" si="9"/>
        <v>#NUM!</v>
      </c>
      <c r="CZ9" s="475" t="e">
        <f t="shared" si="9"/>
        <v>#NUM!</v>
      </c>
      <c r="DA9" s="475" t="e">
        <f t="shared" ref="DA9:EJ9" si="10">IF(DA$5=1,10000,CZ9-CZ17)</f>
        <v>#NUM!</v>
      </c>
      <c r="DB9" s="475" t="e">
        <f t="shared" si="10"/>
        <v>#NUM!</v>
      </c>
      <c r="DC9" s="475" t="e">
        <f t="shared" si="10"/>
        <v>#NUM!</v>
      </c>
      <c r="DD9" s="475" t="e">
        <f t="shared" si="10"/>
        <v>#NUM!</v>
      </c>
      <c r="DE9" s="475" t="e">
        <f t="shared" si="10"/>
        <v>#NUM!</v>
      </c>
      <c r="DF9" s="475" t="e">
        <f t="shared" si="10"/>
        <v>#NUM!</v>
      </c>
      <c r="DG9" s="475" t="e">
        <f t="shared" si="10"/>
        <v>#NUM!</v>
      </c>
      <c r="DH9" s="475" t="e">
        <f t="shared" si="10"/>
        <v>#NUM!</v>
      </c>
      <c r="DI9" s="475" t="e">
        <f t="shared" si="10"/>
        <v>#NUM!</v>
      </c>
      <c r="DJ9" s="475" t="e">
        <f t="shared" si="10"/>
        <v>#NUM!</v>
      </c>
      <c r="DK9" s="475" t="e">
        <f t="shared" si="10"/>
        <v>#NUM!</v>
      </c>
      <c r="DL9" s="475" t="e">
        <f t="shared" si="10"/>
        <v>#NUM!</v>
      </c>
      <c r="DM9" s="475" t="e">
        <f t="shared" si="10"/>
        <v>#NUM!</v>
      </c>
      <c r="DN9" s="475" t="e">
        <f t="shared" si="10"/>
        <v>#NUM!</v>
      </c>
      <c r="DO9" s="475" t="e">
        <f t="shared" si="10"/>
        <v>#NUM!</v>
      </c>
      <c r="DP9" s="475" t="e">
        <f t="shared" si="10"/>
        <v>#NUM!</v>
      </c>
      <c r="DQ9" s="475" t="e">
        <f t="shared" si="10"/>
        <v>#NUM!</v>
      </c>
      <c r="DR9" s="475" t="e">
        <f t="shared" si="10"/>
        <v>#NUM!</v>
      </c>
      <c r="DS9" s="475" t="e">
        <f t="shared" si="10"/>
        <v>#NUM!</v>
      </c>
      <c r="DT9" s="475" t="e">
        <f t="shared" si="10"/>
        <v>#NUM!</v>
      </c>
      <c r="DU9" s="475" t="e">
        <f t="shared" si="10"/>
        <v>#NUM!</v>
      </c>
      <c r="DV9" s="475" t="e">
        <f t="shared" si="10"/>
        <v>#NUM!</v>
      </c>
      <c r="DW9" s="475" t="e">
        <f t="shared" si="10"/>
        <v>#NUM!</v>
      </c>
      <c r="DX9" s="475" t="e">
        <f t="shared" si="10"/>
        <v>#NUM!</v>
      </c>
      <c r="DY9" s="475" t="e">
        <f t="shared" si="10"/>
        <v>#NUM!</v>
      </c>
      <c r="DZ9" s="475" t="e">
        <f t="shared" si="10"/>
        <v>#NUM!</v>
      </c>
      <c r="EA9" s="475" t="e">
        <f t="shared" si="10"/>
        <v>#NUM!</v>
      </c>
      <c r="EB9" s="475" t="e">
        <f t="shared" si="10"/>
        <v>#NUM!</v>
      </c>
      <c r="EC9" s="475" t="e">
        <f t="shared" si="10"/>
        <v>#NUM!</v>
      </c>
      <c r="ED9" s="475" t="e">
        <f t="shared" si="10"/>
        <v>#NUM!</v>
      </c>
      <c r="EE9" s="475" t="e">
        <f t="shared" si="10"/>
        <v>#NUM!</v>
      </c>
      <c r="EF9" s="475" t="e">
        <f t="shared" si="10"/>
        <v>#NUM!</v>
      </c>
      <c r="EG9" s="475" t="e">
        <f t="shared" si="10"/>
        <v>#NUM!</v>
      </c>
      <c r="EH9" s="475" t="e">
        <f t="shared" si="10"/>
        <v>#NUM!</v>
      </c>
      <c r="EI9" s="475" t="e">
        <f t="shared" si="10"/>
        <v>#NUM!</v>
      </c>
      <c r="EJ9" s="475" t="e">
        <f t="shared" si="10"/>
        <v>#NUM!</v>
      </c>
    </row>
    <row r="10" spans="2:140" x14ac:dyDescent="0.25">
      <c r="E10" s="475"/>
      <c r="F10" s="473"/>
      <c r="H10" s="474"/>
      <c r="I10" s="476"/>
      <c r="J10" s="476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  <c r="AL10" s="476"/>
      <c r="AM10" s="476"/>
      <c r="AN10" s="476"/>
      <c r="AO10" s="476"/>
      <c r="AP10" s="476"/>
      <c r="AQ10" s="476"/>
      <c r="AR10" s="476"/>
      <c r="AS10" s="476"/>
      <c r="AT10" s="476"/>
      <c r="AU10" s="476"/>
      <c r="AV10" s="476"/>
      <c r="AW10" s="476"/>
      <c r="AX10" s="476"/>
      <c r="AY10" s="476"/>
      <c r="AZ10" s="476"/>
      <c r="BA10" s="476"/>
      <c r="BB10" s="476"/>
      <c r="BC10" s="476"/>
      <c r="BD10" s="476"/>
      <c r="BE10" s="476"/>
      <c r="BF10" s="476"/>
      <c r="BG10" s="476"/>
      <c r="BH10" s="476"/>
      <c r="BI10" s="476"/>
      <c r="BJ10" s="476"/>
      <c r="BK10" s="476"/>
      <c r="BL10" s="476"/>
      <c r="BM10" s="476"/>
      <c r="BN10" s="476"/>
      <c r="BO10" s="476"/>
      <c r="BP10" s="476"/>
      <c r="BQ10" s="476"/>
      <c r="BR10" s="476"/>
      <c r="BS10" s="476"/>
      <c r="BT10" s="476"/>
      <c r="BU10" s="476"/>
      <c r="BV10" s="476"/>
      <c r="BW10" s="476"/>
      <c r="BX10" s="476"/>
      <c r="BY10" s="476"/>
      <c r="BZ10" s="476"/>
      <c r="CA10" s="476"/>
      <c r="CB10" s="476"/>
      <c r="CC10" s="476"/>
      <c r="CD10" s="476"/>
      <c r="CE10" s="476"/>
      <c r="CF10" s="476"/>
      <c r="CG10" s="476"/>
      <c r="CH10" s="476"/>
      <c r="CI10" s="476"/>
      <c r="CJ10" s="476"/>
      <c r="CK10" s="476"/>
      <c r="CL10" s="476"/>
      <c r="CM10" s="476"/>
      <c r="CN10" s="476"/>
      <c r="CO10" s="476"/>
      <c r="CP10" s="476"/>
      <c r="CQ10" s="476"/>
      <c r="CR10" s="476"/>
      <c r="CS10" s="476"/>
      <c r="CT10" s="476"/>
      <c r="CU10" s="476"/>
      <c r="CV10" s="476"/>
      <c r="CW10" s="476"/>
      <c r="CX10" s="476"/>
      <c r="CY10" s="476"/>
      <c r="CZ10" s="476"/>
      <c r="DA10" s="476"/>
      <c r="DB10" s="476"/>
      <c r="DC10" s="476"/>
      <c r="DD10" s="476"/>
      <c r="DE10" s="476"/>
      <c r="DF10" s="476"/>
      <c r="DG10" s="476"/>
      <c r="DH10" s="476"/>
      <c r="DI10" s="476"/>
      <c r="DJ10" s="476"/>
      <c r="DK10" s="476"/>
      <c r="DL10" s="476"/>
      <c r="DM10" s="476"/>
      <c r="DN10" s="476"/>
      <c r="DO10" s="476"/>
      <c r="DP10" s="476"/>
      <c r="DQ10" s="476"/>
      <c r="DR10" s="476"/>
      <c r="DS10" s="476"/>
      <c r="DT10" s="476"/>
      <c r="DU10" s="476"/>
      <c r="DV10" s="476"/>
      <c r="DW10" s="476"/>
      <c r="DX10" s="476"/>
      <c r="DY10" s="476"/>
      <c r="DZ10" s="476"/>
      <c r="EA10" s="476"/>
      <c r="EB10" s="476"/>
      <c r="EC10" s="476"/>
      <c r="ED10" s="476"/>
      <c r="EE10" s="476"/>
      <c r="EF10" s="476"/>
      <c r="EG10" s="476"/>
      <c r="EH10" s="476"/>
      <c r="EI10" s="476"/>
      <c r="EJ10" s="476"/>
    </row>
    <row r="11" spans="2:140" x14ac:dyDescent="0.25">
      <c r="E11" s="475"/>
      <c r="F11" s="473"/>
      <c r="H11" s="474" t="s">
        <v>315</v>
      </c>
      <c r="I11" s="476"/>
      <c r="J11" s="476"/>
      <c r="K11" s="476"/>
      <c r="L11" s="476"/>
      <c r="M11" s="476"/>
      <c r="N11" s="476"/>
      <c r="O11" s="476"/>
      <c r="P11" s="476"/>
      <c r="Q11" s="476"/>
      <c r="R11" s="476"/>
      <c r="S11" s="476"/>
      <c r="T11" s="476"/>
      <c r="U11" s="476"/>
      <c r="V11" s="476"/>
      <c r="W11" s="476"/>
      <c r="X11" s="476"/>
      <c r="Y11" s="476"/>
      <c r="Z11" s="476"/>
      <c r="AA11" s="476"/>
      <c r="AB11" s="476"/>
      <c r="AC11" s="476"/>
      <c r="AD11" s="476"/>
      <c r="AE11" s="476"/>
      <c r="AF11" s="476"/>
      <c r="AG11" s="476"/>
      <c r="AH11" s="476"/>
      <c r="AI11" s="476"/>
      <c r="AJ11" s="476"/>
      <c r="AK11" s="476"/>
      <c r="AL11" s="476"/>
      <c r="AM11" s="476"/>
      <c r="AN11" s="476"/>
      <c r="AO11" s="476"/>
      <c r="AP11" s="476"/>
      <c r="AQ11" s="476"/>
      <c r="AR11" s="476"/>
      <c r="AS11" s="476"/>
      <c r="AT11" s="476"/>
      <c r="AU11" s="476"/>
      <c r="AV11" s="476"/>
      <c r="AW11" s="476"/>
      <c r="AX11" s="476"/>
      <c r="AY11" s="476"/>
      <c r="AZ11" s="476"/>
      <c r="BA11" s="476"/>
      <c r="BB11" s="476"/>
      <c r="BC11" s="476"/>
      <c r="BD11" s="476"/>
      <c r="BE11" s="476"/>
      <c r="BF11" s="476"/>
      <c r="BG11" s="476"/>
      <c r="BH11" s="476"/>
      <c r="BI11" s="476"/>
      <c r="BJ11" s="476"/>
      <c r="BK11" s="476"/>
      <c r="BL11" s="476"/>
      <c r="BM11" s="476"/>
      <c r="BN11" s="476"/>
      <c r="BO11" s="476"/>
      <c r="BP11" s="476"/>
      <c r="BQ11" s="476"/>
      <c r="BR11" s="476"/>
      <c r="BS11" s="476"/>
      <c r="BT11" s="476"/>
      <c r="BU11" s="476"/>
      <c r="BV11" s="476"/>
      <c r="BW11" s="476"/>
      <c r="BX11" s="476"/>
      <c r="BY11" s="476"/>
      <c r="BZ11" s="476"/>
      <c r="CA11" s="476"/>
      <c r="CB11" s="476"/>
      <c r="CC11" s="476"/>
      <c r="CD11" s="476"/>
      <c r="CE11" s="476"/>
      <c r="CF11" s="476"/>
      <c r="CG11" s="476"/>
      <c r="CH11" s="476"/>
      <c r="CI11" s="476"/>
      <c r="CJ11" s="476"/>
      <c r="CK11" s="476"/>
      <c r="CL11" s="476"/>
      <c r="CM11" s="476"/>
      <c r="CN11" s="476"/>
      <c r="CO11" s="476"/>
      <c r="CP11" s="476"/>
      <c r="CQ11" s="476"/>
      <c r="CR11" s="476"/>
      <c r="CS11" s="476"/>
      <c r="CT11" s="476"/>
      <c r="CU11" s="476"/>
      <c r="CV11" s="476"/>
      <c r="CW11" s="476"/>
      <c r="CX11" s="476"/>
      <c r="CY11" s="476"/>
      <c r="CZ11" s="476"/>
      <c r="DA11" s="476"/>
      <c r="DB11" s="476"/>
      <c r="DC11" s="476"/>
      <c r="DD11" s="476"/>
      <c r="DE11" s="476"/>
      <c r="DF11" s="476"/>
      <c r="DG11" s="476"/>
      <c r="DH11" s="476"/>
      <c r="DI11" s="476"/>
      <c r="DJ11" s="476"/>
      <c r="DK11" s="476"/>
      <c r="DL11" s="476"/>
      <c r="DM11" s="476"/>
      <c r="DN11" s="476"/>
      <c r="DO11" s="476"/>
      <c r="DP11" s="476"/>
      <c r="DQ11" s="476"/>
      <c r="DR11" s="476"/>
      <c r="DS11" s="476"/>
      <c r="DT11" s="476"/>
      <c r="DU11" s="476"/>
      <c r="DV11" s="476"/>
      <c r="DW11" s="476"/>
      <c r="DX11" s="476"/>
      <c r="DY11" s="476"/>
      <c r="DZ11" s="476"/>
      <c r="EA11" s="476"/>
      <c r="EB11" s="476"/>
      <c r="EC11" s="476"/>
      <c r="ED11" s="476"/>
      <c r="EE11" s="476"/>
      <c r="EF11" s="476"/>
      <c r="EG11" s="476"/>
      <c r="EH11" s="476"/>
      <c r="EI11" s="476"/>
      <c r="EJ11" s="476"/>
    </row>
    <row r="12" spans="2:140" x14ac:dyDescent="0.25">
      <c r="E12" s="475"/>
      <c r="F12" s="473"/>
      <c r="H12" s="474" t="s">
        <v>312</v>
      </c>
      <c r="I12" s="475">
        <f t="shared" ref="I12:AN12" si="11">IFERROR(ROUND(((1+$E6/2)^(2/12)-1)*I8,2),"")</f>
        <v>27.4</v>
      </c>
      <c r="J12" s="475" t="str">
        <f t="shared" si="11"/>
        <v/>
      </c>
      <c r="K12" s="475" t="str">
        <f t="shared" si="11"/>
        <v/>
      </c>
      <c r="L12" s="475" t="str">
        <f t="shared" si="11"/>
        <v/>
      </c>
      <c r="M12" s="475" t="str">
        <f t="shared" si="11"/>
        <v/>
      </c>
      <c r="N12" s="475" t="str">
        <f t="shared" si="11"/>
        <v/>
      </c>
      <c r="O12" s="475" t="str">
        <f t="shared" si="11"/>
        <v/>
      </c>
      <c r="P12" s="475" t="str">
        <f t="shared" si="11"/>
        <v/>
      </c>
      <c r="Q12" s="475" t="str">
        <f t="shared" si="11"/>
        <v/>
      </c>
      <c r="R12" s="475" t="str">
        <f t="shared" si="11"/>
        <v/>
      </c>
      <c r="S12" s="475" t="str">
        <f t="shared" si="11"/>
        <v/>
      </c>
      <c r="T12" s="475" t="str">
        <f t="shared" si="11"/>
        <v/>
      </c>
      <c r="U12" s="475" t="str">
        <f t="shared" si="11"/>
        <v/>
      </c>
      <c r="V12" s="475" t="str">
        <f t="shared" si="11"/>
        <v/>
      </c>
      <c r="W12" s="475" t="str">
        <f t="shared" si="11"/>
        <v/>
      </c>
      <c r="X12" s="475" t="str">
        <f t="shared" si="11"/>
        <v/>
      </c>
      <c r="Y12" s="475" t="str">
        <f t="shared" si="11"/>
        <v/>
      </c>
      <c r="Z12" s="475" t="str">
        <f t="shared" si="11"/>
        <v/>
      </c>
      <c r="AA12" s="475" t="str">
        <f t="shared" si="11"/>
        <v/>
      </c>
      <c r="AB12" s="475" t="str">
        <f t="shared" si="11"/>
        <v/>
      </c>
      <c r="AC12" s="475" t="str">
        <f t="shared" si="11"/>
        <v/>
      </c>
      <c r="AD12" s="475" t="str">
        <f t="shared" si="11"/>
        <v/>
      </c>
      <c r="AE12" s="475" t="str">
        <f t="shared" si="11"/>
        <v/>
      </c>
      <c r="AF12" s="475" t="str">
        <f t="shared" si="11"/>
        <v/>
      </c>
      <c r="AG12" s="475" t="str">
        <f t="shared" si="11"/>
        <v/>
      </c>
      <c r="AH12" s="475" t="str">
        <f t="shared" si="11"/>
        <v/>
      </c>
      <c r="AI12" s="475" t="str">
        <f t="shared" si="11"/>
        <v/>
      </c>
      <c r="AJ12" s="475" t="str">
        <f t="shared" si="11"/>
        <v/>
      </c>
      <c r="AK12" s="475" t="str">
        <f t="shared" si="11"/>
        <v/>
      </c>
      <c r="AL12" s="475" t="str">
        <f t="shared" si="11"/>
        <v/>
      </c>
      <c r="AM12" s="475" t="str">
        <f t="shared" si="11"/>
        <v/>
      </c>
      <c r="AN12" s="475" t="str">
        <f t="shared" si="11"/>
        <v/>
      </c>
      <c r="AO12" s="475" t="str">
        <f t="shared" ref="AO12:BT12" si="12">IFERROR(ROUND(((1+$E6/2)^(2/12)-1)*AO8,2),"")</f>
        <v/>
      </c>
      <c r="AP12" s="475" t="str">
        <f t="shared" si="12"/>
        <v/>
      </c>
      <c r="AQ12" s="475" t="str">
        <f t="shared" si="12"/>
        <v/>
      </c>
      <c r="AR12" s="475" t="str">
        <f t="shared" si="12"/>
        <v/>
      </c>
      <c r="AS12" s="475" t="str">
        <f t="shared" si="12"/>
        <v/>
      </c>
      <c r="AT12" s="475" t="str">
        <f t="shared" si="12"/>
        <v/>
      </c>
      <c r="AU12" s="475" t="str">
        <f t="shared" si="12"/>
        <v/>
      </c>
      <c r="AV12" s="475" t="str">
        <f t="shared" si="12"/>
        <v/>
      </c>
      <c r="AW12" s="475" t="str">
        <f t="shared" si="12"/>
        <v/>
      </c>
      <c r="AX12" s="475" t="str">
        <f t="shared" si="12"/>
        <v/>
      </c>
      <c r="AY12" s="475" t="str">
        <f t="shared" si="12"/>
        <v/>
      </c>
      <c r="AZ12" s="475" t="str">
        <f t="shared" si="12"/>
        <v/>
      </c>
      <c r="BA12" s="475" t="str">
        <f t="shared" si="12"/>
        <v/>
      </c>
      <c r="BB12" s="475" t="str">
        <f t="shared" si="12"/>
        <v/>
      </c>
      <c r="BC12" s="475" t="str">
        <f t="shared" si="12"/>
        <v/>
      </c>
      <c r="BD12" s="475" t="str">
        <f t="shared" si="12"/>
        <v/>
      </c>
      <c r="BE12" s="475" t="str">
        <f t="shared" si="12"/>
        <v/>
      </c>
      <c r="BF12" s="475" t="str">
        <f t="shared" si="12"/>
        <v/>
      </c>
      <c r="BG12" s="475" t="str">
        <f t="shared" si="12"/>
        <v/>
      </c>
      <c r="BH12" s="475" t="str">
        <f t="shared" si="12"/>
        <v/>
      </c>
      <c r="BI12" s="475" t="str">
        <f t="shared" si="12"/>
        <v/>
      </c>
      <c r="BJ12" s="475" t="str">
        <f t="shared" si="12"/>
        <v/>
      </c>
      <c r="BK12" s="475" t="str">
        <f t="shared" si="12"/>
        <v/>
      </c>
      <c r="BL12" s="475" t="str">
        <f t="shared" si="12"/>
        <v/>
      </c>
      <c r="BM12" s="475" t="str">
        <f t="shared" si="12"/>
        <v/>
      </c>
      <c r="BN12" s="475" t="str">
        <f t="shared" si="12"/>
        <v/>
      </c>
      <c r="BO12" s="475" t="str">
        <f t="shared" si="12"/>
        <v/>
      </c>
      <c r="BP12" s="475" t="str">
        <f t="shared" si="12"/>
        <v/>
      </c>
      <c r="BQ12" s="475" t="str">
        <f t="shared" si="12"/>
        <v/>
      </c>
      <c r="BR12" s="475" t="str">
        <f t="shared" si="12"/>
        <v/>
      </c>
      <c r="BS12" s="475" t="str">
        <f t="shared" si="12"/>
        <v/>
      </c>
      <c r="BT12" s="475" t="str">
        <f t="shared" si="12"/>
        <v/>
      </c>
      <c r="BU12" s="475" t="str">
        <f t="shared" ref="BU12:CZ12" si="13">IFERROR(ROUND(((1+$E6/2)^(2/12)-1)*BU8,2),"")</f>
        <v/>
      </c>
      <c r="BV12" s="475" t="str">
        <f t="shared" si="13"/>
        <v/>
      </c>
      <c r="BW12" s="475" t="str">
        <f t="shared" si="13"/>
        <v/>
      </c>
      <c r="BX12" s="475" t="str">
        <f t="shared" si="13"/>
        <v/>
      </c>
      <c r="BY12" s="475" t="str">
        <f t="shared" si="13"/>
        <v/>
      </c>
      <c r="BZ12" s="475" t="str">
        <f t="shared" si="13"/>
        <v/>
      </c>
      <c r="CA12" s="475" t="str">
        <f t="shared" si="13"/>
        <v/>
      </c>
      <c r="CB12" s="475" t="str">
        <f t="shared" si="13"/>
        <v/>
      </c>
      <c r="CC12" s="475" t="str">
        <f t="shared" si="13"/>
        <v/>
      </c>
      <c r="CD12" s="475" t="str">
        <f t="shared" si="13"/>
        <v/>
      </c>
      <c r="CE12" s="475" t="str">
        <f t="shared" si="13"/>
        <v/>
      </c>
      <c r="CF12" s="475" t="str">
        <f t="shared" si="13"/>
        <v/>
      </c>
      <c r="CG12" s="475" t="str">
        <f t="shared" si="13"/>
        <v/>
      </c>
      <c r="CH12" s="475" t="str">
        <f t="shared" si="13"/>
        <v/>
      </c>
      <c r="CI12" s="475" t="str">
        <f t="shared" si="13"/>
        <v/>
      </c>
      <c r="CJ12" s="475" t="str">
        <f t="shared" si="13"/>
        <v/>
      </c>
      <c r="CK12" s="475" t="str">
        <f t="shared" si="13"/>
        <v/>
      </c>
      <c r="CL12" s="475" t="str">
        <f t="shared" si="13"/>
        <v/>
      </c>
      <c r="CM12" s="475" t="str">
        <f t="shared" si="13"/>
        <v/>
      </c>
      <c r="CN12" s="475" t="str">
        <f t="shared" si="13"/>
        <v/>
      </c>
      <c r="CO12" s="475" t="str">
        <f t="shared" si="13"/>
        <v/>
      </c>
      <c r="CP12" s="475" t="str">
        <f t="shared" si="13"/>
        <v/>
      </c>
      <c r="CQ12" s="475" t="str">
        <f t="shared" si="13"/>
        <v/>
      </c>
      <c r="CR12" s="475" t="str">
        <f t="shared" si="13"/>
        <v/>
      </c>
      <c r="CS12" s="475" t="str">
        <f t="shared" si="13"/>
        <v/>
      </c>
      <c r="CT12" s="475" t="str">
        <f t="shared" si="13"/>
        <v/>
      </c>
      <c r="CU12" s="475" t="str">
        <f t="shared" si="13"/>
        <v/>
      </c>
      <c r="CV12" s="475" t="str">
        <f t="shared" si="13"/>
        <v/>
      </c>
      <c r="CW12" s="475" t="str">
        <f t="shared" si="13"/>
        <v/>
      </c>
      <c r="CX12" s="475" t="str">
        <f t="shared" si="13"/>
        <v/>
      </c>
      <c r="CY12" s="475" t="str">
        <f t="shared" si="13"/>
        <v/>
      </c>
      <c r="CZ12" s="475" t="str">
        <f t="shared" si="13"/>
        <v/>
      </c>
      <c r="DA12" s="475" t="str">
        <f t="shared" ref="DA12:EJ12" si="14">IFERROR(ROUND(((1+$E6/2)^(2/12)-1)*DA8,2),"")</f>
        <v/>
      </c>
      <c r="DB12" s="475" t="str">
        <f t="shared" si="14"/>
        <v/>
      </c>
      <c r="DC12" s="475" t="str">
        <f t="shared" si="14"/>
        <v/>
      </c>
      <c r="DD12" s="475" t="str">
        <f t="shared" si="14"/>
        <v/>
      </c>
      <c r="DE12" s="475" t="str">
        <f t="shared" si="14"/>
        <v/>
      </c>
      <c r="DF12" s="475" t="str">
        <f t="shared" si="14"/>
        <v/>
      </c>
      <c r="DG12" s="475" t="str">
        <f t="shared" si="14"/>
        <v/>
      </c>
      <c r="DH12" s="475" t="str">
        <f t="shared" si="14"/>
        <v/>
      </c>
      <c r="DI12" s="475" t="str">
        <f t="shared" si="14"/>
        <v/>
      </c>
      <c r="DJ12" s="475" t="str">
        <f t="shared" si="14"/>
        <v/>
      </c>
      <c r="DK12" s="475" t="str">
        <f t="shared" si="14"/>
        <v/>
      </c>
      <c r="DL12" s="475" t="str">
        <f t="shared" si="14"/>
        <v/>
      </c>
      <c r="DM12" s="475" t="str">
        <f t="shared" si="14"/>
        <v/>
      </c>
      <c r="DN12" s="475" t="str">
        <f t="shared" si="14"/>
        <v/>
      </c>
      <c r="DO12" s="475" t="str">
        <f t="shared" si="14"/>
        <v/>
      </c>
      <c r="DP12" s="475" t="str">
        <f t="shared" si="14"/>
        <v/>
      </c>
      <c r="DQ12" s="475" t="str">
        <f t="shared" si="14"/>
        <v/>
      </c>
      <c r="DR12" s="475" t="str">
        <f t="shared" si="14"/>
        <v/>
      </c>
      <c r="DS12" s="475" t="str">
        <f t="shared" si="14"/>
        <v/>
      </c>
      <c r="DT12" s="475" t="str">
        <f t="shared" si="14"/>
        <v/>
      </c>
      <c r="DU12" s="475" t="str">
        <f t="shared" si="14"/>
        <v/>
      </c>
      <c r="DV12" s="475" t="str">
        <f t="shared" si="14"/>
        <v/>
      </c>
      <c r="DW12" s="475" t="str">
        <f t="shared" si="14"/>
        <v/>
      </c>
      <c r="DX12" s="475" t="str">
        <f t="shared" si="14"/>
        <v/>
      </c>
      <c r="DY12" s="475" t="str">
        <f t="shared" si="14"/>
        <v/>
      </c>
      <c r="DZ12" s="475" t="str">
        <f t="shared" si="14"/>
        <v/>
      </c>
      <c r="EA12" s="475" t="str">
        <f t="shared" si="14"/>
        <v/>
      </c>
      <c r="EB12" s="475" t="str">
        <f t="shared" si="14"/>
        <v/>
      </c>
      <c r="EC12" s="475" t="str">
        <f t="shared" si="14"/>
        <v/>
      </c>
      <c r="ED12" s="475" t="str">
        <f t="shared" si="14"/>
        <v/>
      </c>
      <c r="EE12" s="475" t="str">
        <f t="shared" si="14"/>
        <v/>
      </c>
      <c r="EF12" s="475" t="str">
        <f t="shared" si="14"/>
        <v/>
      </c>
      <c r="EG12" s="475" t="str">
        <f t="shared" si="14"/>
        <v/>
      </c>
      <c r="EH12" s="475" t="str">
        <f t="shared" si="14"/>
        <v/>
      </c>
      <c r="EI12" s="475" t="str">
        <f t="shared" si="14"/>
        <v/>
      </c>
      <c r="EJ12" s="475" t="str">
        <f t="shared" si="14"/>
        <v/>
      </c>
    </row>
    <row r="13" spans="2:140" x14ac:dyDescent="0.25">
      <c r="E13" s="475"/>
      <c r="F13" s="473"/>
      <c r="H13" s="474" t="s">
        <v>313</v>
      </c>
      <c r="I13" s="475">
        <f t="shared" ref="I13:AN13" si="15">IFERROR(ROUND(((1+$E7/2)^(2/12)-1)*I9,2),"")</f>
        <v>30.93</v>
      </c>
      <c r="J13" s="475" t="str">
        <f t="shared" si="15"/>
        <v/>
      </c>
      <c r="K13" s="475" t="str">
        <f t="shared" si="15"/>
        <v/>
      </c>
      <c r="L13" s="475" t="str">
        <f t="shared" si="15"/>
        <v/>
      </c>
      <c r="M13" s="475" t="str">
        <f t="shared" si="15"/>
        <v/>
      </c>
      <c r="N13" s="475" t="str">
        <f t="shared" si="15"/>
        <v/>
      </c>
      <c r="O13" s="475" t="str">
        <f t="shared" si="15"/>
        <v/>
      </c>
      <c r="P13" s="475" t="str">
        <f t="shared" si="15"/>
        <v/>
      </c>
      <c r="Q13" s="475" t="str">
        <f t="shared" si="15"/>
        <v/>
      </c>
      <c r="R13" s="475" t="str">
        <f t="shared" si="15"/>
        <v/>
      </c>
      <c r="S13" s="475" t="str">
        <f t="shared" si="15"/>
        <v/>
      </c>
      <c r="T13" s="475" t="str">
        <f t="shared" si="15"/>
        <v/>
      </c>
      <c r="U13" s="475" t="str">
        <f t="shared" si="15"/>
        <v/>
      </c>
      <c r="V13" s="475" t="str">
        <f t="shared" si="15"/>
        <v/>
      </c>
      <c r="W13" s="475" t="str">
        <f t="shared" si="15"/>
        <v/>
      </c>
      <c r="X13" s="475" t="str">
        <f t="shared" si="15"/>
        <v/>
      </c>
      <c r="Y13" s="475" t="str">
        <f t="shared" si="15"/>
        <v/>
      </c>
      <c r="Z13" s="475" t="str">
        <f t="shared" si="15"/>
        <v/>
      </c>
      <c r="AA13" s="475" t="str">
        <f t="shared" si="15"/>
        <v/>
      </c>
      <c r="AB13" s="475" t="str">
        <f t="shared" si="15"/>
        <v/>
      </c>
      <c r="AC13" s="475" t="str">
        <f t="shared" si="15"/>
        <v/>
      </c>
      <c r="AD13" s="475" t="str">
        <f t="shared" si="15"/>
        <v/>
      </c>
      <c r="AE13" s="475" t="str">
        <f t="shared" si="15"/>
        <v/>
      </c>
      <c r="AF13" s="475" t="str">
        <f t="shared" si="15"/>
        <v/>
      </c>
      <c r="AG13" s="475" t="str">
        <f t="shared" si="15"/>
        <v/>
      </c>
      <c r="AH13" s="475" t="str">
        <f t="shared" si="15"/>
        <v/>
      </c>
      <c r="AI13" s="475" t="str">
        <f t="shared" si="15"/>
        <v/>
      </c>
      <c r="AJ13" s="475" t="str">
        <f t="shared" si="15"/>
        <v/>
      </c>
      <c r="AK13" s="475" t="str">
        <f t="shared" si="15"/>
        <v/>
      </c>
      <c r="AL13" s="475" t="str">
        <f t="shared" si="15"/>
        <v/>
      </c>
      <c r="AM13" s="475" t="str">
        <f t="shared" si="15"/>
        <v/>
      </c>
      <c r="AN13" s="475" t="str">
        <f t="shared" si="15"/>
        <v/>
      </c>
      <c r="AO13" s="475" t="str">
        <f t="shared" ref="AO13:BT13" si="16">IFERROR(ROUND(((1+$E7/2)^(2/12)-1)*AO9,2),"")</f>
        <v/>
      </c>
      <c r="AP13" s="475" t="str">
        <f t="shared" si="16"/>
        <v/>
      </c>
      <c r="AQ13" s="475" t="str">
        <f t="shared" si="16"/>
        <v/>
      </c>
      <c r="AR13" s="475" t="str">
        <f t="shared" si="16"/>
        <v/>
      </c>
      <c r="AS13" s="475" t="str">
        <f t="shared" si="16"/>
        <v/>
      </c>
      <c r="AT13" s="475" t="str">
        <f t="shared" si="16"/>
        <v/>
      </c>
      <c r="AU13" s="475" t="str">
        <f t="shared" si="16"/>
        <v/>
      </c>
      <c r="AV13" s="475" t="str">
        <f t="shared" si="16"/>
        <v/>
      </c>
      <c r="AW13" s="475" t="str">
        <f t="shared" si="16"/>
        <v/>
      </c>
      <c r="AX13" s="475" t="str">
        <f t="shared" si="16"/>
        <v/>
      </c>
      <c r="AY13" s="475" t="str">
        <f t="shared" si="16"/>
        <v/>
      </c>
      <c r="AZ13" s="475" t="str">
        <f t="shared" si="16"/>
        <v/>
      </c>
      <c r="BA13" s="475" t="str">
        <f t="shared" si="16"/>
        <v/>
      </c>
      <c r="BB13" s="475" t="str">
        <f t="shared" si="16"/>
        <v/>
      </c>
      <c r="BC13" s="475" t="str">
        <f t="shared" si="16"/>
        <v/>
      </c>
      <c r="BD13" s="475" t="str">
        <f t="shared" si="16"/>
        <v/>
      </c>
      <c r="BE13" s="475" t="str">
        <f t="shared" si="16"/>
        <v/>
      </c>
      <c r="BF13" s="475" t="str">
        <f t="shared" si="16"/>
        <v/>
      </c>
      <c r="BG13" s="475" t="str">
        <f t="shared" si="16"/>
        <v/>
      </c>
      <c r="BH13" s="475" t="str">
        <f t="shared" si="16"/>
        <v/>
      </c>
      <c r="BI13" s="475" t="str">
        <f t="shared" si="16"/>
        <v/>
      </c>
      <c r="BJ13" s="475" t="str">
        <f t="shared" si="16"/>
        <v/>
      </c>
      <c r="BK13" s="475" t="str">
        <f t="shared" si="16"/>
        <v/>
      </c>
      <c r="BL13" s="475" t="str">
        <f t="shared" si="16"/>
        <v/>
      </c>
      <c r="BM13" s="475" t="str">
        <f t="shared" si="16"/>
        <v/>
      </c>
      <c r="BN13" s="475" t="str">
        <f t="shared" si="16"/>
        <v/>
      </c>
      <c r="BO13" s="475" t="str">
        <f t="shared" si="16"/>
        <v/>
      </c>
      <c r="BP13" s="475" t="str">
        <f t="shared" si="16"/>
        <v/>
      </c>
      <c r="BQ13" s="475" t="str">
        <f t="shared" si="16"/>
        <v/>
      </c>
      <c r="BR13" s="475" t="str">
        <f t="shared" si="16"/>
        <v/>
      </c>
      <c r="BS13" s="475" t="str">
        <f t="shared" si="16"/>
        <v/>
      </c>
      <c r="BT13" s="475" t="str">
        <f t="shared" si="16"/>
        <v/>
      </c>
      <c r="BU13" s="475" t="str">
        <f t="shared" ref="BU13:CZ13" si="17">IFERROR(ROUND(((1+$E7/2)^(2/12)-1)*BU9,2),"")</f>
        <v/>
      </c>
      <c r="BV13" s="475" t="str">
        <f t="shared" si="17"/>
        <v/>
      </c>
      <c r="BW13" s="475" t="str">
        <f t="shared" si="17"/>
        <v/>
      </c>
      <c r="BX13" s="475" t="str">
        <f t="shared" si="17"/>
        <v/>
      </c>
      <c r="BY13" s="475" t="str">
        <f t="shared" si="17"/>
        <v/>
      </c>
      <c r="BZ13" s="475" t="str">
        <f t="shared" si="17"/>
        <v/>
      </c>
      <c r="CA13" s="475" t="str">
        <f t="shared" si="17"/>
        <v/>
      </c>
      <c r="CB13" s="475" t="str">
        <f t="shared" si="17"/>
        <v/>
      </c>
      <c r="CC13" s="475" t="str">
        <f t="shared" si="17"/>
        <v/>
      </c>
      <c r="CD13" s="475" t="str">
        <f t="shared" si="17"/>
        <v/>
      </c>
      <c r="CE13" s="475" t="str">
        <f t="shared" si="17"/>
        <v/>
      </c>
      <c r="CF13" s="475" t="str">
        <f t="shared" si="17"/>
        <v/>
      </c>
      <c r="CG13" s="475" t="str">
        <f t="shared" si="17"/>
        <v/>
      </c>
      <c r="CH13" s="475" t="str">
        <f t="shared" si="17"/>
        <v/>
      </c>
      <c r="CI13" s="475" t="str">
        <f t="shared" si="17"/>
        <v/>
      </c>
      <c r="CJ13" s="475" t="str">
        <f t="shared" si="17"/>
        <v/>
      </c>
      <c r="CK13" s="475" t="str">
        <f t="shared" si="17"/>
        <v/>
      </c>
      <c r="CL13" s="475" t="str">
        <f t="shared" si="17"/>
        <v/>
      </c>
      <c r="CM13" s="475" t="str">
        <f t="shared" si="17"/>
        <v/>
      </c>
      <c r="CN13" s="475" t="str">
        <f t="shared" si="17"/>
        <v/>
      </c>
      <c r="CO13" s="475" t="str">
        <f t="shared" si="17"/>
        <v/>
      </c>
      <c r="CP13" s="475" t="str">
        <f t="shared" si="17"/>
        <v/>
      </c>
      <c r="CQ13" s="475" t="str">
        <f t="shared" si="17"/>
        <v/>
      </c>
      <c r="CR13" s="475" t="str">
        <f t="shared" si="17"/>
        <v/>
      </c>
      <c r="CS13" s="475" t="str">
        <f t="shared" si="17"/>
        <v/>
      </c>
      <c r="CT13" s="475" t="str">
        <f t="shared" si="17"/>
        <v/>
      </c>
      <c r="CU13" s="475" t="str">
        <f t="shared" si="17"/>
        <v/>
      </c>
      <c r="CV13" s="475" t="str">
        <f t="shared" si="17"/>
        <v/>
      </c>
      <c r="CW13" s="475" t="str">
        <f t="shared" si="17"/>
        <v/>
      </c>
      <c r="CX13" s="475" t="str">
        <f t="shared" si="17"/>
        <v/>
      </c>
      <c r="CY13" s="475" t="str">
        <f t="shared" si="17"/>
        <v/>
      </c>
      <c r="CZ13" s="475" t="str">
        <f t="shared" si="17"/>
        <v/>
      </c>
      <c r="DA13" s="475" t="str">
        <f t="shared" ref="DA13:EJ13" si="18">IFERROR(ROUND(((1+$E7/2)^(2/12)-1)*DA9,2),"")</f>
        <v/>
      </c>
      <c r="DB13" s="475" t="str">
        <f t="shared" si="18"/>
        <v/>
      </c>
      <c r="DC13" s="475" t="str">
        <f t="shared" si="18"/>
        <v/>
      </c>
      <c r="DD13" s="475" t="str">
        <f t="shared" si="18"/>
        <v/>
      </c>
      <c r="DE13" s="475" t="str">
        <f t="shared" si="18"/>
        <v/>
      </c>
      <c r="DF13" s="475" t="str">
        <f t="shared" si="18"/>
        <v/>
      </c>
      <c r="DG13" s="475" t="str">
        <f t="shared" si="18"/>
        <v/>
      </c>
      <c r="DH13" s="475" t="str">
        <f t="shared" si="18"/>
        <v/>
      </c>
      <c r="DI13" s="475" t="str">
        <f t="shared" si="18"/>
        <v/>
      </c>
      <c r="DJ13" s="475" t="str">
        <f t="shared" si="18"/>
        <v/>
      </c>
      <c r="DK13" s="475" t="str">
        <f t="shared" si="18"/>
        <v/>
      </c>
      <c r="DL13" s="475" t="str">
        <f t="shared" si="18"/>
        <v/>
      </c>
      <c r="DM13" s="475" t="str">
        <f t="shared" si="18"/>
        <v/>
      </c>
      <c r="DN13" s="475" t="str">
        <f t="shared" si="18"/>
        <v/>
      </c>
      <c r="DO13" s="475" t="str">
        <f t="shared" si="18"/>
        <v/>
      </c>
      <c r="DP13" s="475" t="str">
        <f t="shared" si="18"/>
        <v/>
      </c>
      <c r="DQ13" s="475" t="str">
        <f t="shared" si="18"/>
        <v/>
      </c>
      <c r="DR13" s="475" t="str">
        <f t="shared" si="18"/>
        <v/>
      </c>
      <c r="DS13" s="475" t="str">
        <f t="shared" si="18"/>
        <v/>
      </c>
      <c r="DT13" s="475" t="str">
        <f t="shared" si="18"/>
        <v/>
      </c>
      <c r="DU13" s="475" t="str">
        <f t="shared" si="18"/>
        <v/>
      </c>
      <c r="DV13" s="475" t="str">
        <f t="shared" si="18"/>
        <v/>
      </c>
      <c r="DW13" s="475" t="str">
        <f t="shared" si="18"/>
        <v/>
      </c>
      <c r="DX13" s="475" t="str">
        <f t="shared" si="18"/>
        <v/>
      </c>
      <c r="DY13" s="475" t="str">
        <f t="shared" si="18"/>
        <v/>
      </c>
      <c r="DZ13" s="475" t="str">
        <f t="shared" si="18"/>
        <v/>
      </c>
      <c r="EA13" s="475" t="str">
        <f t="shared" si="18"/>
        <v/>
      </c>
      <c r="EB13" s="475" t="str">
        <f t="shared" si="18"/>
        <v/>
      </c>
      <c r="EC13" s="475" t="str">
        <f t="shared" si="18"/>
        <v/>
      </c>
      <c r="ED13" s="475" t="str">
        <f t="shared" si="18"/>
        <v/>
      </c>
      <c r="EE13" s="475" t="str">
        <f t="shared" si="18"/>
        <v/>
      </c>
      <c r="EF13" s="475" t="str">
        <f t="shared" si="18"/>
        <v/>
      </c>
      <c r="EG13" s="475" t="str">
        <f t="shared" si="18"/>
        <v/>
      </c>
      <c r="EH13" s="475" t="str">
        <f t="shared" si="18"/>
        <v/>
      </c>
      <c r="EI13" s="475" t="str">
        <f t="shared" si="18"/>
        <v/>
      </c>
      <c r="EJ13" s="475" t="str">
        <f t="shared" si="18"/>
        <v/>
      </c>
    </row>
    <row r="14" spans="2:140" x14ac:dyDescent="0.25">
      <c r="E14" s="475"/>
      <c r="F14" s="473"/>
      <c r="H14" s="474"/>
      <c r="I14" s="475"/>
      <c r="J14" s="475"/>
      <c r="K14" s="475"/>
      <c r="L14" s="475"/>
      <c r="M14" s="475"/>
      <c r="N14" s="475"/>
      <c r="O14" s="475"/>
      <c r="P14" s="475"/>
      <c r="Q14" s="475"/>
      <c r="R14" s="475"/>
      <c r="S14" s="475"/>
      <c r="T14" s="475"/>
      <c r="U14" s="475"/>
      <c r="V14" s="475"/>
      <c r="W14" s="475"/>
      <c r="X14" s="475"/>
      <c r="Y14" s="475"/>
      <c r="Z14" s="475"/>
      <c r="AA14" s="475"/>
      <c r="AB14" s="475"/>
      <c r="AC14" s="475"/>
      <c r="AD14" s="475"/>
      <c r="AE14" s="475"/>
      <c r="AF14" s="475"/>
      <c r="AG14" s="475"/>
      <c r="AH14" s="475"/>
      <c r="AI14" s="475"/>
      <c r="AJ14" s="475"/>
      <c r="AK14" s="475"/>
      <c r="AL14" s="475"/>
      <c r="AM14" s="475"/>
      <c r="AN14" s="475"/>
      <c r="AO14" s="475"/>
      <c r="AP14" s="475"/>
      <c r="AQ14" s="475"/>
      <c r="AR14" s="475"/>
      <c r="AS14" s="475"/>
      <c r="AT14" s="475"/>
      <c r="AU14" s="475"/>
      <c r="AV14" s="475"/>
      <c r="AW14" s="475"/>
      <c r="AX14" s="475"/>
      <c r="AY14" s="475"/>
      <c r="AZ14" s="475"/>
      <c r="BA14" s="475"/>
      <c r="BB14" s="475"/>
      <c r="BC14" s="475"/>
      <c r="BD14" s="475"/>
      <c r="BE14" s="475"/>
      <c r="BF14" s="475"/>
      <c r="BG14" s="475"/>
      <c r="BH14" s="475"/>
      <c r="BI14" s="475"/>
      <c r="BJ14" s="475"/>
      <c r="BK14" s="475"/>
      <c r="BL14" s="475"/>
      <c r="BM14" s="475"/>
      <c r="BN14" s="475"/>
      <c r="BO14" s="475"/>
      <c r="BP14" s="475"/>
      <c r="BQ14" s="475"/>
      <c r="BR14" s="475"/>
      <c r="BS14" s="475"/>
      <c r="BT14" s="475"/>
      <c r="BU14" s="475"/>
      <c r="BV14" s="475"/>
      <c r="BW14" s="475"/>
      <c r="BX14" s="475"/>
      <c r="BY14" s="475"/>
      <c r="BZ14" s="475"/>
      <c r="CA14" s="475"/>
      <c r="CB14" s="475"/>
      <c r="CC14" s="475"/>
      <c r="CD14" s="475"/>
      <c r="CE14" s="475"/>
      <c r="CF14" s="475"/>
      <c r="CG14" s="475"/>
      <c r="CH14" s="475"/>
      <c r="CI14" s="475"/>
      <c r="CJ14" s="475"/>
      <c r="CK14" s="475"/>
      <c r="CL14" s="475"/>
      <c r="CM14" s="475"/>
      <c r="CN14" s="475"/>
      <c r="CO14" s="475"/>
      <c r="CP14" s="475"/>
      <c r="CQ14" s="475"/>
      <c r="CR14" s="475"/>
      <c r="CS14" s="475"/>
      <c r="CT14" s="475"/>
      <c r="CU14" s="475"/>
      <c r="CV14" s="475"/>
      <c r="CW14" s="475"/>
      <c r="CX14" s="475"/>
      <c r="CY14" s="475"/>
      <c r="CZ14" s="475"/>
      <c r="DA14" s="475"/>
      <c r="DB14" s="475"/>
      <c r="DC14" s="475"/>
      <c r="DD14" s="475"/>
      <c r="DE14" s="475"/>
      <c r="DF14" s="475"/>
      <c r="DG14" s="475"/>
      <c r="DH14" s="475"/>
      <c r="DI14" s="475"/>
      <c r="DJ14" s="475"/>
      <c r="DK14" s="475"/>
      <c r="DL14" s="475"/>
      <c r="DM14" s="475"/>
      <c r="DN14" s="475"/>
      <c r="DO14" s="475"/>
      <c r="DP14" s="475"/>
      <c r="DQ14" s="475"/>
      <c r="DR14" s="475"/>
      <c r="DS14" s="475"/>
      <c r="DT14" s="475"/>
      <c r="DU14" s="475"/>
      <c r="DV14" s="475"/>
      <c r="DW14" s="475"/>
      <c r="DX14" s="475"/>
      <c r="DY14" s="475"/>
      <c r="DZ14" s="475"/>
      <c r="EA14" s="475"/>
      <c r="EB14" s="475"/>
      <c r="EC14" s="475"/>
      <c r="ED14" s="475"/>
      <c r="EE14" s="475"/>
      <c r="EF14" s="475"/>
      <c r="EG14" s="475"/>
      <c r="EH14" s="475"/>
      <c r="EI14" s="475"/>
      <c r="EJ14" s="475"/>
    </row>
    <row r="15" spans="2:140" x14ac:dyDescent="0.25">
      <c r="E15" s="475"/>
      <c r="F15" s="473"/>
      <c r="H15" s="474" t="s">
        <v>316</v>
      </c>
      <c r="I15" s="475"/>
      <c r="J15" s="475"/>
      <c r="K15" s="475"/>
      <c r="L15" s="475"/>
      <c r="M15" s="475"/>
      <c r="N15" s="475"/>
      <c r="O15" s="475"/>
      <c r="P15" s="475"/>
      <c r="Q15" s="475"/>
      <c r="R15" s="475"/>
      <c r="S15" s="475"/>
      <c r="T15" s="475"/>
      <c r="U15" s="475"/>
      <c r="V15" s="475"/>
      <c r="W15" s="475"/>
      <c r="X15" s="475"/>
      <c r="Y15" s="475"/>
      <c r="Z15" s="475"/>
      <c r="AA15" s="475"/>
      <c r="AB15" s="475"/>
      <c r="AC15" s="475"/>
      <c r="AD15" s="475"/>
      <c r="AE15" s="475"/>
      <c r="AF15" s="475"/>
      <c r="AG15" s="475"/>
      <c r="AH15" s="475"/>
      <c r="AI15" s="475"/>
      <c r="AJ15" s="475"/>
      <c r="AK15" s="475"/>
      <c r="AL15" s="475"/>
      <c r="AM15" s="475"/>
      <c r="AN15" s="475"/>
      <c r="AO15" s="475"/>
      <c r="AP15" s="475"/>
      <c r="AQ15" s="475"/>
      <c r="AR15" s="475"/>
      <c r="AS15" s="475"/>
      <c r="AT15" s="475"/>
      <c r="AU15" s="475"/>
      <c r="AV15" s="475"/>
      <c r="AW15" s="475"/>
      <c r="AX15" s="475"/>
      <c r="AY15" s="475"/>
      <c r="AZ15" s="475"/>
      <c r="BA15" s="475"/>
      <c r="BB15" s="475"/>
      <c r="BC15" s="475"/>
      <c r="BD15" s="475"/>
      <c r="BE15" s="475"/>
      <c r="BF15" s="475"/>
      <c r="BG15" s="475"/>
      <c r="BH15" s="475"/>
      <c r="BI15" s="475"/>
      <c r="BJ15" s="475"/>
      <c r="BK15" s="475"/>
      <c r="BL15" s="475"/>
      <c r="BM15" s="475"/>
      <c r="BN15" s="475"/>
      <c r="BO15" s="475"/>
      <c r="BP15" s="475"/>
      <c r="BQ15" s="475"/>
      <c r="BR15" s="475"/>
      <c r="BS15" s="475"/>
      <c r="BT15" s="475"/>
      <c r="BU15" s="475"/>
      <c r="BV15" s="475"/>
      <c r="BW15" s="475"/>
      <c r="BX15" s="475"/>
      <c r="BY15" s="475"/>
      <c r="BZ15" s="475"/>
      <c r="CA15" s="475"/>
      <c r="CB15" s="475"/>
      <c r="CC15" s="475"/>
      <c r="CD15" s="475"/>
      <c r="CE15" s="475"/>
      <c r="CF15" s="475"/>
      <c r="CG15" s="475"/>
      <c r="CH15" s="475"/>
      <c r="CI15" s="475"/>
      <c r="CJ15" s="475"/>
      <c r="CK15" s="475"/>
      <c r="CL15" s="475"/>
      <c r="CM15" s="475"/>
      <c r="CN15" s="475"/>
      <c r="CO15" s="475"/>
      <c r="CP15" s="475"/>
      <c r="CQ15" s="475"/>
      <c r="CR15" s="475"/>
      <c r="CS15" s="475"/>
      <c r="CT15" s="475"/>
      <c r="CU15" s="475"/>
      <c r="CV15" s="475"/>
      <c r="CW15" s="475"/>
      <c r="CX15" s="475"/>
      <c r="CY15" s="475"/>
      <c r="CZ15" s="475"/>
      <c r="DA15" s="475"/>
      <c r="DB15" s="475"/>
      <c r="DC15" s="475"/>
      <c r="DD15" s="475"/>
      <c r="DE15" s="475"/>
      <c r="DF15" s="475"/>
      <c r="DG15" s="475"/>
      <c r="DH15" s="475"/>
      <c r="DI15" s="475"/>
      <c r="DJ15" s="475"/>
      <c r="DK15" s="475"/>
      <c r="DL15" s="475"/>
      <c r="DM15" s="475"/>
      <c r="DN15" s="475"/>
      <c r="DO15" s="475"/>
      <c r="DP15" s="475"/>
      <c r="DQ15" s="475"/>
      <c r="DR15" s="475"/>
      <c r="DS15" s="475"/>
      <c r="DT15" s="475"/>
      <c r="DU15" s="475"/>
      <c r="DV15" s="475"/>
      <c r="DW15" s="475"/>
      <c r="DX15" s="475"/>
      <c r="DY15" s="475"/>
      <c r="DZ15" s="475"/>
      <c r="EA15" s="475"/>
      <c r="EB15" s="475"/>
      <c r="EC15" s="475"/>
      <c r="ED15" s="475"/>
      <c r="EE15" s="475"/>
      <c r="EF15" s="475"/>
      <c r="EG15" s="475"/>
      <c r="EH15" s="475"/>
      <c r="EI15" s="475"/>
      <c r="EJ15" s="475"/>
    </row>
    <row r="16" spans="2:140" x14ac:dyDescent="0.25">
      <c r="E16" s="475"/>
      <c r="F16" s="473"/>
      <c r="H16" s="474" t="s">
        <v>312</v>
      </c>
      <c r="I16" s="475" t="e">
        <f t="shared" ref="I16:AN16" si="19">IF(I$5&lt;5*12,$F6-I12,IF(I$5=5*12,I8,0))</f>
        <v>#NUM!</v>
      </c>
      <c r="J16" s="475" t="e">
        <f t="shared" si="19"/>
        <v>#NUM!</v>
      </c>
      <c r="K16" s="475" t="e">
        <f t="shared" si="19"/>
        <v>#NUM!</v>
      </c>
      <c r="L16" s="475" t="e">
        <f t="shared" si="19"/>
        <v>#NUM!</v>
      </c>
      <c r="M16" s="475" t="e">
        <f t="shared" si="19"/>
        <v>#NUM!</v>
      </c>
      <c r="N16" s="475" t="e">
        <f t="shared" si="19"/>
        <v>#NUM!</v>
      </c>
      <c r="O16" s="475" t="e">
        <f t="shared" si="19"/>
        <v>#NUM!</v>
      </c>
      <c r="P16" s="475" t="e">
        <f t="shared" si="19"/>
        <v>#NUM!</v>
      </c>
      <c r="Q16" s="475" t="e">
        <f t="shared" si="19"/>
        <v>#NUM!</v>
      </c>
      <c r="R16" s="475" t="e">
        <f t="shared" si="19"/>
        <v>#NUM!</v>
      </c>
      <c r="S16" s="475" t="e">
        <f t="shared" si="19"/>
        <v>#NUM!</v>
      </c>
      <c r="T16" s="475" t="e">
        <f t="shared" si="19"/>
        <v>#NUM!</v>
      </c>
      <c r="U16" s="475" t="e">
        <f t="shared" si="19"/>
        <v>#NUM!</v>
      </c>
      <c r="V16" s="475" t="e">
        <f t="shared" si="19"/>
        <v>#NUM!</v>
      </c>
      <c r="W16" s="475" t="e">
        <f t="shared" si="19"/>
        <v>#NUM!</v>
      </c>
      <c r="X16" s="475" t="e">
        <f t="shared" si="19"/>
        <v>#NUM!</v>
      </c>
      <c r="Y16" s="475" t="e">
        <f t="shared" si="19"/>
        <v>#NUM!</v>
      </c>
      <c r="Z16" s="475" t="e">
        <f t="shared" si="19"/>
        <v>#NUM!</v>
      </c>
      <c r="AA16" s="475" t="e">
        <f t="shared" si="19"/>
        <v>#NUM!</v>
      </c>
      <c r="AB16" s="475" t="e">
        <f t="shared" si="19"/>
        <v>#NUM!</v>
      </c>
      <c r="AC16" s="475" t="e">
        <f t="shared" si="19"/>
        <v>#NUM!</v>
      </c>
      <c r="AD16" s="475" t="e">
        <f t="shared" si="19"/>
        <v>#NUM!</v>
      </c>
      <c r="AE16" s="475" t="e">
        <f t="shared" si="19"/>
        <v>#NUM!</v>
      </c>
      <c r="AF16" s="475" t="e">
        <f t="shared" si="19"/>
        <v>#NUM!</v>
      </c>
      <c r="AG16" s="475" t="e">
        <f t="shared" si="19"/>
        <v>#NUM!</v>
      </c>
      <c r="AH16" s="475" t="e">
        <f t="shared" si="19"/>
        <v>#NUM!</v>
      </c>
      <c r="AI16" s="475" t="e">
        <f t="shared" si="19"/>
        <v>#NUM!</v>
      </c>
      <c r="AJ16" s="475" t="e">
        <f t="shared" si="19"/>
        <v>#NUM!</v>
      </c>
      <c r="AK16" s="475" t="e">
        <f t="shared" si="19"/>
        <v>#NUM!</v>
      </c>
      <c r="AL16" s="475" t="e">
        <f t="shared" si="19"/>
        <v>#NUM!</v>
      </c>
      <c r="AM16" s="475" t="e">
        <f t="shared" si="19"/>
        <v>#NUM!</v>
      </c>
      <c r="AN16" s="475" t="e">
        <f t="shared" si="19"/>
        <v>#NUM!</v>
      </c>
      <c r="AO16" s="475" t="e">
        <f t="shared" ref="AO16:BT16" si="20">IF(AO$5&lt;5*12,$F6-AO12,IF(AO$5=5*12,AO8,0))</f>
        <v>#NUM!</v>
      </c>
      <c r="AP16" s="475" t="e">
        <f t="shared" si="20"/>
        <v>#NUM!</v>
      </c>
      <c r="AQ16" s="475" t="e">
        <f t="shared" si="20"/>
        <v>#NUM!</v>
      </c>
      <c r="AR16" s="475" t="e">
        <f t="shared" si="20"/>
        <v>#NUM!</v>
      </c>
      <c r="AS16" s="475" t="e">
        <f t="shared" si="20"/>
        <v>#NUM!</v>
      </c>
      <c r="AT16" s="475" t="e">
        <f t="shared" si="20"/>
        <v>#NUM!</v>
      </c>
      <c r="AU16" s="475" t="e">
        <f t="shared" si="20"/>
        <v>#NUM!</v>
      </c>
      <c r="AV16" s="475" t="e">
        <f t="shared" si="20"/>
        <v>#NUM!</v>
      </c>
      <c r="AW16" s="475" t="e">
        <f t="shared" si="20"/>
        <v>#NUM!</v>
      </c>
      <c r="AX16" s="475" t="e">
        <f t="shared" si="20"/>
        <v>#NUM!</v>
      </c>
      <c r="AY16" s="475" t="e">
        <f t="shared" si="20"/>
        <v>#NUM!</v>
      </c>
      <c r="AZ16" s="475" t="e">
        <f t="shared" si="20"/>
        <v>#NUM!</v>
      </c>
      <c r="BA16" s="475" t="e">
        <f t="shared" si="20"/>
        <v>#NUM!</v>
      </c>
      <c r="BB16" s="475" t="e">
        <f t="shared" si="20"/>
        <v>#NUM!</v>
      </c>
      <c r="BC16" s="475" t="e">
        <f t="shared" si="20"/>
        <v>#NUM!</v>
      </c>
      <c r="BD16" s="475" t="e">
        <f t="shared" si="20"/>
        <v>#NUM!</v>
      </c>
      <c r="BE16" s="475" t="e">
        <f t="shared" si="20"/>
        <v>#NUM!</v>
      </c>
      <c r="BF16" s="475" t="e">
        <f t="shared" si="20"/>
        <v>#NUM!</v>
      </c>
      <c r="BG16" s="475" t="e">
        <f t="shared" si="20"/>
        <v>#NUM!</v>
      </c>
      <c r="BH16" s="475" t="e">
        <f t="shared" si="20"/>
        <v>#NUM!</v>
      </c>
      <c r="BI16" s="475" t="e">
        <f t="shared" si="20"/>
        <v>#NUM!</v>
      </c>
      <c r="BJ16" s="475" t="e">
        <f t="shared" si="20"/>
        <v>#NUM!</v>
      </c>
      <c r="BK16" s="475" t="e">
        <f t="shared" si="20"/>
        <v>#NUM!</v>
      </c>
      <c r="BL16" s="475" t="e">
        <f t="shared" si="20"/>
        <v>#NUM!</v>
      </c>
      <c r="BM16" s="475" t="e">
        <f t="shared" si="20"/>
        <v>#NUM!</v>
      </c>
      <c r="BN16" s="475" t="e">
        <f t="shared" si="20"/>
        <v>#NUM!</v>
      </c>
      <c r="BO16" s="475" t="e">
        <f t="shared" si="20"/>
        <v>#NUM!</v>
      </c>
      <c r="BP16" s="475" t="e">
        <f t="shared" si="20"/>
        <v>#NUM!</v>
      </c>
      <c r="BQ16" s="475">
        <f t="shared" si="20"/>
        <v>0</v>
      </c>
      <c r="BR16" s="475">
        <f t="shared" si="20"/>
        <v>0</v>
      </c>
      <c r="BS16" s="475">
        <f t="shared" si="20"/>
        <v>0</v>
      </c>
      <c r="BT16" s="475">
        <f t="shared" si="20"/>
        <v>0</v>
      </c>
      <c r="BU16" s="475">
        <f t="shared" ref="BU16:CZ16" si="21">IF(BU$5&lt;5*12,$F6-BU12,IF(BU$5=5*12,BU8,0))</f>
        <v>0</v>
      </c>
      <c r="BV16" s="475">
        <f t="shared" si="21"/>
        <v>0</v>
      </c>
      <c r="BW16" s="475">
        <f t="shared" si="21"/>
        <v>0</v>
      </c>
      <c r="BX16" s="475">
        <f t="shared" si="21"/>
        <v>0</v>
      </c>
      <c r="BY16" s="475">
        <f t="shared" si="21"/>
        <v>0</v>
      </c>
      <c r="BZ16" s="475">
        <f t="shared" si="21"/>
        <v>0</v>
      </c>
      <c r="CA16" s="475">
        <f t="shared" si="21"/>
        <v>0</v>
      </c>
      <c r="CB16" s="475">
        <f t="shared" si="21"/>
        <v>0</v>
      </c>
      <c r="CC16" s="475">
        <f t="shared" si="21"/>
        <v>0</v>
      </c>
      <c r="CD16" s="475">
        <f t="shared" si="21"/>
        <v>0</v>
      </c>
      <c r="CE16" s="475">
        <f t="shared" si="21"/>
        <v>0</v>
      </c>
      <c r="CF16" s="475">
        <f t="shared" si="21"/>
        <v>0</v>
      </c>
      <c r="CG16" s="475">
        <f t="shared" si="21"/>
        <v>0</v>
      </c>
      <c r="CH16" s="475">
        <f t="shared" si="21"/>
        <v>0</v>
      </c>
      <c r="CI16" s="475">
        <f t="shared" si="21"/>
        <v>0</v>
      </c>
      <c r="CJ16" s="475">
        <f t="shared" si="21"/>
        <v>0</v>
      </c>
      <c r="CK16" s="475">
        <f t="shared" si="21"/>
        <v>0</v>
      </c>
      <c r="CL16" s="475">
        <f t="shared" si="21"/>
        <v>0</v>
      </c>
      <c r="CM16" s="475">
        <f t="shared" si="21"/>
        <v>0</v>
      </c>
      <c r="CN16" s="475">
        <f t="shared" si="21"/>
        <v>0</v>
      </c>
      <c r="CO16" s="475">
        <f t="shared" si="21"/>
        <v>0</v>
      </c>
      <c r="CP16" s="475">
        <f t="shared" si="21"/>
        <v>0</v>
      </c>
      <c r="CQ16" s="475">
        <f t="shared" si="21"/>
        <v>0</v>
      </c>
      <c r="CR16" s="475">
        <f t="shared" si="21"/>
        <v>0</v>
      </c>
      <c r="CS16" s="475">
        <f t="shared" si="21"/>
        <v>0</v>
      </c>
      <c r="CT16" s="475">
        <f t="shared" si="21"/>
        <v>0</v>
      </c>
      <c r="CU16" s="475">
        <f t="shared" si="21"/>
        <v>0</v>
      </c>
      <c r="CV16" s="475">
        <f t="shared" si="21"/>
        <v>0</v>
      </c>
      <c r="CW16" s="475">
        <f t="shared" si="21"/>
        <v>0</v>
      </c>
      <c r="CX16" s="475">
        <f t="shared" si="21"/>
        <v>0</v>
      </c>
      <c r="CY16" s="475">
        <f t="shared" si="21"/>
        <v>0</v>
      </c>
      <c r="CZ16" s="475">
        <f t="shared" si="21"/>
        <v>0</v>
      </c>
      <c r="DA16" s="475">
        <f t="shared" ref="DA16:EJ16" si="22">IF(DA$5&lt;5*12,$F6-DA12,IF(DA$5=5*12,DA8,0))</f>
        <v>0</v>
      </c>
      <c r="DB16" s="475">
        <f t="shared" si="22"/>
        <v>0</v>
      </c>
      <c r="DC16" s="475">
        <f t="shared" si="22"/>
        <v>0</v>
      </c>
      <c r="DD16" s="475">
        <f t="shared" si="22"/>
        <v>0</v>
      </c>
      <c r="DE16" s="475">
        <f t="shared" si="22"/>
        <v>0</v>
      </c>
      <c r="DF16" s="475">
        <f t="shared" si="22"/>
        <v>0</v>
      </c>
      <c r="DG16" s="475">
        <f t="shared" si="22"/>
        <v>0</v>
      </c>
      <c r="DH16" s="475">
        <f t="shared" si="22"/>
        <v>0</v>
      </c>
      <c r="DI16" s="475">
        <f t="shared" si="22"/>
        <v>0</v>
      </c>
      <c r="DJ16" s="475">
        <f t="shared" si="22"/>
        <v>0</v>
      </c>
      <c r="DK16" s="475">
        <f t="shared" si="22"/>
        <v>0</v>
      </c>
      <c r="DL16" s="475">
        <f t="shared" si="22"/>
        <v>0</v>
      </c>
      <c r="DM16" s="475">
        <f t="shared" si="22"/>
        <v>0</v>
      </c>
      <c r="DN16" s="475">
        <f t="shared" si="22"/>
        <v>0</v>
      </c>
      <c r="DO16" s="475">
        <f t="shared" si="22"/>
        <v>0</v>
      </c>
      <c r="DP16" s="475">
        <f t="shared" si="22"/>
        <v>0</v>
      </c>
      <c r="DQ16" s="475">
        <f t="shared" si="22"/>
        <v>0</v>
      </c>
      <c r="DR16" s="475">
        <f t="shared" si="22"/>
        <v>0</v>
      </c>
      <c r="DS16" s="475">
        <f t="shared" si="22"/>
        <v>0</v>
      </c>
      <c r="DT16" s="475">
        <f t="shared" si="22"/>
        <v>0</v>
      </c>
      <c r="DU16" s="475">
        <f t="shared" si="22"/>
        <v>0</v>
      </c>
      <c r="DV16" s="475">
        <f t="shared" si="22"/>
        <v>0</v>
      </c>
      <c r="DW16" s="475">
        <f t="shared" si="22"/>
        <v>0</v>
      </c>
      <c r="DX16" s="475">
        <f t="shared" si="22"/>
        <v>0</v>
      </c>
      <c r="DY16" s="475">
        <f t="shared" si="22"/>
        <v>0</v>
      </c>
      <c r="DZ16" s="475">
        <f t="shared" si="22"/>
        <v>0</v>
      </c>
      <c r="EA16" s="475">
        <f t="shared" si="22"/>
        <v>0</v>
      </c>
      <c r="EB16" s="475">
        <f t="shared" si="22"/>
        <v>0</v>
      </c>
      <c r="EC16" s="475">
        <f t="shared" si="22"/>
        <v>0</v>
      </c>
      <c r="ED16" s="475">
        <f t="shared" si="22"/>
        <v>0</v>
      </c>
      <c r="EE16" s="475">
        <f t="shared" si="22"/>
        <v>0</v>
      </c>
      <c r="EF16" s="475">
        <f t="shared" si="22"/>
        <v>0</v>
      </c>
      <c r="EG16" s="475">
        <f t="shared" si="22"/>
        <v>0</v>
      </c>
      <c r="EH16" s="475">
        <f t="shared" si="22"/>
        <v>0</v>
      </c>
      <c r="EI16" s="475">
        <f t="shared" si="22"/>
        <v>0</v>
      </c>
      <c r="EJ16" s="475">
        <f t="shared" si="22"/>
        <v>0</v>
      </c>
    </row>
    <row r="17" spans="5:140" x14ac:dyDescent="0.25">
      <c r="E17" s="475"/>
      <c r="F17" s="473"/>
      <c r="H17" s="474" t="s">
        <v>313</v>
      </c>
      <c r="I17" s="475" t="e">
        <f t="shared" ref="I17:AN17" si="23">IF(I$5&lt;10*12,$F7-I13,IF(I$5=10*12,I9,0))</f>
        <v>#NUM!</v>
      </c>
      <c r="J17" s="475" t="e">
        <f t="shared" si="23"/>
        <v>#NUM!</v>
      </c>
      <c r="K17" s="475" t="e">
        <f t="shared" si="23"/>
        <v>#NUM!</v>
      </c>
      <c r="L17" s="475" t="e">
        <f t="shared" si="23"/>
        <v>#NUM!</v>
      </c>
      <c r="M17" s="475" t="e">
        <f t="shared" si="23"/>
        <v>#NUM!</v>
      </c>
      <c r="N17" s="475" t="e">
        <f t="shared" si="23"/>
        <v>#NUM!</v>
      </c>
      <c r="O17" s="475" t="e">
        <f t="shared" si="23"/>
        <v>#NUM!</v>
      </c>
      <c r="P17" s="475" t="e">
        <f t="shared" si="23"/>
        <v>#NUM!</v>
      </c>
      <c r="Q17" s="475" t="e">
        <f t="shared" si="23"/>
        <v>#NUM!</v>
      </c>
      <c r="R17" s="475" t="e">
        <f t="shared" si="23"/>
        <v>#NUM!</v>
      </c>
      <c r="S17" s="475" t="e">
        <f t="shared" si="23"/>
        <v>#NUM!</v>
      </c>
      <c r="T17" s="475" t="e">
        <f t="shared" si="23"/>
        <v>#NUM!</v>
      </c>
      <c r="U17" s="475" t="e">
        <f t="shared" si="23"/>
        <v>#NUM!</v>
      </c>
      <c r="V17" s="475" t="e">
        <f t="shared" si="23"/>
        <v>#NUM!</v>
      </c>
      <c r="W17" s="475" t="e">
        <f t="shared" si="23"/>
        <v>#NUM!</v>
      </c>
      <c r="X17" s="475" t="e">
        <f t="shared" si="23"/>
        <v>#NUM!</v>
      </c>
      <c r="Y17" s="475" t="e">
        <f t="shared" si="23"/>
        <v>#NUM!</v>
      </c>
      <c r="Z17" s="475" t="e">
        <f t="shared" si="23"/>
        <v>#NUM!</v>
      </c>
      <c r="AA17" s="475" t="e">
        <f t="shared" si="23"/>
        <v>#NUM!</v>
      </c>
      <c r="AB17" s="475" t="e">
        <f t="shared" si="23"/>
        <v>#NUM!</v>
      </c>
      <c r="AC17" s="475" t="e">
        <f t="shared" si="23"/>
        <v>#NUM!</v>
      </c>
      <c r="AD17" s="475" t="e">
        <f t="shared" si="23"/>
        <v>#NUM!</v>
      </c>
      <c r="AE17" s="475" t="e">
        <f t="shared" si="23"/>
        <v>#NUM!</v>
      </c>
      <c r="AF17" s="475" t="e">
        <f t="shared" si="23"/>
        <v>#NUM!</v>
      </c>
      <c r="AG17" s="475" t="e">
        <f t="shared" si="23"/>
        <v>#NUM!</v>
      </c>
      <c r="AH17" s="475" t="e">
        <f t="shared" si="23"/>
        <v>#NUM!</v>
      </c>
      <c r="AI17" s="475" t="e">
        <f t="shared" si="23"/>
        <v>#NUM!</v>
      </c>
      <c r="AJ17" s="475" t="e">
        <f t="shared" si="23"/>
        <v>#NUM!</v>
      </c>
      <c r="AK17" s="475" t="e">
        <f t="shared" si="23"/>
        <v>#NUM!</v>
      </c>
      <c r="AL17" s="475" t="e">
        <f t="shared" si="23"/>
        <v>#NUM!</v>
      </c>
      <c r="AM17" s="475" t="e">
        <f t="shared" si="23"/>
        <v>#NUM!</v>
      </c>
      <c r="AN17" s="475" t="e">
        <f t="shared" si="23"/>
        <v>#NUM!</v>
      </c>
      <c r="AO17" s="475" t="e">
        <f t="shared" ref="AO17:BT17" si="24">IF(AO$5&lt;10*12,$F7-AO13,IF(AO$5=10*12,AO9,0))</f>
        <v>#NUM!</v>
      </c>
      <c r="AP17" s="475" t="e">
        <f t="shared" si="24"/>
        <v>#NUM!</v>
      </c>
      <c r="AQ17" s="475" t="e">
        <f t="shared" si="24"/>
        <v>#NUM!</v>
      </c>
      <c r="AR17" s="475" t="e">
        <f t="shared" si="24"/>
        <v>#NUM!</v>
      </c>
      <c r="AS17" s="475" t="e">
        <f t="shared" si="24"/>
        <v>#NUM!</v>
      </c>
      <c r="AT17" s="475" t="e">
        <f t="shared" si="24"/>
        <v>#NUM!</v>
      </c>
      <c r="AU17" s="475" t="e">
        <f t="shared" si="24"/>
        <v>#NUM!</v>
      </c>
      <c r="AV17" s="475" t="e">
        <f t="shared" si="24"/>
        <v>#NUM!</v>
      </c>
      <c r="AW17" s="475" t="e">
        <f t="shared" si="24"/>
        <v>#NUM!</v>
      </c>
      <c r="AX17" s="475" t="e">
        <f t="shared" si="24"/>
        <v>#NUM!</v>
      </c>
      <c r="AY17" s="475" t="e">
        <f t="shared" si="24"/>
        <v>#NUM!</v>
      </c>
      <c r="AZ17" s="475" t="e">
        <f t="shared" si="24"/>
        <v>#NUM!</v>
      </c>
      <c r="BA17" s="475" t="e">
        <f t="shared" si="24"/>
        <v>#NUM!</v>
      </c>
      <c r="BB17" s="475" t="e">
        <f t="shared" si="24"/>
        <v>#NUM!</v>
      </c>
      <c r="BC17" s="475" t="e">
        <f t="shared" si="24"/>
        <v>#NUM!</v>
      </c>
      <c r="BD17" s="475" t="e">
        <f t="shared" si="24"/>
        <v>#NUM!</v>
      </c>
      <c r="BE17" s="475" t="e">
        <f t="shared" si="24"/>
        <v>#NUM!</v>
      </c>
      <c r="BF17" s="475" t="e">
        <f t="shared" si="24"/>
        <v>#NUM!</v>
      </c>
      <c r="BG17" s="475" t="e">
        <f t="shared" si="24"/>
        <v>#NUM!</v>
      </c>
      <c r="BH17" s="475" t="e">
        <f t="shared" si="24"/>
        <v>#NUM!</v>
      </c>
      <c r="BI17" s="475" t="e">
        <f t="shared" si="24"/>
        <v>#NUM!</v>
      </c>
      <c r="BJ17" s="475" t="e">
        <f t="shared" si="24"/>
        <v>#NUM!</v>
      </c>
      <c r="BK17" s="475" t="e">
        <f t="shared" si="24"/>
        <v>#NUM!</v>
      </c>
      <c r="BL17" s="475" t="e">
        <f t="shared" si="24"/>
        <v>#NUM!</v>
      </c>
      <c r="BM17" s="475" t="e">
        <f t="shared" si="24"/>
        <v>#NUM!</v>
      </c>
      <c r="BN17" s="475" t="e">
        <f t="shared" si="24"/>
        <v>#NUM!</v>
      </c>
      <c r="BO17" s="475" t="e">
        <f t="shared" si="24"/>
        <v>#NUM!</v>
      </c>
      <c r="BP17" s="475" t="e">
        <f t="shared" si="24"/>
        <v>#NUM!</v>
      </c>
      <c r="BQ17" s="475" t="e">
        <f t="shared" si="24"/>
        <v>#NUM!</v>
      </c>
      <c r="BR17" s="475" t="e">
        <f t="shared" si="24"/>
        <v>#NUM!</v>
      </c>
      <c r="BS17" s="475" t="e">
        <f t="shared" si="24"/>
        <v>#NUM!</v>
      </c>
      <c r="BT17" s="475" t="e">
        <f t="shared" si="24"/>
        <v>#NUM!</v>
      </c>
      <c r="BU17" s="475" t="e">
        <f t="shared" ref="BU17:CZ17" si="25">IF(BU$5&lt;10*12,$F7-BU13,IF(BU$5=10*12,BU9,0))</f>
        <v>#NUM!</v>
      </c>
      <c r="BV17" s="475" t="e">
        <f t="shared" si="25"/>
        <v>#NUM!</v>
      </c>
      <c r="BW17" s="475" t="e">
        <f t="shared" si="25"/>
        <v>#NUM!</v>
      </c>
      <c r="BX17" s="475" t="e">
        <f t="shared" si="25"/>
        <v>#NUM!</v>
      </c>
      <c r="BY17" s="475" t="e">
        <f t="shared" si="25"/>
        <v>#NUM!</v>
      </c>
      <c r="BZ17" s="475" t="e">
        <f t="shared" si="25"/>
        <v>#NUM!</v>
      </c>
      <c r="CA17" s="475" t="e">
        <f t="shared" si="25"/>
        <v>#NUM!</v>
      </c>
      <c r="CB17" s="475" t="e">
        <f t="shared" si="25"/>
        <v>#NUM!</v>
      </c>
      <c r="CC17" s="475" t="e">
        <f t="shared" si="25"/>
        <v>#NUM!</v>
      </c>
      <c r="CD17" s="475" t="e">
        <f t="shared" si="25"/>
        <v>#NUM!</v>
      </c>
      <c r="CE17" s="475" t="e">
        <f t="shared" si="25"/>
        <v>#NUM!</v>
      </c>
      <c r="CF17" s="475" t="e">
        <f t="shared" si="25"/>
        <v>#NUM!</v>
      </c>
      <c r="CG17" s="475" t="e">
        <f t="shared" si="25"/>
        <v>#NUM!</v>
      </c>
      <c r="CH17" s="475" t="e">
        <f t="shared" si="25"/>
        <v>#NUM!</v>
      </c>
      <c r="CI17" s="475" t="e">
        <f t="shared" si="25"/>
        <v>#NUM!</v>
      </c>
      <c r="CJ17" s="475" t="e">
        <f t="shared" si="25"/>
        <v>#NUM!</v>
      </c>
      <c r="CK17" s="475" t="e">
        <f t="shared" si="25"/>
        <v>#NUM!</v>
      </c>
      <c r="CL17" s="475" t="e">
        <f t="shared" si="25"/>
        <v>#NUM!</v>
      </c>
      <c r="CM17" s="475" t="e">
        <f t="shared" si="25"/>
        <v>#NUM!</v>
      </c>
      <c r="CN17" s="475" t="e">
        <f t="shared" si="25"/>
        <v>#NUM!</v>
      </c>
      <c r="CO17" s="475" t="e">
        <f t="shared" si="25"/>
        <v>#NUM!</v>
      </c>
      <c r="CP17" s="475" t="e">
        <f t="shared" si="25"/>
        <v>#NUM!</v>
      </c>
      <c r="CQ17" s="475" t="e">
        <f t="shared" si="25"/>
        <v>#NUM!</v>
      </c>
      <c r="CR17" s="475" t="e">
        <f t="shared" si="25"/>
        <v>#NUM!</v>
      </c>
      <c r="CS17" s="475" t="e">
        <f t="shared" si="25"/>
        <v>#NUM!</v>
      </c>
      <c r="CT17" s="475" t="e">
        <f t="shared" si="25"/>
        <v>#NUM!</v>
      </c>
      <c r="CU17" s="475" t="e">
        <f t="shared" si="25"/>
        <v>#NUM!</v>
      </c>
      <c r="CV17" s="475" t="e">
        <f t="shared" si="25"/>
        <v>#NUM!</v>
      </c>
      <c r="CW17" s="475" t="e">
        <f t="shared" si="25"/>
        <v>#NUM!</v>
      </c>
      <c r="CX17" s="475" t="e">
        <f t="shared" si="25"/>
        <v>#NUM!</v>
      </c>
      <c r="CY17" s="475" t="e">
        <f t="shared" si="25"/>
        <v>#NUM!</v>
      </c>
      <c r="CZ17" s="475" t="e">
        <f t="shared" si="25"/>
        <v>#NUM!</v>
      </c>
      <c r="DA17" s="475" t="e">
        <f t="shared" ref="DA17:EJ17" si="26">IF(DA$5&lt;10*12,$F7-DA13,IF(DA$5=10*12,DA9,0))</f>
        <v>#NUM!</v>
      </c>
      <c r="DB17" s="475" t="e">
        <f t="shared" si="26"/>
        <v>#NUM!</v>
      </c>
      <c r="DC17" s="475" t="e">
        <f t="shared" si="26"/>
        <v>#NUM!</v>
      </c>
      <c r="DD17" s="475" t="e">
        <f t="shared" si="26"/>
        <v>#NUM!</v>
      </c>
      <c r="DE17" s="475" t="e">
        <f t="shared" si="26"/>
        <v>#NUM!</v>
      </c>
      <c r="DF17" s="475" t="e">
        <f t="shared" si="26"/>
        <v>#NUM!</v>
      </c>
      <c r="DG17" s="475" t="e">
        <f t="shared" si="26"/>
        <v>#NUM!</v>
      </c>
      <c r="DH17" s="475" t="e">
        <f t="shared" si="26"/>
        <v>#NUM!</v>
      </c>
      <c r="DI17" s="475" t="e">
        <f t="shared" si="26"/>
        <v>#NUM!</v>
      </c>
      <c r="DJ17" s="475" t="e">
        <f t="shared" si="26"/>
        <v>#NUM!</v>
      </c>
      <c r="DK17" s="475" t="e">
        <f t="shared" si="26"/>
        <v>#NUM!</v>
      </c>
      <c r="DL17" s="475" t="e">
        <f t="shared" si="26"/>
        <v>#NUM!</v>
      </c>
      <c r="DM17" s="475" t="e">
        <f t="shared" si="26"/>
        <v>#NUM!</v>
      </c>
      <c r="DN17" s="475" t="e">
        <f t="shared" si="26"/>
        <v>#NUM!</v>
      </c>
      <c r="DO17" s="475" t="e">
        <f t="shared" si="26"/>
        <v>#NUM!</v>
      </c>
      <c r="DP17" s="475" t="e">
        <f t="shared" si="26"/>
        <v>#NUM!</v>
      </c>
      <c r="DQ17" s="475" t="e">
        <f t="shared" si="26"/>
        <v>#NUM!</v>
      </c>
      <c r="DR17" s="475" t="e">
        <f t="shared" si="26"/>
        <v>#NUM!</v>
      </c>
      <c r="DS17" s="475" t="e">
        <f t="shared" si="26"/>
        <v>#NUM!</v>
      </c>
      <c r="DT17" s="475" t="e">
        <f t="shared" si="26"/>
        <v>#NUM!</v>
      </c>
      <c r="DU17" s="475" t="e">
        <f t="shared" si="26"/>
        <v>#NUM!</v>
      </c>
      <c r="DV17" s="475" t="e">
        <f t="shared" si="26"/>
        <v>#NUM!</v>
      </c>
      <c r="DW17" s="475" t="e">
        <f t="shared" si="26"/>
        <v>#NUM!</v>
      </c>
      <c r="DX17" s="475" t="e">
        <f t="shared" si="26"/>
        <v>#NUM!</v>
      </c>
      <c r="DY17" s="475">
        <f t="shared" si="26"/>
        <v>0</v>
      </c>
      <c r="DZ17" s="475">
        <f t="shared" si="26"/>
        <v>0</v>
      </c>
      <c r="EA17" s="475">
        <f t="shared" si="26"/>
        <v>0</v>
      </c>
      <c r="EB17" s="475">
        <f t="shared" si="26"/>
        <v>0</v>
      </c>
      <c r="EC17" s="475">
        <f t="shared" si="26"/>
        <v>0</v>
      </c>
      <c r="ED17" s="475">
        <f t="shared" si="26"/>
        <v>0</v>
      </c>
      <c r="EE17" s="475">
        <f t="shared" si="26"/>
        <v>0</v>
      </c>
      <c r="EF17" s="475">
        <f t="shared" si="26"/>
        <v>0</v>
      </c>
      <c r="EG17" s="475">
        <f t="shared" si="26"/>
        <v>0</v>
      </c>
      <c r="EH17" s="475">
        <f t="shared" si="26"/>
        <v>0</v>
      </c>
      <c r="EI17" s="475">
        <f t="shared" si="26"/>
        <v>0</v>
      </c>
      <c r="EJ17" s="475">
        <f t="shared" si="26"/>
        <v>0</v>
      </c>
    </row>
    <row r="18" spans="5:140" x14ac:dyDescent="0.25">
      <c r="E18" s="475"/>
      <c r="F18" s="473"/>
      <c r="H18" s="474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475"/>
      <c r="X18" s="475"/>
      <c r="Y18" s="475"/>
      <c r="Z18" s="475"/>
      <c r="AA18" s="475"/>
      <c r="AB18" s="475"/>
      <c r="AC18" s="475"/>
      <c r="AD18" s="475"/>
      <c r="AE18" s="475"/>
      <c r="AF18" s="475"/>
      <c r="AG18" s="475"/>
      <c r="AH18" s="475"/>
      <c r="AI18" s="475"/>
      <c r="AJ18" s="475"/>
      <c r="AK18" s="475"/>
      <c r="AL18" s="475"/>
      <c r="AM18" s="475"/>
      <c r="AN18" s="475"/>
      <c r="AO18" s="475"/>
      <c r="AP18" s="475"/>
      <c r="AQ18" s="475"/>
      <c r="AR18" s="475"/>
      <c r="AS18" s="475"/>
      <c r="AT18" s="475"/>
      <c r="AU18" s="475"/>
      <c r="AV18" s="475"/>
      <c r="AW18" s="475"/>
      <c r="AX18" s="475"/>
      <c r="AY18" s="475"/>
      <c r="AZ18" s="475"/>
      <c r="BA18" s="475"/>
      <c r="BB18" s="475"/>
      <c r="BC18" s="475"/>
      <c r="BD18" s="475"/>
      <c r="BE18" s="475"/>
      <c r="BF18" s="475"/>
      <c r="BG18" s="475"/>
      <c r="BH18" s="475"/>
      <c r="BI18" s="475"/>
      <c r="BJ18" s="475"/>
      <c r="BK18" s="475"/>
      <c r="BL18" s="475"/>
      <c r="BM18" s="475"/>
      <c r="BN18" s="475"/>
      <c r="BO18" s="475"/>
      <c r="BP18" s="475"/>
      <c r="BQ18" s="475"/>
      <c r="BR18" s="475"/>
      <c r="BS18" s="475"/>
      <c r="BT18" s="475"/>
      <c r="BU18" s="475"/>
      <c r="BV18" s="475"/>
      <c r="BW18" s="475"/>
      <c r="BX18" s="475"/>
      <c r="BY18" s="475"/>
      <c r="BZ18" s="475"/>
      <c r="CA18" s="475"/>
      <c r="CB18" s="475"/>
      <c r="CC18" s="475"/>
      <c r="CD18" s="475"/>
      <c r="CE18" s="475"/>
      <c r="CF18" s="475"/>
      <c r="CG18" s="475"/>
      <c r="CH18" s="475"/>
      <c r="CI18" s="475"/>
      <c r="CJ18" s="475"/>
      <c r="CK18" s="475"/>
      <c r="CL18" s="475"/>
      <c r="CM18" s="475"/>
      <c r="CN18" s="475"/>
      <c r="CO18" s="475"/>
      <c r="CP18" s="475"/>
      <c r="CQ18" s="475"/>
      <c r="CR18" s="475"/>
      <c r="CS18" s="475"/>
      <c r="CT18" s="475"/>
      <c r="CU18" s="475"/>
      <c r="CV18" s="475"/>
      <c r="CW18" s="475"/>
      <c r="CX18" s="475"/>
      <c r="CY18" s="475"/>
      <c r="CZ18" s="475"/>
      <c r="DA18" s="475"/>
      <c r="DB18" s="475"/>
      <c r="DC18" s="475"/>
      <c r="DD18" s="475"/>
      <c r="DE18" s="475"/>
      <c r="DF18" s="475"/>
      <c r="DG18" s="475"/>
      <c r="DH18" s="475"/>
      <c r="DI18" s="475"/>
      <c r="DJ18" s="475"/>
      <c r="DK18" s="475"/>
      <c r="DL18" s="475"/>
      <c r="DM18" s="475"/>
      <c r="DN18" s="475"/>
      <c r="DO18" s="475"/>
      <c r="DP18" s="475"/>
      <c r="DQ18" s="475"/>
      <c r="DR18" s="475"/>
      <c r="DS18" s="475"/>
      <c r="DT18" s="475"/>
      <c r="DU18" s="475"/>
      <c r="DV18" s="475"/>
      <c r="DW18" s="475"/>
      <c r="DX18" s="475"/>
      <c r="DY18" s="475"/>
      <c r="DZ18" s="475"/>
      <c r="EA18" s="475"/>
      <c r="EB18" s="475"/>
      <c r="EC18" s="475"/>
      <c r="ED18" s="475"/>
      <c r="EE18" s="475"/>
      <c r="EF18" s="475"/>
      <c r="EG18" s="475"/>
      <c r="EH18" s="475"/>
      <c r="EI18" s="475"/>
      <c r="EJ18" s="475"/>
    </row>
    <row r="19" spans="5:140" x14ac:dyDescent="0.25">
      <c r="E19" s="475"/>
      <c r="F19" s="473"/>
      <c r="H19" s="474" t="s">
        <v>317</v>
      </c>
      <c r="I19" s="475"/>
      <c r="J19" s="475"/>
      <c r="K19" s="475"/>
      <c r="L19" s="475"/>
      <c r="M19" s="475"/>
      <c r="N19" s="475"/>
      <c r="O19" s="475"/>
      <c r="P19" s="475"/>
      <c r="Q19" s="475"/>
      <c r="R19" s="475"/>
      <c r="S19" s="475"/>
      <c r="T19" s="475"/>
      <c r="U19" s="475"/>
      <c r="V19" s="475"/>
      <c r="W19" s="475"/>
      <c r="X19" s="475"/>
      <c r="Y19" s="475"/>
      <c r="Z19" s="475"/>
      <c r="AA19" s="475"/>
      <c r="AB19" s="475"/>
      <c r="AC19" s="475"/>
      <c r="AD19" s="475"/>
      <c r="AE19" s="475"/>
      <c r="AF19" s="475"/>
      <c r="AG19" s="475"/>
      <c r="AH19" s="475"/>
      <c r="AI19" s="475"/>
      <c r="AJ19" s="475"/>
      <c r="AK19" s="475"/>
      <c r="AL19" s="475"/>
      <c r="AM19" s="475"/>
      <c r="AN19" s="475"/>
      <c r="AO19" s="475"/>
      <c r="AP19" s="475"/>
      <c r="AQ19" s="475"/>
      <c r="AR19" s="475"/>
      <c r="AS19" s="475"/>
      <c r="AT19" s="475"/>
      <c r="AU19" s="475"/>
      <c r="AV19" s="475"/>
      <c r="AW19" s="475"/>
      <c r="AX19" s="475"/>
      <c r="AY19" s="475"/>
      <c r="AZ19" s="475"/>
      <c r="BA19" s="475"/>
      <c r="BB19" s="475"/>
      <c r="BC19" s="475"/>
      <c r="BD19" s="475"/>
      <c r="BE19" s="475"/>
      <c r="BF19" s="475"/>
      <c r="BG19" s="475"/>
      <c r="BH19" s="475"/>
      <c r="BI19" s="475"/>
      <c r="BJ19" s="475"/>
      <c r="BK19" s="475"/>
      <c r="BL19" s="475"/>
      <c r="BM19" s="475"/>
      <c r="BN19" s="475"/>
      <c r="BO19" s="475"/>
      <c r="BP19" s="475"/>
      <c r="BQ19" s="475"/>
      <c r="BR19" s="475"/>
      <c r="BS19" s="475"/>
      <c r="BT19" s="475"/>
      <c r="BU19" s="475"/>
      <c r="BV19" s="475"/>
      <c r="BW19" s="475"/>
      <c r="BX19" s="475"/>
      <c r="BY19" s="475"/>
      <c r="BZ19" s="475"/>
      <c r="CA19" s="475"/>
      <c r="CB19" s="475"/>
      <c r="CC19" s="475"/>
      <c r="CD19" s="475"/>
      <c r="CE19" s="475"/>
      <c r="CF19" s="475"/>
      <c r="CG19" s="475"/>
      <c r="CH19" s="475"/>
      <c r="CI19" s="475"/>
      <c r="CJ19" s="475"/>
      <c r="CK19" s="475"/>
      <c r="CL19" s="475"/>
      <c r="CM19" s="475"/>
      <c r="CN19" s="475"/>
      <c r="CO19" s="475"/>
      <c r="CP19" s="475"/>
      <c r="CQ19" s="475"/>
      <c r="CR19" s="475"/>
      <c r="CS19" s="475"/>
      <c r="CT19" s="475"/>
      <c r="CU19" s="475"/>
      <c r="CV19" s="475"/>
      <c r="CW19" s="475"/>
      <c r="CX19" s="475"/>
      <c r="CY19" s="475"/>
      <c r="CZ19" s="475"/>
      <c r="DA19" s="475"/>
      <c r="DB19" s="475"/>
      <c r="DC19" s="475"/>
      <c r="DD19" s="475"/>
      <c r="DE19" s="475"/>
      <c r="DF19" s="475"/>
      <c r="DG19" s="475"/>
      <c r="DH19" s="475"/>
      <c r="DI19" s="475"/>
      <c r="DJ19" s="475"/>
      <c r="DK19" s="475"/>
      <c r="DL19" s="475"/>
      <c r="DM19" s="475"/>
      <c r="DN19" s="475"/>
      <c r="DO19" s="475"/>
      <c r="DP19" s="475"/>
      <c r="DQ19" s="475"/>
      <c r="DR19" s="475"/>
      <c r="DS19" s="475"/>
      <c r="DT19" s="475"/>
      <c r="DU19" s="475"/>
      <c r="DV19" s="475"/>
      <c r="DW19" s="475"/>
      <c r="DX19" s="475"/>
      <c r="DY19" s="475"/>
      <c r="DZ19" s="475"/>
      <c r="EA19" s="475"/>
      <c r="EB19" s="475"/>
      <c r="EC19" s="475"/>
      <c r="ED19" s="475"/>
      <c r="EE19" s="475"/>
      <c r="EF19" s="475"/>
      <c r="EG19" s="475"/>
      <c r="EH19" s="475"/>
      <c r="EI19" s="475"/>
      <c r="EJ19" s="475"/>
    </row>
    <row r="20" spans="5:140" x14ac:dyDescent="0.25">
      <c r="E20" s="475"/>
      <c r="F20" s="473"/>
      <c r="H20" s="474" t="s">
        <v>312</v>
      </c>
      <c r="I20" s="475" t="str">
        <f t="shared" ref="I20:AN20" si="27">IFERROR(I16+I12,"")</f>
        <v/>
      </c>
      <c r="J20" s="475" t="str">
        <f t="shared" si="27"/>
        <v/>
      </c>
      <c r="K20" s="475" t="str">
        <f t="shared" si="27"/>
        <v/>
      </c>
      <c r="L20" s="475" t="str">
        <f t="shared" si="27"/>
        <v/>
      </c>
      <c r="M20" s="475" t="str">
        <f t="shared" si="27"/>
        <v/>
      </c>
      <c r="N20" s="475" t="str">
        <f t="shared" si="27"/>
        <v/>
      </c>
      <c r="O20" s="475" t="str">
        <f t="shared" si="27"/>
        <v/>
      </c>
      <c r="P20" s="475" t="str">
        <f t="shared" si="27"/>
        <v/>
      </c>
      <c r="Q20" s="475" t="str">
        <f t="shared" si="27"/>
        <v/>
      </c>
      <c r="R20" s="475" t="str">
        <f t="shared" si="27"/>
        <v/>
      </c>
      <c r="S20" s="475" t="str">
        <f t="shared" si="27"/>
        <v/>
      </c>
      <c r="T20" s="475" t="str">
        <f t="shared" si="27"/>
        <v/>
      </c>
      <c r="U20" s="475" t="str">
        <f t="shared" si="27"/>
        <v/>
      </c>
      <c r="V20" s="475" t="str">
        <f t="shared" si="27"/>
        <v/>
      </c>
      <c r="W20" s="475" t="str">
        <f t="shared" si="27"/>
        <v/>
      </c>
      <c r="X20" s="475" t="str">
        <f t="shared" si="27"/>
        <v/>
      </c>
      <c r="Y20" s="475" t="str">
        <f t="shared" si="27"/>
        <v/>
      </c>
      <c r="Z20" s="475" t="str">
        <f t="shared" si="27"/>
        <v/>
      </c>
      <c r="AA20" s="475" t="str">
        <f t="shared" si="27"/>
        <v/>
      </c>
      <c r="AB20" s="475" t="str">
        <f t="shared" si="27"/>
        <v/>
      </c>
      <c r="AC20" s="475" t="str">
        <f t="shared" si="27"/>
        <v/>
      </c>
      <c r="AD20" s="475" t="str">
        <f t="shared" si="27"/>
        <v/>
      </c>
      <c r="AE20" s="475" t="str">
        <f t="shared" si="27"/>
        <v/>
      </c>
      <c r="AF20" s="475" t="str">
        <f t="shared" si="27"/>
        <v/>
      </c>
      <c r="AG20" s="475" t="str">
        <f t="shared" si="27"/>
        <v/>
      </c>
      <c r="AH20" s="475" t="str">
        <f t="shared" si="27"/>
        <v/>
      </c>
      <c r="AI20" s="475" t="str">
        <f t="shared" si="27"/>
        <v/>
      </c>
      <c r="AJ20" s="475" t="str">
        <f t="shared" si="27"/>
        <v/>
      </c>
      <c r="AK20" s="475" t="str">
        <f t="shared" si="27"/>
        <v/>
      </c>
      <c r="AL20" s="475" t="str">
        <f t="shared" si="27"/>
        <v/>
      </c>
      <c r="AM20" s="475" t="str">
        <f t="shared" si="27"/>
        <v/>
      </c>
      <c r="AN20" s="475" t="str">
        <f t="shared" si="27"/>
        <v/>
      </c>
      <c r="AO20" s="475" t="str">
        <f t="shared" ref="AO20:BT20" si="28">IFERROR(AO16+AO12,"")</f>
        <v/>
      </c>
      <c r="AP20" s="475" t="str">
        <f t="shared" si="28"/>
        <v/>
      </c>
      <c r="AQ20" s="475" t="str">
        <f t="shared" si="28"/>
        <v/>
      </c>
      <c r="AR20" s="475" t="str">
        <f t="shared" si="28"/>
        <v/>
      </c>
      <c r="AS20" s="475" t="str">
        <f t="shared" si="28"/>
        <v/>
      </c>
      <c r="AT20" s="475" t="str">
        <f t="shared" si="28"/>
        <v/>
      </c>
      <c r="AU20" s="475" t="str">
        <f t="shared" si="28"/>
        <v/>
      </c>
      <c r="AV20" s="475" t="str">
        <f t="shared" si="28"/>
        <v/>
      </c>
      <c r="AW20" s="475" t="str">
        <f t="shared" si="28"/>
        <v/>
      </c>
      <c r="AX20" s="475" t="str">
        <f t="shared" si="28"/>
        <v/>
      </c>
      <c r="AY20" s="475" t="str">
        <f t="shared" si="28"/>
        <v/>
      </c>
      <c r="AZ20" s="475" t="str">
        <f t="shared" si="28"/>
        <v/>
      </c>
      <c r="BA20" s="475" t="str">
        <f t="shared" si="28"/>
        <v/>
      </c>
      <c r="BB20" s="475" t="str">
        <f t="shared" si="28"/>
        <v/>
      </c>
      <c r="BC20" s="475" t="str">
        <f t="shared" si="28"/>
        <v/>
      </c>
      <c r="BD20" s="475" t="str">
        <f t="shared" si="28"/>
        <v/>
      </c>
      <c r="BE20" s="475" t="str">
        <f t="shared" si="28"/>
        <v/>
      </c>
      <c r="BF20" s="475" t="str">
        <f t="shared" si="28"/>
        <v/>
      </c>
      <c r="BG20" s="475" t="str">
        <f t="shared" si="28"/>
        <v/>
      </c>
      <c r="BH20" s="475" t="str">
        <f t="shared" si="28"/>
        <v/>
      </c>
      <c r="BI20" s="475" t="str">
        <f t="shared" si="28"/>
        <v/>
      </c>
      <c r="BJ20" s="475" t="str">
        <f t="shared" si="28"/>
        <v/>
      </c>
      <c r="BK20" s="475" t="str">
        <f t="shared" si="28"/>
        <v/>
      </c>
      <c r="BL20" s="475" t="str">
        <f t="shared" si="28"/>
        <v/>
      </c>
      <c r="BM20" s="475" t="str">
        <f t="shared" si="28"/>
        <v/>
      </c>
      <c r="BN20" s="475" t="str">
        <f t="shared" si="28"/>
        <v/>
      </c>
      <c r="BO20" s="475" t="str">
        <f t="shared" si="28"/>
        <v/>
      </c>
      <c r="BP20" s="475" t="str">
        <f t="shared" si="28"/>
        <v/>
      </c>
      <c r="BQ20" s="475" t="str">
        <f t="shared" si="28"/>
        <v/>
      </c>
      <c r="BR20" s="475" t="str">
        <f t="shared" si="28"/>
        <v/>
      </c>
      <c r="BS20" s="475" t="str">
        <f t="shared" si="28"/>
        <v/>
      </c>
      <c r="BT20" s="475" t="str">
        <f t="shared" si="28"/>
        <v/>
      </c>
      <c r="BU20" s="475" t="str">
        <f t="shared" ref="BU20:CZ20" si="29">IFERROR(BU16+BU12,"")</f>
        <v/>
      </c>
      <c r="BV20" s="475" t="str">
        <f t="shared" si="29"/>
        <v/>
      </c>
      <c r="BW20" s="475" t="str">
        <f t="shared" si="29"/>
        <v/>
      </c>
      <c r="BX20" s="475" t="str">
        <f t="shared" si="29"/>
        <v/>
      </c>
      <c r="BY20" s="475" t="str">
        <f t="shared" si="29"/>
        <v/>
      </c>
      <c r="BZ20" s="475" t="str">
        <f t="shared" si="29"/>
        <v/>
      </c>
      <c r="CA20" s="475" t="str">
        <f t="shared" si="29"/>
        <v/>
      </c>
      <c r="CB20" s="475" t="str">
        <f t="shared" si="29"/>
        <v/>
      </c>
      <c r="CC20" s="475" t="str">
        <f t="shared" si="29"/>
        <v/>
      </c>
      <c r="CD20" s="475" t="str">
        <f t="shared" si="29"/>
        <v/>
      </c>
      <c r="CE20" s="475" t="str">
        <f t="shared" si="29"/>
        <v/>
      </c>
      <c r="CF20" s="475" t="str">
        <f t="shared" si="29"/>
        <v/>
      </c>
      <c r="CG20" s="475" t="str">
        <f t="shared" si="29"/>
        <v/>
      </c>
      <c r="CH20" s="475" t="str">
        <f t="shared" si="29"/>
        <v/>
      </c>
      <c r="CI20" s="475" t="str">
        <f t="shared" si="29"/>
        <v/>
      </c>
      <c r="CJ20" s="475" t="str">
        <f t="shared" si="29"/>
        <v/>
      </c>
      <c r="CK20" s="475" t="str">
        <f t="shared" si="29"/>
        <v/>
      </c>
      <c r="CL20" s="475" t="str">
        <f t="shared" si="29"/>
        <v/>
      </c>
      <c r="CM20" s="475" t="str">
        <f t="shared" si="29"/>
        <v/>
      </c>
      <c r="CN20" s="475" t="str">
        <f t="shared" si="29"/>
        <v/>
      </c>
      <c r="CO20" s="475" t="str">
        <f t="shared" si="29"/>
        <v/>
      </c>
      <c r="CP20" s="475" t="str">
        <f t="shared" si="29"/>
        <v/>
      </c>
      <c r="CQ20" s="475" t="str">
        <f t="shared" si="29"/>
        <v/>
      </c>
      <c r="CR20" s="475" t="str">
        <f t="shared" si="29"/>
        <v/>
      </c>
      <c r="CS20" s="475" t="str">
        <f t="shared" si="29"/>
        <v/>
      </c>
      <c r="CT20" s="475" t="str">
        <f t="shared" si="29"/>
        <v/>
      </c>
      <c r="CU20" s="475" t="str">
        <f t="shared" si="29"/>
        <v/>
      </c>
      <c r="CV20" s="475" t="str">
        <f t="shared" si="29"/>
        <v/>
      </c>
      <c r="CW20" s="475" t="str">
        <f t="shared" si="29"/>
        <v/>
      </c>
      <c r="CX20" s="475" t="str">
        <f t="shared" si="29"/>
        <v/>
      </c>
      <c r="CY20" s="475" t="str">
        <f t="shared" si="29"/>
        <v/>
      </c>
      <c r="CZ20" s="475" t="str">
        <f t="shared" si="29"/>
        <v/>
      </c>
      <c r="DA20" s="475" t="str">
        <f t="shared" ref="DA20:EJ20" si="30">IFERROR(DA16+DA12,"")</f>
        <v/>
      </c>
      <c r="DB20" s="475" t="str">
        <f t="shared" si="30"/>
        <v/>
      </c>
      <c r="DC20" s="475" t="str">
        <f t="shared" si="30"/>
        <v/>
      </c>
      <c r="DD20" s="475" t="str">
        <f t="shared" si="30"/>
        <v/>
      </c>
      <c r="DE20" s="475" t="str">
        <f t="shared" si="30"/>
        <v/>
      </c>
      <c r="DF20" s="475" t="str">
        <f t="shared" si="30"/>
        <v/>
      </c>
      <c r="DG20" s="475" t="str">
        <f t="shared" si="30"/>
        <v/>
      </c>
      <c r="DH20" s="475" t="str">
        <f t="shared" si="30"/>
        <v/>
      </c>
      <c r="DI20" s="475" t="str">
        <f t="shared" si="30"/>
        <v/>
      </c>
      <c r="DJ20" s="475" t="str">
        <f t="shared" si="30"/>
        <v/>
      </c>
      <c r="DK20" s="475" t="str">
        <f t="shared" si="30"/>
        <v/>
      </c>
      <c r="DL20" s="475" t="str">
        <f t="shared" si="30"/>
        <v/>
      </c>
      <c r="DM20" s="475" t="str">
        <f t="shared" si="30"/>
        <v/>
      </c>
      <c r="DN20" s="475" t="str">
        <f t="shared" si="30"/>
        <v/>
      </c>
      <c r="DO20" s="475" t="str">
        <f t="shared" si="30"/>
        <v/>
      </c>
      <c r="DP20" s="475" t="str">
        <f t="shared" si="30"/>
        <v/>
      </c>
      <c r="DQ20" s="475" t="str">
        <f t="shared" si="30"/>
        <v/>
      </c>
      <c r="DR20" s="475" t="str">
        <f t="shared" si="30"/>
        <v/>
      </c>
      <c r="DS20" s="475" t="str">
        <f t="shared" si="30"/>
        <v/>
      </c>
      <c r="DT20" s="475" t="str">
        <f t="shared" si="30"/>
        <v/>
      </c>
      <c r="DU20" s="475" t="str">
        <f t="shared" si="30"/>
        <v/>
      </c>
      <c r="DV20" s="475" t="str">
        <f t="shared" si="30"/>
        <v/>
      </c>
      <c r="DW20" s="475" t="str">
        <f t="shared" si="30"/>
        <v/>
      </c>
      <c r="DX20" s="475" t="str">
        <f t="shared" si="30"/>
        <v/>
      </c>
      <c r="DY20" s="475" t="str">
        <f t="shared" si="30"/>
        <v/>
      </c>
      <c r="DZ20" s="475" t="str">
        <f t="shared" si="30"/>
        <v/>
      </c>
      <c r="EA20" s="475" t="str">
        <f t="shared" si="30"/>
        <v/>
      </c>
      <c r="EB20" s="475" t="str">
        <f t="shared" si="30"/>
        <v/>
      </c>
      <c r="EC20" s="475" t="str">
        <f t="shared" si="30"/>
        <v/>
      </c>
      <c r="ED20" s="475" t="str">
        <f t="shared" si="30"/>
        <v/>
      </c>
      <c r="EE20" s="475" t="str">
        <f t="shared" si="30"/>
        <v/>
      </c>
      <c r="EF20" s="475" t="str">
        <f t="shared" si="30"/>
        <v/>
      </c>
      <c r="EG20" s="475" t="str">
        <f t="shared" si="30"/>
        <v/>
      </c>
      <c r="EH20" s="475" t="str">
        <f t="shared" si="30"/>
        <v/>
      </c>
      <c r="EI20" s="475" t="str">
        <f t="shared" si="30"/>
        <v/>
      </c>
      <c r="EJ20" s="475" t="str">
        <f t="shared" si="30"/>
        <v/>
      </c>
    </row>
    <row r="21" spans="5:140" x14ac:dyDescent="0.25">
      <c r="E21" s="475"/>
      <c r="F21" s="473"/>
      <c r="H21" s="474" t="s">
        <v>313</v>
      </c>
      <c r="I21" s="475" t="str">
        <f t="shared" ref="I21:AN21" si="31">IFERROR(I17+I13,"")</f>
        <v/>
      </c>
      <c r="J21" s="475" t="str">
        <f t="shared" si="31"/>
        <v/>
      </c>
      <c r="K21" s="475" t="str">
        <f t="shared" si="31"/>
        <v/>
      </c>
      <c r="L21" s="475" t="str">
        <f t="shared" si="31"/>
        <v/>
      </c>
      <c r="M21" s="475" t="str">
        <f t="shared" si="31"/>
        <v/>
      </c>
      <c r="N21" s="475" t="str">
        <f t="shared" si="31"/>
        <v/>
      </c>
      <c r="O21" s="475" t="str">
        <f t="shared" si="31"/>
        <v/>
      </c>
      <c r="P21" s="475" t="str">
        <f t="shared" si="31"/>
        <v/>
      </c>
      <c r="Q21" s="475" t="str">
        <f t="shared" si="31"/>
        <v/>
      </c>
      <c r="R21" s="475" t="str">
        <f t="shared" si="31"/>
        <v/>
      </c>
      <c r="S21" s="475" t="str">
        <f t="shared" si="31"/>
        <v/>
      </c>
      <c r="T21" s="475" t="str">
        <f t="shared" si="31"/>
        <v/>
      </c>
      <c r="U21" s="475" t="str">
        <f t="shared" si="31"/>
        <v/>
      </c>
      <c r="V21" s="475" t="str">
        <f t="shared" si="31"/>
        <v/>
      </c>
      <c r="W21" s="475" t="str">
        <f t="shared" si="31"/>
        <v/>
      </c>
      <c r="X21" s="475" t="str">
        <f t="shared" si="31"/>
        <v/>
      </c>
      <c r="Y21" s="475" t="str">
        <f t="shared" si="31"/>
        <v/>
      </c>
      <c r="Z21" s="475" t="str">
        <f t="shared" si="31"/>
        <v/>
      </c>
      <c r="AA21" s="475" t="str">
        <f t="shared" si="31"/>
        <v/>
      </c>
      <c r="AB21" s="475" t="str">
        <f t="shared" si="31"/>
        <v/>
      </c>
      <c r="AC21" s="475" t="str">
        <f t="shared" si="31"/>
        <v/>
      </c>
      <c r="AD21" s="475" t="str">
        <f t="shared" si="31"/>
        <v/>
      </c>
      <c r="AE21" s="475" t="str">
        <f t="shared" si="31"/>
        <v/>
      </c>
      <c r="AF21" s="475" t="str">
        <f t="shared" si="31"/>
        <v/>
      </c>
      <c r="AG21" s="475" t="str">
        <f t="shared" si="31"/>
        <v/>
      </c>
      <c r="AH21" s="475" t="str">
        <f t="shared" si="31"/>
        <v/>
      </c>
      <c r="AI21" s="475" t="str">
        <f t="shared" si="31"/>
        <v/>
      </c>
      <c r="AJ21" s="475" t="str">
        <f t="shared" si="31"/>
        <v/>
      </c>
      <c r="AK21" s="475" t="str">
        <f t="shared" si="31"/>
        <v/>
      </c>
      <c r="AL21" s="475" t="str">
        <f t="shared" si="31"/>
        <v/>
      </c>
      <c r="AM21" s="475" t="str">
        <f t="shared" si="31"/>
        <v/>
      </c>
      <c r="AN21" s="475" t="str">
        <f t="shared" si="31"/>
        <v/>
      </c>
      <c r="AO21" s="475" t="str">
        <f t="shared" ref="AO21:BT21" si="32">IFERROR(AO17+AO13,"")</f>
        <v/>
      </c>
      <c r="AP21" s="475" t="str">
        <f t="shared" si="32"/>
        <v/>
      </c>
      <c r="AQ21" s="475" t="str">
        <f t="shared" si="32"/>
        <v/>
      </c>
      <c r="AR21" s="475" t="str">
        <f t="shared" si="32"/>
        <v/>
      </c>
      <c r="AS21" s="475" t="str">
        <f t="shared" si="32"/>
        <v/>
      </c>
      <c r="AT21" s="475" t="str">
        <f t="shared" si="32"/>
        <v/>
      </c>
      <c r="AU21" s="475" t="str">
        <f t="shared" si="32"/>
        <v/>
      </c>
      <c r="AV21" s="475" t="str">
        <f t="shared" si="32"/>
        <v/>
      </c>
      <c r="AW21" s="475" t="str">
        <f t="shared" si="32"/>
        <v/>
      </c>
      <c r="AX21" s="475" t="str">
        <f t="shared" si="32"/>
        <v/>
      </c>
      <c r="AY21" s="475" t="str">
        <f t="shared" si="32"/>
        <v/>
      </c>
      <c r="AZ21" s="475" t="str">
        <f t="shared" si="32"/>
        <v/>
      </c>
      <c r="BA21" s="475" t="str">
        <f t="shared" si="32"/>
        <v/>
      </c>
      <c r="BB21" s="475" t="str">
        <f t="shared" si="32"/>
        <v/>
      </c>
      <c r="BC21" s="475" t="str">
        <f t="shared" si="32"/>
        <v/>
      </c>
      <c r="BD21" s="475" t="str">
        <f t="shared" si="32"/>
        <v/>
      </c>
      <c r="BE21" s="475" t="str">
        <f t="shared" si="32"/>
        <v/>
      </c>
      <c r="BF21" s="475" t="str">
        <f t="shared" si="32"/>
        <v/>
      </c>
      <c r="BG21" s="475" t="str">
        <f t="shared" si="32"/>
        <v/>
      </c>
      <c r="BH21" s="475" t="str">
        <f t="shared" si="32"/>
        <v/>
      </c>
      <c r="BI21" s="475" t="str">
        <f t="shared" si="32"/>
        <v/>
      </c>
      <c r="BJ21" s="475" t="str">
        <f t="shared" si="32"/>
        <v/>
      </c>
      <c r="BK21" s="475" t="str">
        <f t="shared" si="32"/>
        <v/>
      </c>
      <c r="BL21" s="475" t="str">
        <f t="shared" si="32"/>
        <v/>
      </c>
      <c r="BM21" s="475" t="str">
        <f t="shared" si="32"/>
        <v/>
      </c>
      <c r="BN21" s="475" t="str">
        <f t="shared" si="32"/>
        <v/>
      </c>
      <c r="BO21" s="475" t="str">
        <f t="shared" si="32"/>
        <v/>
      </c>
      <c r="BP21" s="475" t="str">
        <f t="shared" si="32"/>
        <v/>
      </c>
      <c r="BQ21" s="475" t="str">
        <f t="shared" si="32"/>
        <v/>
      </c>
      <c r="BR21" s="475" t="str">
        <f t="shared" si="32"/>
        <v/>
      </c>
      <c r="BS21" s="475" t="str">
        <f t="shared" si="32"/>
        <v/>
      </c>
      <c r="BT21" s="475" t="str">
        <f t="shared" si="32"/>
        <v/>
      </c>
      <c r="BU21" s="475" t="str">
        <f t="shared" ref="BU21:CZ21" si="33">IFERROR(BU17+BU13,"")</f>
        <v/>
      </c>
      <c r="BV21" s="475" t="str">
        <f t="shared" si="33"/>
        <v/>
      </c>
      <c r="BW21" s="475" t="str">
        <f t="shared" si="33"/>
        <v/>
      </c>
      <c r="BX21" s="475" t="str">
        <f t="shared" si="33"/>
        <v/>
      </c>
      <c r="BY21" s="475" t="str">
        <f t="shared" si="33"/>
        <v/>
      </c>
      <c r="BZ21" s="475" t="str">
        <f t="shared" si="33"/>
        <v/>
      </c>
      <c r="CA21" s="475" t="str">
        <f t="shared" si="33"/>
        <v/>
      </c>
      <c r="CB21" s="475" t="str">
        <f t="shared" si="33"/>
        <v/>
      </c>
      <c r="CC21" s="475" t="str">
        <f t="shared" si="33"/>
        <v/>
      </c>
      <c r="CD21" s="475" t="str">
        <f t="shared" si="33"/>
        <v/>
      </c>
      <c r="CE21" s="475" t="str">
        <f t="shared" si="33"/>
        <v/>
      </c>
      <c r="CF21" s="475" t="str">
        <f t="shared" si="33"/>
        <v/>
      </c>
      <c r="CG21" s="475" t="str">
        <f t="shared" si="33"/>
        <v/>
      </c>
      <c r="CH21" s="475" t="str">
        <f t="shared" si="33"/>
        <v/>
      </c>
      <c r="CI21" s="475" t="str">
        <f t="shared" si="33"/>
        <v/>
      </c>
      <c r="CJ21" s="475" t="str">
        <f t="shared" si="33"/>
        <v/>
      </c>
      <c r="CK21" s="475" t="str">
        <f t="shared" si="33"/>
        <v/>
      </c>
      <c r="CL21" s="475" t="str">
        <f t="shared" si="33"/>
        <v/>
      </c>
      <c r="CM21" s="475" t="str">
        <f t="shared" si="33"/>
        <v/>
      </c>
      <c r="CN21" s="475" t="str">
        <f t="shared" si="33"/>
        <v/>
      </c>
      <c r="CO21" s="475" t="str">
        <f t="shared" si="33"/>
        <v/>
      </c>
      <c r="CP21" s="475" t="str">
        <f t="shared" si="33"/>
        <v/>
      </c>
      <c r="CQ21" s="475" t="str">
        <f t="shared" si="33"/>
        <v/>
      </c>
      <c r="CR21" s="475" t="str">
        <f t="shared" si="33"/>
        <v/>
      </c>
      <c r="CS21" s="475" t="str">
        <f t="shared" si="33"/>
        <v/>
      </c>
      <c r="CT21" s="475" t="str">
        <f t="shared" si="33"/>
        <v/>
      </c>
      <c r="CU21" s="475" t="str">
        <f t="shared" si="33"/>
        <v/>
      </c>
      <c r="CV21" s="475" t="str">
        <f t="shared" si="33"/>
        <v/>
      </c>
      <c r="CW21" s="475" t="str">
        <f t="shared" si="33"/>
        <v/>
      </c>
      <c r="CX21" s="475" t="str">
        <f t="shared" si="33"/>
        <v/>
      </c>
      <c r="CY21" s="475" t="str">
        <f t="shared" si="33"/>
        <v/>
      </c>
      <c r="CZ21" s="475" t="str">
        <f t="shared" si="33"/>
        <v/>
      </c>
      <c r="DA21" s="475" t="str">
        <f t="shared" ref="DA21:EJ21" si="34">IFERROR(DA17+DA13,"")</f>
        <v/>
      </c>
      <c r="DB21" s="475" t="str">
        <f t="shared" si="34"/>
        <v/>
      </c>
      <c r="DC21" s="475" t="str">
        <f t="shared" si="34"/>
        <v/>
      </c>
      <c r="DD21" s="475" t="str">
        <f t="shared" si="34"/>
        <v/>
      </c>
      <c r="DE21" s="475" t="str">
        <f t="shared" si="34"/>
        <v/>
      </c>
      <c r="DF21" s="475" t="str">
        <f t="shared" si="34"/>
        <v/>
      </c>
      <c r="DG21" s="475" t="str">
        <f t="shared" si="34"/>
        <v/>
      </c>
      <c r="DH21" s="475" t="str">
        <f t="shared" si="34"/>
        <v/>
      </c>
      <c r="DI21" s="475" t="str">
        <f t="shared" si="34"/>
        <v/>
      </c>
      <c r="DJ21" s="475" t="str">
        <f t="shared" si="34"/>
        <v/>
      </c>
      <c r="DK21" s="475" t="str">
        <f t="shared" si="34"/>
        <v/>
      </c>
      <c r="DL21" s="475" t="str">
        <f t="shared" si="34"/>
        <v/>
      </c>
      <c r="DM21" s="475" t="str">
        <f t="shared" si="34"/>
        <v/>
      </c>
      <c r="DN21" s="475" t="str">
        <f t="shared" si="34"/>
        <v/>
      </c>
      <c r="DO21" s="475" t="str">
        <f t="shared" si="34"/>
        <v/>
      </c>
      <c r="DP21" s="475" t="str">
        <f t="shared" si="34"/>
        <v/>
      </c>
      <c r="DQ21" s="475" t="str">
        <f t="shared" si="34"/>
        <v/>
      </c>
      <c r="DR21" s="475" t="str">
        <f t="shared" si="34"/>
        <v/>
      </c>
      <c r="DS21" s="475" t="str">
        <f t="shared" si="34"/>
        <v/>
      </c>
      <c r="DT21" s="475" t="str">
        <f t="shared" si="34"/>
        <v/>
      </c>
      <c r="DU21" s="475" t="str">
        <f t="shared" si="34"/>
        <v/>
      </c>
      <c r="DV21" s="475" t="str">
        <f t="shared" si="34"/>
        <v/>
      </c>
      <c r="DW21" s="475" t="str">
        <f t="shared" si="34"/>
        <v/>
      </c>
      <c r="DX21" s="475" t="str">
        <f t="shared" si="34"/>
        <v/>
      </c>
      <c r="DY21" s="475" t="str">
        <f t="shared" si="34"/>
        <v/>
      </c>
      <c r="DZ21" s="475" t="str">
        <f t="shared" si="34"/>
        <v/>
      </c>
      <c r="EA21" s="475" t="str">
        <f t="shared" si="34"/>
        <v/>
      </c>
      <c r="EB21" s="475" t="str">
        <f t="shared" si="34"/>
        <v/>
      </c>
      <c r="EC21" s="475" t="str">
        <f t="shared" si="34"/>
        <v/>
      </c>
      <c r="ED21" s="475" t="str">
        <f t="shared" si="34"/>
        <v/>
      </c>
      <c r="EE21" s="475" t="str">
        <f t="shared" si="34"/>
        <v/>
      </c>
      <c r="EF21" s="475" t="str">
        <f t="shared" si="34"/>
        <v/>
      </c>
      <c r="EG21" s="475" t="str">
        <f t="shared" si="34"/>
        <v/>
      </c>
      <c r="EH21" s="475" t="str">
        <f t="shared" si="34"/>
        <v/>
      </c>
      <c r="EI21" s="475" t="str">
        <f t="shared" si="34"/>
        <v/>
      </c>
      <c r="EJ21" s="475" t="str">
        <f t="shared" si="34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C276-93FF-471A-A68C-97F82D69F2BB}">
  <sheetPr codeName="Sheet3"/>
  <dimension ref="C2:H97"/>
  <sheetViews>
    <sheetView topLeftCell="A93" workbookViewId="0">
      <selection activeCell="G38" sqref="G38"/>
    </sheetView>
  </sheetViews>
  <sheetFormatPr defaultColWidth="9" defaultRowHeight="14.25" x14ac:dyDescent="0.25"/>
  <cols>
    <col min="1" max="2" width="9" style="34"/>
    <col min="3" max="3" width="55" style="34" customWidth="1"/>
    <col min="4" max="6" width="9" style="34"/>
    <col min="7" max="7" width="11.140625" style="34" customWidth="1"/>
    <col min="8" max="16384" width="9" style="34"/>
  </cols>
  <sheetData>
    <row r="2" spans="3:8" x14ac:dyDescent="0.25">
      <c r="C2" s="60" t="s">
        <v>258</v>
      </c>
      <c r="G2" s="67" t="s">
        <v>318</v>
      </c>
      <c r="H2" s="67" t="s">
        <v>319</v>
      </c>
    </row>
    <row r="3" spans="3:8" x14ac:dyDescent="0.25">
      <c r="C3" s="34" t="s">
        <v>320</v>
      </c>
      <c r="G3" s="815">
        <v>0</v>
      </c>
      <c r="H3" s="814">
        <f>10*1.13</f>
        <v>11.299999999999999</v>
      </c>
    </row>
    <row r="4" spans="3:8" x14ac:dyDescent="0.25">
      <c r="C4" s="34" t="s">
        <v>321</v>
      </c>
      <c r="G4" s="815">
        <v>2000000</v>
      </c>
      <c r="H4" s="814">
        <f>7*1.13</f>
        <v>7.9099999999999993</v>
      </c>
    </row>
    <row r="5" spans="3:8" x14ac:dyDescent="0.25">
      <c r="C5" s="34" t="s">
        <v>322</v>
      </c>
      <c r="G5" s="815">
        <v>5000000</v>
      </c>
      <c r="H5" s="814">
        <f>5*1.13</f>
        <v>5.6499999999999995</v>
      </c>
    </row>
    <row r="6" spans="3:8" x14ac:dyDescent="0.25">
      <c r="C6" s="34" t="s">
        <v>323</v>
      </c>
      <c r="G6" s="815">
        <v>25000000</v>
      </c>
      <c r="H6" s="814">
        <f>4*1.13</f>
        <v>4.5199999999999996</v>
      </c>
    </row>
    <row r="7" spans="3:8" x14ac:dyDescent="0.25">
      <c r="C7" s="34" t="s">
        <v>324</v>
      </c>
      <c r="G7" s="815">
        <v>35000000</v>
      </c>
      <c r="H7" s="814">
        <f>3*1.13</f>
        <v>3.3899999999999997</v>
      </c>
    </row>
    <row r="8" spans="3:8" x14ac:dyDescent="0.25">
      <c r="G8" s="815">
        <v>100000000</v>
      </c>
      <c r="H8" s="814">
        <f>2*1.13</f>
        <v>2.2599999999999998</v>
      </c>
    </row>
    <row r="9" spans="3:8" x14ac:dyDescent="0.25">
      <c r="C9" s="60" t="s">
        <v>325</v>
      </c>
    </row>
    <row r="10" spans="3:8" x14ac:dyDescent="0.25">
      <c r="C10" s="34" t="s">
        <v>788</v>
      </c>
    </row>
    <row r="11" spans="3:8" x14ac:dyDescent="0.25">
      <c r="C11" s="34" t="s">
        <v>326</v>
      </c>
    </row>
    <row r="12" spans="3:8" x14ac:dyDescent="0.25">
      <c r="C12" s="34" t="s">
        <v>327</v>
      </c>
    </row>
    <row r="13" spans="3:8" x14ac:dyDescent="0.25">
      <c r="C13" s="34" t="s">
        <v>328</v>
      </c>
    </row>
    <row r="15" spans="3:8" x14ac:dyDescent="0.25">
      <c r="C15" s="60" t="s">
        <v>329</v>
      </c>
    </row>
    <row r="16" spans="3:8" x14ac:dyDescent="0.25">
      <c r="C16" s="34" t="s">
        <v>166</v>
      </c>
    </row>
    <row r="17" spans="3:3" x14ac:dyDescent="0.25">
      <c r="C17" s="34" t="s">
        <v>165</v>
      </c>
    </row>
    <row r="19" spans="3:3" x14ac:dyDescent="0.25">
      <c r="C19" s="60" t="s">
        <v>262</v>
      </c>
    </row>
    <row r="20" spans="3:3" x14ac:dyDescent="0.25">
      <c r="C20" s="34" t="s">
        <v>330</v>
      </c>
    </row>
    <row r="21" spans="3:3" x14ac:dyDescent="0.25">
      <c r="C21" s="34" t="s">
        <v>331</v>
      </c>
    </row>
    <row r="23" spans="3:3" x14ac:dyDescent="0.25">
      <c r="C23" s="60" t="s">
        <v>264</v>
      </c>
    </row>
    <row r="24" spans="3:3" x14ac:dyDescent="0.25">
      <c r="C24" s="34" t="s">
        <v>332</v>
      </c>
    </row>
    <row r="25" spans="3:3" x14ac:dyDescent="0.25">
      <c r="C25" s="34" t="s">
        <v>333</v>
      </c>
    </row>
    <row r="27" spans="3:3" x14ac:dyDescent="0.25">
      <c r="C27" s="60" t="s">
        <v>266</v>
      </c>
    </row>
    <row r="28" spans="3:3" x14ac:dyDescent="0.25">
      <c r="C28" s="34" t="s">
        <v>334</v>
      </c>
    </row>
    <row r="29" spans="3:3" x14ac:dyDescent="0.25">
      <c r="C29" s="34" t="s">
        <v>335</v>
      </c>
    </row>
    <row r="31" spans="3:3" x14ac:dyDescent="0.25">
      <c r="C31" s="60" t="s">
        <v>336</v>
      </c>
    </row>
    <row r="32" spans="3:3" x14ac:dyDescent="0.25">
      <c r="C32" s="34" t="s">
        <v>337</v>
      </c>
    </row>
    <row r="33" spans="3:3" x14ac:dyDescent="0.25">
      <c r="C33" s="34" t="s">
        <v>338</v>
      </c>
    </row>
    <row r="35" spans="3:3" x14ac:dyDescent="0.25">
      <c r="C35" s="60" t="s">
        <v>339</v>
      </c>
    </row>
    <row r="36" spans="3:3" x14ac:dyDescent="0.25">
      <c r="C36" s="34" t="s">
        <v>54</v>
      </c>
    </row>
    <row r="37" spans="3:3" x14ac:dyDescent="0.25">
      <c r="C37" s="34" t="s">
        <v>56</v>
      </c>
    </row>
    <row r="38" spans="3:3" x14ac:dyDescent="0.25">
      <c r="C38" s="34" t="s">
        <v>57</v>
      </c>
    </row>
    <row r="39" spans="3:3" x14ac:dyDescent="0.25">
      <c r="C39" s="34" t="s">
        <v>58</v>
      </c>
    </row>
    <row r="40" spans="3:3" x14ac:dyDescent="0.25">
      <c r="C40" s="189"/>
    </row>
    <row r="41" spans="3:3" x14ac:dyDescent="0.25">
      <c r="C41" s="60" t="s">
        <v>340</v>
      </c>
    </row>
    <row r="42" spans="3:3" x14ac:dyDescent="0.25">
      <c r="C42" s="34" t="s">
        <v>54</v>
      </c>
    </row>
    <row r="43" spans="3:3" x14ac:dyDescent="0.25">
      <c r="C43" s="34" t="s">
        <v>56</v>
      </c>
    </row>
    <row r="44" spans="3:3" x14ac:dyDescent="0.25">
      <c r="C44" s="34" t="s">
        <v>57</v>
      </c>
    </row>
    <row r="45" spans="3:3" x14ac:dyDescent="0.25">
      <c r="C45" s="34" t="s">
        <v>58</v>
      </c>
    </row>
    <row r="46" spans="3:3" x14ac:dyDescent="0.25">
      <c r="C46" s="189"/>
    </row>
    <row r="47" spans="3:3" x14ac:dyDescent="0.25">
      <c r="C47" s="60" t="s">
        <v>341</v>
      </c>
    </row>
    <row r="48" spans="3:3" x14ac:dyDescent="0.25">
      <c r="C48" s="34" t="s">
        <v>71</v>
      </c>
    </row>
    <row r="49" spans="3:3" x14ac:dyDescent="0.25">
      <c r="C49" s="34" t="s">
        <v>72</v>
      </c>
    </row>
    <row r="50" spans="3:3" x14ac:dyDescent="0.25">
      <c r="C50" s="34" t="s">
        <v>342</v>
      </c>
    </row>
    <row r="51" spans="3:3" x14ac:dyDescent="0.25">
      <c r="C51" s="34" t="s">
        <v>343</v>
      </c>
    </row>
    <row r="52" spans="3:3" x14ac:dyDescent="0.25">
      <c r="C52" s="34" t="s">
        <v>344</v>
      </c>
    </row>
    <row r="53" spans="3:3" x14ac:dyDescent="0.25">
      <c r="C53" s="34" t="s">
        <v>345</v>
      </c>
    </row>
    <row r="54" spans="3:3" x14ac:dyDescent="0.25">
      <c r="C54" s="34" t="s">
        <v>346</v>
      </c>
    </row>
    <row r="55" spans="3:3" x14ac:dyDescent="0.25">
      <c r="C55" s="34" t="s">
        <v>347</v>
      </c>
    </row>
    <row r="56" spans="3:3" x14ac:dyDescent="0.25">
      <c r="C56" s="34" t="s">
        <v>348</v>
      </c>
    </row>
    <row r="58" spans="3:3" x14ac:dyDescent="0.25">
      <c r="C58" s="60" t="s">
        <v>99</v>
      </c>
    </row>
    <row r="59" spans="3:3" x14ac:dyDescent="0.25">
      <c r="C59" s="1" t="s">
        <v>98</v>
      </c>
    </row>
    <row r="60" spans="3:3" x14ac:dyDescent="0.25">
      <c r="C60" s="1" t="s">
        <v>349</v>
      </c>
    </row>
    <row r="61" spans="3:3" x14ac:dyDescent="0.25">
      <c r="C61" s="1" t="s">
        <v>350</v>
      </c>
    </row>
    <row r="62" spans="3:3" x14ac:dyDescent="0.25">
      <c r="C62" s="1" t="s">
        <v>351</v>
      </c>
    </row>
    <row r="63" spans="3:3" x14ac:dyDescent="0.25">
      <c r="C63" s="1" t="s">
        <v>352</v>
      </c>
    </row>
    <row r="64" spans="3:3" x14ac:dyDescent="0.25">
      <c r="C64" s="1" t="s">
        <v>353</v>
      </c>
    </row>
    <row r="65" spans="3:3" x14ac:dyDescent="0.25">
      <c r="C65" s="1" t="s">
        <v>354</v>
      </c>
    </row>
    <row r="66" spans="3:3" x14ac:dyDescent="0.25">
      <c r="C66" s="1" t="s">
        <v>355</v>
      </c>
    </row>
    <row r="67" spans="3:3" x14ac:dyDescent="0.25">
      <c r="C67" s="1" t="s">
        <v>356</v>
      </c>
    </row>
    <row r="69" spans="3:3" x14ac:dyDescent="0.25">
      <c r="C69" s="60" t="s">
        <v>271</v>
      </c>
    </row>
    <row r="70" spans="3:3" x14ac:dyDescent="0.25">
      <c r="C70" s="34" t="s">
        <v>357</v>
      </c>
    </row>
    <row r="71" spans="3:3" x14ac:dyDescent="0.25">
      <c r="C71" s="34" t="s">
        <v>358</v>
      </c>
    </row>
    <row r="73" spans="3:3" x14ac:dyDescent="0.25">
      <c r="C73" s="60" t="s">
        <v>359</v>
      </c>
    </row>
    <row r="74" spans="3:3" x14ac:dyDescent="0.25">
      <c r="C74" s="34" t="s">
        <v>787</v>
      </c>
    </row>
    <row r="75" spans="3:3" x14ac:dyDescent="0.25">
      <c r="C75" s="34" t="s">
        <v>773</v>
      </c>
    </row>
    <row r="77" spans="3:3" x14ac:dyDescent="0.25">
      <c r="C77" s="60" t="s">
        <v>268</v>
      </c>
    </row>
    <row r="78" spans="3:3" x14ac:dyDescent="0.25">
      <c r="C78" s="34" t="s">
        <v>360</v>
      </c>
    </row>
    <row r="79" spans="3:3" x14ac:dyDescent="0.25">
      <c r="C79" s="34" t="s">
        <v>361</v>
      </c>
    </row>
    <row r="80" spans="3:3" x14ac:dyDescent="0.25">
      <c r="C80" s="34" t="s">
        <v>362</v>
      </c>
    </row>
    <row r="81" spans="3:3" x14ac:dyDescent="0.25">
      <c r="C81" s="34" t="s">
        <v>363</v>
      </c>
    </row>
    <row r="82" spans="3:3" x14ac:dyDescent="0.25">
      <c r="C82" s="34" t="s">
        <v>364</v>
      </c>
    </row>
    <row r="83" spans="3:3" x14ac:dyDescent="0.25">
      <c r="C83" s="34" t="s">
        <v>365</v>
      </c>
    </row>
    <row r="84" spans="3:3" x14ac:dyDescent="0.25">
      <c r="C84" s="34" t="s">
        <v>366</v>
      </c>
    </row>
    <row r="85" spans="3:3" x14ac:dyDescent="0.25">
      <c r="C85" s="34" t="s">
        <v>367</v>
      </c>
    </row>
    <row r="87" spans="3:3" x14ac:dyDescent="0.25">
      <c r="C87" s="60" t="s">
        <v>368</v>
      </c>
    </row>
    <row r="88" spans="3:3" x14ac:dyDescent="0.25">
      <c r="C88" s="34" t="s">
        <v>229</v>
      </c>
    </row>
    <row r="89" spans="3:3" x14ac:dyDescent="0.25">
      <c r="C89" s="34" t="s">
        <v>369</v>
      </c>
    </row>
    <row r="91" spans="3:3" x14ac:dyDescent="0.25">
      <c r="C91" s="60" t="s">
        <v>800</v>
      </c>
    </row>
    <row r="92" spans="3:3" x14ac:dyDescent="0.25">
      <c r="C92" s="1452">
        <v>5</v>
      </c>
    </row>
    <row r="93" spans="3:3" x14ac:dyDescent="0.25">
      <c r="C93" s="1452">
        <v>10</v>
      </c>
    </row>
    <row r="95" spans="3:3" x14ac:dyDescent="0.25">
      <c r="C95" s="60" t="s">
        <v>804</v>
      </c>
    </row>
    <row r="96" spans="3:3" x14ac:dyDescent="0.25">
      <c r="C96" s="1452" t="s">
        <v>805</v>
      </c>
    </row>
    <row r="97" spans="3:3" x14ac:dyDescent="0.25">
      <c r="C97" s="1452" t="s">
        <v>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B92F-2043-45E5-98B0-D288E55E0330}">
  <sheetPr codeName="Sheet5"/>
  <dimension ref="A1:U72"/>
  <sheetViews>
    <sheetView topLeftCell="A34" zoomScale="85" zoomScaleNormal="85" workbookViewId="0">
      <selection activeCell="E64" sqref="E64"/>
    </sheetView>
  </sheetViews>
  <sheetFormatPr defaultColWidth="9" defaultRowHeight="14.25" x14ac:dyDescent="0.25"/>
  <cols>
    <col min="1" max="1" width="33.5703125" style="34" bestFit="1" customWidth="1"/>
    <col min="2" max="2" width="15.140625" style="34" customWidth="1"/>
    <col min="3" max="3" width="9.7109375" style="34" customWidth="1"/>
    <col min="4" max="5" width="14.140625" style="34" customWidth="1"/>
    <col min="6" max="6" width="14.42578125" style="56" bestFit="1" customWidth="1"/>
    <col min="7" max="7" width="10" style="34" customWidth="1"/>
    <col min="8" max="9" width="9" style="34"/>
    <col min="10" max="10" width="9" style="355"/>
    <col min="11" max="19" width="9" style="34"/>
    <col min="20" max="20" width="30.28515625" style="34" bestFit="1" customWidth="1"/>
    <col min="21" max="21" width="25.7109375" style="34" bestFit="1" customWidth="1"/>
    <col min="22" max="16384" width="9" style="34"/>
  </cols>
  <sheetData>
    <row r="1" spans="1:21" x14ac:dyDescent="0.25">
      <c r="A1" s="60"/>
      <c r="B1" s="60"/>
      <c r="C1" s="60"/>
      <c r="D1" s="60"/>
      <c r="E1" s="60"/>
      <c r="F1" s="60"/>
      <c r="G1" s="60"/>
      <c r="H1" s="60"/>
      <c r="I1" s="66" t="s">
        <v>370</v>
      </c>
      <c r="J1" s="60"/>
      <c r="K1" s="60"/>
      <c r="L1" s="66" t="s">
        <v>370</v>
      </c>
      <c r="M1" s="60"/>
      <c r="N1" s="60"/>
      <c r="T1" s="1003" t="s">
        <v>520</v>
      </c>
      <c r="U1" s="1003"/>
    </row>
    <row r="2" spans="1:21" x14ac:dyDescent="0.25">
      <c r="A2" s="67" t="s">
        <v>260</v>
      </c>
      <c r="B2" s="67" t="s">
        <v>11</v>
      </c>
      <c r="C2" s="67" t="s">
        <v>371</v>
      </c>
      <c r="D2" s="67" t="s">
        <v>372</v>
      </c>
      <c r="E2" s="67" t="s">
        <v>373</v>
      </c>
      <c r="F2" s="66" t="s">
        <v>374</v>
      </c>
      <c r="G2" s="67" t="s">
        <v>178</v>
      </c>
      <c r="H2" s="67"/>
      <c r="I2" s="66" t="s">
        <v>375</v>
      </c>
      <c r="J2" s="67"/>
      <c r="K2" s="67"/>
      <c r="L2" s="66" t="s">
        <v>376</v>
      </c>
      <c r="M2" s="67"/>
      <c r="N2" s="67"/>
      <c r="P2" s="536" t="s">
        <v>377</v>
      </c>
      <c r="Q2" s="536" t="s">
        <v>378</v>
      </c>
      <c r="T2" s="66" t="s">
        <v>524</v>
      </c>
      <c r="U2" s="66" t="s">
        <v>525</v>
      </c>
    </row>
    <row r="3" spans="1:21" x14ac:dyDescent="0.25">
      <c r="A3" s="534" t="s">
        <v>788</v>
      </c>
      <c r="B3" s="534" t="s">
        <v>166</v>
      </c>
      <c r="C3" s="534" t="s">
        <v>330</v>
      </c>
      <c r="D3" s="535">
        <v>0</v>
      </c>
      <c r="E3" s="535">
        <v>0.65</v>
      </c>
      <c r="F3" s="59" t="e">
        <f>IF(AND(Economics!$F$203=PremiumBackEnd!A3,Economics!$F$204=PremiumBackEnd!B3,Economics!$F$205=C3,$B$70&lt;=PremiumBackEnd!E3,$B$70&gt;=PremiumBackEnd!D3),"X","")</f>
        <v>#DIV/0!</v>
      </c>
      <c r="G3" s="537">
        <v>2.5999999999999999E-2</v>
      </c>
      <c r="I3" s="59" t="str">
        <f>IF(AND(Economics!$F$203=PremiumBackEnd!A3,Economics!$AU$57=PremiumBackEnd!B3,Economics!$F$205=C3,Economics!$AU$74&lt;=E3,Economics!$AU$74&gt;=D3),"X","")</f>
        <v/>
      </c>
      <c r="J3" s="57">
        <f>+PremiumBackEnd!G3</f>
        <v>2.5999999999999999E-2</v>
      </c>
      <c r="L3" s="59" t="str">
        <f>IF(AND(Economics!$F$203=PremiumBackEnd!A3,Economics!$AV$57=PremiumBackEnd!B3,Economics!$F$205=PremiumBackEnd!C3,Economics!$AV$74&lt;=PremiumBackEnd!E3,Economics!$AV$74&gt;=PremiumBackEnd!D3),"X","")</f>
        <v/>
      </c>
      <c r="M3" s="57">
        <f>+PremiumBackEnd!G3</f>
        <v>2.5999999999999999E-2</v>
      </c>
      <c r="P3" s="529">
        <f>+G3-Q3</f>
        <v>8.4999999999999971E-3</v>
      </c>
      <c r="Q3" s="538">
        <v>1.7500000000000002E-2</v>
      </c>
      <c r="T3" s="539">
        <v>1</v>
      </c>
      <c r="U3" s="1421">
        <v>0.75</v>
      </c>
    </row>
    <row r="4" spans="1:21" x14ac:dyDescent="0.25">
      <c r="A4" s="534" t="s">
        <v>788</v>
      </c>
      <c r="B4" s="534" t="s">
        <v>166</v>
      </c>
      <c r="C4" s="534" t="s">
        <v>330</v>
      </c>
      <c r="D4" s="58">
        <f>+E3+0.00001</f>
        <v>0.65000999999999998</v>
      </c>
      <c r="E4" s="535">
        <v>0.7</v>
      </c>
      <c r="F4" s="59" t="e">
        <f>IF(AND(Economics!$F$203=PremiumBackEnd!A4,Economics!$F$204=PremiumBackEnd!B4,Economics!$F$205=C4,$B$70&lt;=PremiumBackEnd!E4,$B$70&gt;=PremiumBackEnd!D4),"X","")</f>
        <v>#DIV/0!</v>
      </c>
      <c r="G4" s="537">
        <v>2.8500000000000001E-2</v>
      </c>
      <c r="I4" s="59" t="str">
        <f>IF(AND(Economics!$F$203=PremiumBackEnd!A4,Economics!$AU$57=PremiumBackEnd!B4,Economics!$F$205=PremiumBackEnd!C4,Economics!$AU$74&lt;=PremiumBackEnd!E4,Economics!$AU$74&gt;=PremiumBackEnd!D4),"X","")</f>
        <v/>
      </c>
      <c r="J4" s="57">
        <f>+PremiumBackEnd!G4</f>
        <v>2.8500000000000001E-2</v>
      </c>
      <c r="L4" s="59" t="str">
        <f>IF(AND(Economics!$F$203=PremiumBackEnd!A4,Economics!$AV$57=PremiumBackEnd!B4,Economics!$F$205=PremiumBackEnd!C4,Economics!$AV$74&lt;=PremiumBackEnd!E4,Economics!$AV$74&gt;=PremiumBackEnd!D4),"X","")</f>
        <v/>
      </c>
      <c r="M4" s="57">
        <f>+PremiumBackEnd!G4</f>
        <v>2.8500000000000001E-2</v>
      </c>
      <c r="O4" s="364"/>
      <c r="P4" s="529">
        <f>+G4-Q4</f>
        <v>8.5000000000000006E-3</v>
      </c>
      <c r="Q4" s="538">
        <v>0.02</v>
      </c>
      <c r="T4" s="539">
        <v>2</v>
      </c>
      <c r="U4" s="1421">
        <v>0.7</v>
      </c>
    </row>
    <row r="5" spans="1:21" x14ac:dyDescent="0.25">
      <c r="A5" s="534" t="s">
        <v>788</v>
      </c>
      <c r="B5" s="534" t="s">
        <v>166</v>
      </c>
      <c r="C5" s="534" t="s">
        <v>330</v>
      </c>
      <c r="D5" s="58">
        <f>+E4+0.00001</f>
        <v>0.70000999999999991</v>
      </c>
      <c r="E5" s="535">
        <v>0.75</v>
      </c>
      <c r="F5" s="59" t="e">
        <f>IF(AND(Economics!$F$203=PremiumBackEnd!A5,Economics!$F$204=PremiumBackEnd!B5,Economics!$F$205=C5,$B$70&lt;=PremiumBackEnd!E5,$B$70&gt;=PremiumBackEnd!D5),"X","")</f>
        <v>#DIV/0!</v>
      </c>
      <c r="G5" s="537">
        <v>3.3500000000000002E-2</v>
      </c>
      <c r="I5" s="59" t="str">
        <f>IF(AND(Economics!$F$203=PremiumBackEnd!A5,Economics!$AU$57=PremiumBackEnd!B5,Economics!$F$205=PremiumBackEnd!C5,Economics!$AU$74&lt;=PremiumBackEnd!E5,Economics!$AU$74&gt;=PremiumBackEnd!D5),"X","")</f>
        <v/>
      </c>
      <c r="J5" s="57">
        <f>+PremiumBackEnd!G5</f>
        <v>3.3500000000000002E-2</v>
      </c>
      <c r="L5" s="59" t="str">
        <f>IF(AND(Economics!$F$203=PremiumBackEnd!A5,Economics!$AV$57=PremiumBackEnd!B5,Economics!$F$205=PremiumBackEnd!C5,Economics!$AV$74&lt;=PremiumBackEnd!E5,Economics!$AV$74&gt;=PremiumBackEnd!D5),"X","")</f>
        <v/>
      </c>
      <c r="M5" s="57">
        <f>+PremiumBackEnd!G5</f>
        <v>3.3500000000000002E-2</v>
      </c>
      <c r="O5" s="364"/>
      <c r="P5" s="529">
        <f>+G5-Q5</f>
        <v>8.5000000000000006E-3</v>
      </c>
      <c r="Q5" s="538">
        <v>2.5000000000000001E-2</v>
      </c>
      <c r="T5" s="539">
        <v>3</v>
      </c>
      <c r="U5" s="1421">
        <v>0.6</v>
      </c>
    </row>
    <row r="6" spans="1:21" x14ac:dyDescent="0.25">
      <c r="A6" s="534" t="s">
        <v>788</v>
      </c>
      <c r="B6" s="534" t="s">
        <v>166</v>
      </c>
      <c r="C6" s="534" t="s">
        <v>330</v>
      </c>
      <c r="D6" s="58">
        <f>+E5+0.00001</f>
        <v>0.75000999999999995</v>
      </c>
      <c r="E6" s="535">
        <v>0.8</v>
      </c>
      <c r="F6" s="59" t="e">
        <f>IF(AND(Economics!$F$203=PremiumBackEnd!A6,Economics!$F$204=PremiumBackEnd!B6,Economics!$F$205=C6,$B$70&lt;=PremiumBackEnd!E6,$B$70&gt;=PremiumBackEnd!D6),"X","")</f>
        <v>#DIV/0!</v>
      </c>
      <c r="G6" s="537">
        <v>4.3499999999999997E-2</v>
      </c>
      <c r="I6" s="59" t="str">
        <f>IF(AND(Economics!$F$203=PremiumBackEnd!A6,Economics!$AU$57=PremiumBackEnd!B6,Economics!$F$205=PremiumBackEnd!C6,Economics!$AU$74&lt;=PremiumBackEnd!E6,Economics!$AU$74&gt;=PremiumBackEnd!D6),"X","")</f>
        <v/>
      </c>
      <c r="J6" s="57">
        <f>+PremiumBackEnd!G6</f>
        <v>4.3499999999999997E-2</v>
      </c>
      <c r="L6" s="59" t="str">
        <f>IF(AND(Economics!$F$203=PremiumBackEnd!A6,Economics!$AV$57=PremiumBackEnd!B6,Economics!$F$205=PremiumBackEnd!C6,Economics!$AV$74&lt;=PremiumBackEnd!E6,Economics!$AV$74&gt;=PremiumBackEnd!D6),"X","")</f>
        <v/>
      </c>
      <c r="M6" s="57">
        <f>+PremiumBackEnd!G6</f>
        <v>4.3499999999999997E-2</v>
      </c>
      <c r="P6" s="529">
        <f>+G6-Q6</f>
        <v>8.4999999999999937E-3</v>
      </c>
      <c r="Q6" s="538">
        <v>3.5000000000000003E-2</v>
      </c>
      <c r="T6" s="539">
        <v>4</v>
      </c>
      <c r="U6" s="1421">
        <v>0.5</v>
      </c>
    </row>
    <row r="7" spans="1:21" x14ac:dyDescent="0.25">
      <c r="A7" s="534" t="s">
        <v>788</v>
      </c>
      <c r="B7" s="534" t="s">
        <v>166</v>
      </c>
      <c r="C7" s="534" t="s">
        <v>330</v>
      </c>
      <c r="D7" s="58">
        <f>+E6+0.00001</f>
        <v>0.80001</v>
      </c>
      <c r="E7" s="535">
        <v>0.85</v>
      </c>
      <c r="F7" s="59" t="e">
        <f>IF(AND(Economics!$F$203=PremiumBackEnd!A7,Economics!$F$204=PremiumBackEnd!B7,Economics!$F$205=C7,$B$70&lt;=PremiumBackEnd!E7,$B$70&gt;=PremiumBackEnd!D7),"X","")</f>
        <v>#DIV/0!</v>
      </c>
      <c r="G7" s="537">
        <v>5.3499999999999999E-2</v>
      </c>
      <c r="I7" s="59" t="str">
        <f>IF(AND(Economics!$F$203=PremiumBackEnd!A7,Economics!$AU$57=PremiumBackEnd!B7,Economics!$F$205=PremiumBackEnd!C7,Economics!$AU$74&lt;=PremiumBackEnd!E7,Economics!$AU$74&gt;=PremiumBackEnd!D7),"X","")</f>
        <v/>
      </c>
      <c r="J7" s="57">
        <f>+PremiumBackEnd!G7</f>
        <v>5.3499999999999999E-2</v>
      </c>
      <c r="L7" s="59" t="str">
        <f>IF(AND(Economics!$F$203=PremiumBackEnd!A7,Economics!$AV$57=PremiumBackEnd!B7,Economics!$F$205=PremiumBackEnd!C7,Economics!$AV$74&lt;=PremiumBackEnd!E7,Economics!$AV$74&gt;=PremiumBackEnd!D7),"X","")</f>
        <v/>
      </c>
      <c r="M7" s="57">
        <f>+PremiumBackEnd!G7</f>
        <v>5.3499999999999999E-2</v>
      </c>
      <c r="P7" s="529">
        <f>+G7-Q7</f>
        <v>8.5000000000000006E-3</v>
      </c>
      <c r="Q7" s="538">
        <v>4.4999999999999998E-2</v>
      </c>
      <c r="T7" s="539">
        <v>5</v>
      </c>
      <c r="U7" s="1421">
        <v>0.4</v>
      </c>
    </row>
    <row r="8" spans="1:21" x14ac:dyDescent="0.25">
      <c r="A8" s="533"/>
      <c r="B8" s="533"/>
      <c r="C8" s="533"/>
      <c r="G8" s="57"/>
      <c r="I8" s="56"/>
      <c r="J8" s="57"/>
      <c r="L8" s="56"/>
      <c r="M8" s="57"/>
      <c r="P8" s="529"/>
      <c r="Q8" s="529"/>
      <c r="T8" s="539">
        <v>6</v>
      </c>
      <c r="U8" s="1421">
        <v>0.3</v>
      </c>
    </row>
    <row r="9" spans="1:21" x14ac:dyDescent="0.25">
      <c r="A9" s="534" t="s">
        <v>326</v>
      </c>
      <c r="B9" s="534" t="s">
        <v>166</v>
      </c>
      <c r="C9" s="534" t="s">
        <v>330</v>
      </c>
      <c r="D9" s="535">
        <v>0</v>
      </c>
      <c r="E9" s="535">
        <v>0.65</v>
      </c>
      <c r="F9" s="59" t="e">
        <f>IF(AND(Economics!$F$203=PremiumBackEnd!A9,Economics!$F$204=PremiumBackEnd!B9,Economics!$F$205=C9,$B$70&lt;=PremiumBackEnd!E9,$B$70&gt;=PremiumBackEnd!D9),"X","")</f>
        <v>#DIV/0!</v>
      </c>
      <c r="G9" s="537">
        <v>3.3500000000000002E-2</v>
      </c>
      <c r="I9" s="59" t="str">
        <f>IF(AND(Economics!$F$203=PremiumBackEnd!A9,Economics!$AU$57=PremiumBackEnd!B9,Economics!$F$205=PremiumBackEnd!C9,Economics!$AU$74&lt;=PremiumBackEnd!E9,Economics!$AU$74&gt;=PremiumBackEnd!D9),"X","")</f>
        <v/>
      </c>
      <c r="J9" s="57">
        <f>+PremiumBackEnd!G9</f>
        <v>3.3500000000000002E-2</v>
      </c>
      <c r="L9" s="59" t="str">
        <f>IF(AND(Economics!$F$203=PremiumBackEnd!A9,Economics!$AV$57=PremiumBackEnd!B9,Economics!$F$205=PremiumBackEnd!C9,Economics!$AV$74&lt;=PremiumBackEnd!E9,Economics!$AV$74&gt;=PremiumBackEnd!D9),"X","")</f>
        <v/>
      </c>
      <c r="M9" s="57">
        <f>+PremiumBackEnd!G9</f>
        <v>3.3500000000000002E-2</v>
      </c>
      <c r="P9" s="529">
        <f>+G9-Q9</f>
        <v>8.5000000000000006E-3</v>
      </c>
      <c r="Q9" s="538">
        <v>2.5000000000000001E-2</v>
      </c>
      <c r="T9" s="539">
        <v>7</v>
      </c>
      <c r="U9" s="1421">
        <v>0.2</v>
      </c>
    </row>
    <row r="10" spans="1:21" x14ac:dyDescent="0.25">
      <c r="A10" s="534" t="s">
        <v>326</v>
      </c>
      <c r="B10" s="534" t="s">
        <v>166</v>
      </c>
      <c r="C10" s="534" t="s">
        <v>330</v>
      </c>
      <c r="D10" s="58">
        <f>+E9+0.00001</f>
        <v>0.65000999999999998</v>
      </c>
      <c r="E10" s="535">
        <v>0.7</v>
      </c>
      <c r="F10" s="59" t="e">
        <f>IF(AND(Economics!$F$203=PremiumBackEnd!A10,Economics!$F$204=PremiumBackEnd!B10,Economics!$F$205=C10,$B$70&lt;=PremiumBackEnd!E10,$B$70&gt;=PremiumBackEnd!D10),"X","")</f>
        <v>#DIV/0!</v>
      </c>
      <c r="G10" s="537">
        <v>3.85E-2</v>
      </c>
      <c r="I10" s="59" t="str">
        <f>IF(AND(Economics!$F$203=PremiumBackEnd!A10,Economics!$AU$57=PremiumBackEnd!B10,Economics!$F$205=PremiumBackEnd!C10,Economics!$AU$74&lt;=PremiumBackEnd!E10,Economics!$AU$74&gt;=PremiumBackEnd!D10),"X","")</f>
        <v/>
      </c>
      <c r="J10" s="57">
        <f>+PremiumBackEnd!G10</f>
        <v>3.85E-2</v>
      </c>
      <c r="L10" s="59" t="str">
        <f>IF(AND(Economics!$F$203=PremiumBackEnd!A10,Economics!$AV$57=PremiumBackEnd!B10,Economics!$F$205=PremiumBackEnd!C10,Economics!$AV$74&lt;=PremiumBackEnd!E10,Economics!$AV$74&gt;=PremiumBackEnd!D10),"X","")</f>
        <v/>
      </c>
      <c r="M10" s="57">
        <f>+PremiumBackEnd!G10</f>
        <v>3.85E-2</v>
      </c>
      <c r="P10" s="529">
        <f>+G10-Q10</f>
        <v>8.5000000000000006E-3</v>
      </c>
      <c r="Q10" s="538">
        <v>0.03</v>
      </c>
    </row>
    <row r="11" spans="1:21" x14ac:dyDescent="0.25">
      <c r="A11" s="534" t="s">
        <v>326</v>
      </c>
      <c r="B11" s="534" t="s">
        <v>166</v>
      </c>
      <c r="C11" s="534" t="s">
        <v>330</v>
      </c>
      <c r="D11" s="58">
        <f>+E10+0.00001</f>
        <v>0.70000999999999991</v>
      </c>
      <c r="E11" s="535">
        <v>0.75</v>
      </c>
      <c r="F11" s="59" t="e">
        <f>IF(AND(Economics!$F$203=PremiumBackEnd!A11,Economics!$F$204=PremiumBackEnd!B11,Economics!$F$205=C11,$B$70&lt;=PremiumBackEnd!E11,$B$70&gt;=PremiumBackEnd!D11),"X","")</f>
        <v>#DIV/0!</v>
      </c>
      <c r="G11" s="537">
        <v>4.3499999999999997E-2</v>
      </c>
      <c r="I11" s="59" t="str">
        <f>IF(AND(Economics!$F$203=PremiumBackEnd!A11,Economics!$AU$57=PremiumBackEnd!B11,Economics!$F$205=PremiumBackEnd!C11,Economics!$AU$74&lt;=PremiumBackEnd!E11,Economics!$AU$74&gt;=PremiumBackEnd!D11),"X","")</f>
        <v/>
      </c>
      <c r="J11" s="57">
        <f>+PremiumBackEnd!G11</f>
        <v>4.3499999999999997E-2</v>
      </c>
      <c r="L11" s="59" t="str">
        <f>IF(AND(Economics!$F$203=PremiumBackEnd!A11,Economics!$AV$57=PremiumBackEnd!B11,Economics!$F$205=PremiumBackEnd!C11,Economics!$AV$74&lt;=PremiumBackEnd!E11,Economics!$AV$74&gt;=PremiumBackEnd!D11),"X","")</f>
        <v/>
      </c>
      <c r="M11" s="57">
        <f>+PremiumBackEnd!G11</f>
        <v>4.3499999999999997E-2</v>
      </c>
      <c r="P11" s="529">
        <f>+G11-Q11</f>
        <v>8.4999999999999937E-3</v>
      </c>
      <c r="Q11" s="538">
        <v>3.5000000000000003E-2</v>
      </c>
    </row>
    <row r="12" spans="1:21" x14ac:dyDescent="0.25">
      <c r="A12" s="534" t="s">
        <v>326</v>
      </c>
      <c r="B12" s="534" t="s">
        <v>166</v>
      </c>
      <c r="C12" s="534" t="s">
        <v>330</v>
      </c>
      <c r="D12" s="58">
        <f>+E11+0.00001</f>
        <v>0.75000999999999995</v>
      </c>
      <c r="E12" s="535">
        <v>0.8</v>
      </c>
      <c r="F12" s="59" t="e">
        <f>IF(AND(Economics!$F$203=PremiumBackEnd!A12,Economics!$F$204=PremiumBackEnd!B12,Economics!$F$205=C12,$B$70&lt;=PremiumBackEnd!E12,$B$70&gt;=PremiumBackEnd!D12),"X","")</f>
        <v>#DIV/0!</v>
      </c>
      <c r="G12" s="537">
        <v>5.0999999999999997E-2</v>
      </c>
      <c r="I12" s="59" t="str">
        <f>IF(AND(Economics!$F$203=PremiumBackEnd!A12,Economics!$AU$57=PremiumBackEnd!B12,Economics!$F$205=PremiumBackEnd!C12,Economics!$AU$74&lt;=PremiumBackEnd!E12,Economics!$AU$74&gt;=PremiumBackEnd!D12),"X","")</f>
        <v/>
      </c>
      <c r="J12" s="57">
        <f>+PremiumBackEnd!G12</f>
        <v>5.0999999999999997E-2</v>
      </c>
      <c r="L12" s="59" t="str">
        <f>IF(AND(Economics!$F$203=PremiumBackEnd!A12,Economics!$AV$57=PremiumBackEnd!B12,Economics!$F$205=PremiumBackEnd!C12,Economics!$AV$74&lt;=PremiumBackEnd!E12,Economics!$AV$74&gt;=PremiumBackEnd!D12),"X","")</f>
        <v/>
      </c>
      <c r="M12" s="57">
        <f>+PremiumBackEnd!G12</f>
        <v>5.0999999999999997E-2</v>
      </c>
      <c r="P12" s="529">
        <f>+G12-Q12</f>
        <v>8.4999999999999937E-3</v>
      </c>
      <c r="Q12" s="538">
        <v>4.2500000000000003E-2</v>
      </c>
    </row>
    <row r="13" spans="1:21" x14ac:dyDescent="0.25">
      <c r="A13" s="534" t="s">
        <v>326</v>
      </c>
      <c r="B13" s="534" t="s">
        <v>166</v>
      </c>
      <c r="C13" s="534" t="s">
        <v>330</v>
      </c>
      <c r="D13" s="58">
        <f>+E12+0.00001</f>
        <v>0.80001</v>
      </c>
      <c r="E13" s="535">
        <v>0.85</v>
      </c>
      <c r="F13" s="59" t="e">
        <f>IF(AND(Economics!$F$203=PremiumBackEnd!A13,Economics!$F$204=PremiumBackEnd!B13,Economics!$F$205=C13,$B$70&lt;=PremiumBackEnd!E13,$B$70&gt;=PremiumBackEnd!D13),"X","")</f>
        <v>#DIV/0!</v>
      </c>
      <c r="G13" s="537">
        <v>6.0999999999999999E-2</v>
      </c>
      <c r="I13" s="59" t="str">
        <f>IF(AND(Economics!$F$203=PremiumBackEnd!A13,Economics!$AU$57=PremiumBackEnd!B13,Economics!$F$205=PremiumBackEnd!C13,Economics!$AU$74&lt;=PremiumBackEnd!E13,Economics!$AU$74&gt;=PremiumBackEnd!D13),"X","")</f>
        <v/>
      </c>
      <c r="J13" s="57">
        <f>+PremiumBackEnd!G13</f>
        <v>6.0999999999999999E-2</v>
      </c>
      <c r="L13" s="59" t="str">
        <f>IF(AND(Economics!$F$203=PremiumBackEnd!A13,Economics!$AV$57=PremiumBackEnd!B13,Economics!$F$205=PremiumBackEnd!C13,Economics!$AV$74&lt;=PremiumBackEnd!E13,Economics!$AV$74&gt;=PremiumBackEnd!D13),"X","")</f>
        <v/>
      </c>
      <c r="M13" s="57">
        <f>+PremiumBackEnd!G13</f>
        <v>6.0999999999999999E-2</v>
      </c>
      <c r="P13" s="529">
        <f>+G13-Q13</f>
        <v>8.5000000000000006E-3</v>
      </c>
      <c r="Q13" s="538">
        <v>5.2499999999999998E-2</v>
      </c>
    </row>
    <row r="14" spans="1:21" x14ac:dyDescent="0.25">
      <c r="A14" s="533"/>
      <c r="B14" s="533"/>
      <c r="C14" s="533"/>
      <c r="G14" s="57"/>
      <c r="I14" s="56"/>
      <c r="J14" s="57"/>
      <c r="L14" s="56"/>
      <c r="M14" s="57"/>
      <c r="P14" s="529"/>
      <c r="Q14" s="529"/>
    </row>
    <row r="15" spans="1:21" x14ac:dyDescent="0.25">
      <c r="A15" s="534" t="s">
        <v>327</v>
      </c>
      <c r="B15" s="534" t="s">
        <v>166</v>
      </c>
      <c r="C15" s="534" t="s">
        <v>330</v>
      </c>
      <c r="D15" s="535">
        <v>0</v>
      </c>
      <c r="E15" s="535">
        <v>0.65</v>
      </c>
      <c r="F15" s="59" t="e">
        <f>IF(AND(Economics!$F$203=PremiumBackEnd!A15,Economics!$F$204=PremiumBackEnd!B15,Economics!$F$205=C15,$B$70&lt;=PremiumBackEnd!E15,$B$70&gt;=PremiumBackEnd!D15),"X","")</f>
        <v>#DIV/0!</v>
      </c>
      <c r="G15" s="537">
        <v>3.3500000000000002E-2</v>
      </c>
      <c r="I15" s="59" t="str">
        <f>IF(AND(Economics!$F$203=PremiumBackEnd!A15,Economics!$AU$57=PremiumBackEnd!B15,Economics!$F$205=PremiumBackEnd!C15,Economics!$AU$74&lt;=PremiumBackEnd!E15,Economics!$AU$74&gt;=PremiumBackEnd!D15),"X","")</f>
        <v/>
      </c>
      <c r="J15" s="57">
        <f>+PremiumBackEnd!G15</f>
        <v>3.3500000000000002E-2</v>
      </c>
      <c r="L15" s="59" t="str">
        <f>IF(AND(Economics!$F$203=PremiumBackEnd!A15,Economics!$AV$57=PremiumBackEnd!B15,Economics!$F$205=PremiumBackEnd!C15,Economics!$AV$74&lt;=PremiumBackEnd!E15,Economics!$AV$74&gt;=PremiumBackEnd!D15),"X","")</f>
        <v/>
      </c>
      <c r="M15" s="57">
        <f>+PremiumBackEnd!G15</f>
        <v>3.3500000000000002E-2</v>
      </c>
      <c r="P15" s="529">
        <f>+G15-Q15</f>
        <v>8.5000000000000006E-3</v>
      </c>
      <c r="Q15" s="538">
        <v>2.5000000000000001E-2</v>
      </c>
    </row>
    <row r="16" spans="1:21" x14ac:dyDescent="0.25">
      <c r="A16" s="534" t="s">
        <v>327</v>
      </c>
      <c r="B16" s="534" t="s">
        <v>166</v>
      </c>
      <c r="C16" s="534" t="s">
        <v>330</v>
      </c>
      <c r="D16" s="58">
        <f>+E15+0.00001</f>
        <v>0.65000999999999998</v>
      </c>
      <c r="E16" s="535">
        <v>0.7</v>
      </c>
      <c r="F16" s="59" t="e">
        <f>IF(AND(Economics!$F$203=PremiumBackEnd!A16,Economics!$F$204=PremiumBackEnd!B16,Economics!$F$205=C16,$B$70&lt;=PremiumBackEnd!E16,$B$70&gt;=PremiumBackEnd!D16),"X","")</f>
        <v>#DIV/0!</v>
      </c>
      <c r="G16" s="537">
        <v>3.85E-2</v>
      </c>
      <c r="I16" s="59" t="str">
        <f>IF(AND(Economics!$F$203=PremiumBackEnd!A16,Economics!$AU$57=PremiumBackEnd!B16,Economics!$F$205=PremiumBackEnd!C16,Economics!$AU$74&lt;=PremiumBackEnd!E16,Economics!$AU$74&gt;=PremiumBackEnd!D16),"X","")</f>
        <v/>
      </c>
      <c r="J16" s="57">
        <f>+PremiumBackEnd!G16</f>
        <v>3.85E-2</v>
      </c>
      <c r="L16" s="59" t="str">
        <f>IF(AND(Economics!$F$203=PremiumBackEnd!A16,Economics!$AV$57=PremiumBackEnd!B16,Economics!$F$205=PremiumBackEnd!C16,Economics!$AV$74&lt;=PremiumBackEnd!E16,Economics!$AV$74&gt;=PremiumBackEnd!D16),"X","")</f>
        <v/>
      </c>
      <c r="M16" s="57">
        <f>+PremiumBackEnd!G16</f>
        <v>3.85E-2</v>
      </c>
      <c r="P16" s="529">
        <f>+G16-Q16</f>
        <v>8.5000000000000006E-3</v>
      </c>
      <c r="Q16" s="538">
        <v>0.03</v>
      </c>
    </row>
    <row r="17" spans="1:17" x14ac:dyDescent="0.25">
      <c r="A17" s="534" t="s">
        <v>327</v>
      </c>
      <c r="B17" s="534" t="s">
        <v>166</v>
      </c>
      <c r="C17" s="534" t="s">
        <v>330</v>
      </c>
      <c r="D17" s="58">
        <f>+E16+0.00001</f>
        <v>0.70000999999999991</v>
      </c>
      <c r="E17" s="535">
        <v>0.75</v>
      </c>
      <c r="F17" s="59" t="e">
        <f>IF(AND(Economics!$F$203=PremiumBackEnd!A17,Economics!$F$204=PremiumBackEnd!B17,Economics!$F$205=C17,$B$70&lt;=PremiumBackEnd!E17,$B$70&gt;=PremiumBackEnd!D17),"X","")</f>
        <v>#DIV/0!</v>
      </c>
      <c r="G17" s="537">
        <v>4.3499999999999997E-2</v>
      </c>
      <c r="I17" s="59" t="str">
        <f>IF(AND(Economics!$F$203=PremiumBackEnd!A17,Economics!$AU$57=PremiumBackEnd!B17,Economics!$F$205=PremiumBackEnd!C17,Economics!$AU$74&lt;=PremiumBackEnd!E17,Economics!$AU$74&gt;=PremiumBackEnd!D17),"X","")</f>
        <v/>
      </c>
      <c r="J17" s="57">
        <f>+PremiumBackEnd!G17</f>
        <v>4.3499999999999997E-2</v>
      </c>
      <c r="L17" s="59" t="str">
        <f>IF(AND(Economics!$F$203=PremiumBackEnd!A17,Economics!$AV$57=PremiumBackEnd!B17,Economics!$F$205=PremiumBackEnd!C17,Economics!$AV$74&lt;=PremiumBackEnd!E17,Economics!$AV$74&gt;=PremiumBackEnd!D17),"X","")</f>
        <v/>
      </c>
      <c r="M17" s="57">
        <f>+PremiumBackEnd!G17</f>
        <v>4.3499999999999997E-2</v>
      </c>
      <c r="P17" s="529">
        <f>+G17-Q17</f>
        <v>8.4999999999999937E-3</v>
      </c>
      <c r="Q17" s="538">
        <v>3.5000000000000003E-2</v>
      </c>
    </row>
    <row r="18" spans="1:17" x14ac:dyDescent="0.25">
      <c r="A18" s="534" t="s">
        <v>327</v>
      </c>
      <c r="B18" s="534" t="s">
        <v>166</v>
      </c>
      <c r="C18" s="534" t="s">
        <v>330</v>
      </c>
      <c r="D18" s="58">
        <f>+E17+0.00001</f>
        <v>0.75000999999999995</v>
      </c>
      <c r="E18" s="535">
        <v>0.8</v>
      </c>
      <c r="F18" s="59" t="e">
        <f>IF(AND(Economics!$F$203=PremiumBackEnd!A18,Economics!$F$204=PremiumBackEnd!B18,Economics!$F$205=C18,$B$70&lt;=PremiumBackEnd!E18,$B$70&gt;=PremiumBackEnd!D18),"X","")</f>
        <v>#DIV/0!</v>
      </c>
      <c r="G18" s="537">
        <v>5.0999999999999997E-2</v>
      </c>
      <c r="I18" s="59" t="str">
        <f>IF(AND(Economics!$F$203=PremiumBackEnd!A18,Economics!$AU$57=PremiumBackEnd!B18,Economics!$F$205=PremiumBackEnd!C18,Economics!$AU$74&lt;=PremiumBackEnd!E18,Economics!$AU$74&gt;=PremiumBackEnd!D18),"X","")</f>
        <v/>
      </c>
      <c r="J18" s="57">
        <f>+PremiumBackEnd!G18</f>
        <v>5.0999999999999997E-2</v>
      </c>
      <c r="L18" s="59" t="str">
        <f>IF(AND(Economics!$F$203=PremiumBackEnd!A18,Economics!$AV$57=PremiumBackEnd!B18,Economics!$F$205=PremiumBackEnd!C18,Economics!$AV$74&lt;=PremiumBackEnd!E18,Economics!$AV$74&gt;=PremiumBackEnd!D18),"X","")</f>
        <v/>
      </c>
      <c r="M18" s="57">
        <f>+PremiumBackEnd!G18</f>
        <v>5.0999999999999997E-2</v>
      </c>
      <c r="P18" s="529">
        <f>+G18-Q18</f>
        <v>8.4999999999999937E-3</v>
      </c>
      <c r="Q18" s="538">
        <v>4.2500000000000003E-2</v>
      </c>
    </row>
    <row r="19" spans="1:17" x14ac:dyDescent="0.25">
      <c r="A19" s="534" t="s">
        <v>327</v>
      </c>
      <c r="B19" s="534" t="s">
        <v>166</v>
      </c>
      <c r="C19" s="534" t="s">
        <v>330</v>
      </c>
      <c r="D19" s="58">
        <f>+E18+0.00001</f>
        <v>0.80001</v>
      </c>
      <c r="E19" s="535">
        <v>0.85</v>
      </c>
      <c r="F19" s="59" t="e">
        <f>IF(AND(Economics!$F$203=PremiumBackEnd!A19,Economics!$F$204=PremiumBackEnd!B19,Economics!$F$205=C19,$B$70&lt;=PremiumBackEnd!E19,$B$70&gt;=PremiumBackEnd!D19),"X","")</f>
        <v>#DIV/0!</v>
      </c>
      <c r="G19" s="537">
        <v>6.0999999999999999E-2</v>
      </c>
      <c r="I19" s="59" t="str">
        <f>IF(AND(Economics!$F$203=PremiumBackEnd!A19,Economics!$AU$57=PremiumBackEnd!B19,Economics!$F$205=PremiumBackEnd!C19,Economics!$AU$74&lt;=PremiumBackEnd!E19,Economics!$AU$74&gt;=PremiumBackEnd!D19),"X","")</f>
        <v/>
      </c>
      <c r="J19" s="57">
        <f>+PremiumBackEnd!G19</f>
        <v>6.0999999999999999E-2</v>
      </c>
      <c r="L19" s="59" t="str">
        <f>IF(AND(Economics!$F$203=PremiumBackEnd!A19,Economics!$AV$57=PremiumBackEnd!B19,Economics!$F$205=PremiumBackEnd!C19,Economics!$AV$74&lt;=PremiumBackEnd!E19,Economics!$AV$74&gt;=PremiumBackEnd!D19),"X","")</f>
        <v/>
      </c>
      <c r="M19" s="57">
        <f>+PremiumBackEnd!G19</f>
        <v>6.0999999999999999E-2</v>
      </c>
      <c r="P19" s="529">
        <f>+G19-Q19</f>
        <v>8.5000000000000006E-3</v>
      </c>
      <c r="Q19" s="538">
        <v>5.2499999999999998E-2</v>
      </c>
    </row>
    <row r="20" spans="1:17" x14ac:dyDescent="0.25">
      <c r="A20" s="533"/>
      <c r="B20" s="533"/>
      <c r="C20" s="533"/>
      <c r="G20" s="57"/>
      <c r="I20" s="56"/>
      <c r="J20" s="57"/>
      <c r="L20" s="56"/>
      <c r="M20" s="57"/>
      <c r="P20" s="529"/>
      <c r="Q20" s="529"/>
    </row>
    <row r="21" spans="1:17" x14ac:dyDescent="0.25">
      <c r="A21" s="534" t="s">
        <v>328</v>
      </c>
      <c r="B21" s="534" t="s">
        <v>166</v>
      </c>
      <c r="C21" s="534" t="s">
        <v>330</v>
      </c>
      <c r="D21" s="535">
        <v>0</v>
      </c>
      <c r="E21" s="535">
        <v>0.65</v>
      </c>
      <c r="F21" s="59" t="e">
        <f>IF(AND(Economics!$F$203=PremiumBackEnd!A21,Economics!$F$204=PremiumBackEnd!B21,Economics!$F$205=C21,$B$70&lt;=PremiumBackEnd!E21,$B$70&gt;=PremiumBackEnd!D21),"X","")</f>
        <v>#DIV/0!</v>
      </c>
      <c r="G21" s="537">
        <v>4.1000000000000002E-2</v>
      </c>
      <c r="I21" s="59" t="str">
        <f>IF(AND(Economics!$F$203=PremiumBackEnd!A21,Economics!$AU$57=PremiumBackEnd!B21,Economics!$F$205=PremiumBackEnd!C21,Economics!$AU$74&lt;=PremiumBackEnd!E21,Economics!$AU$74&gt;=PremiumBackEnd!D21),"X","")</f>
        <v/>
      </c>
      <c r="J21" s="57">
        <f>+PremiumBackEnd!G21</f>
        <v>4.1000000000000002E-2</v>
      </c>
      <c r="L21" s="59" t="str">
        <f>IF(AND(Economics!$F$203=PremiumBackEnd!A21,Economics!$AV$57=PremiumBackEnd!B21,Economics!$F$205=PremiumBackEnd!C21,Economics!$AV$74&lt;=PremiumBackEnd!E21,Economics!$AV$74&gt;=PremiumBackEnd!D21),"X","")</f>
        <v/>
      </c>
      <c r="M21" s="57">
        <f>+PremiumBackEnd!G21</f>
        <v>4.1000000000000002E-2</v>
      </c>
      <c r="P21" s="529">
        <f>+G21-Q21</f>
        <v>8.5000000000000006E-3</v>
      </c>
      <c r="Q21" s="538">
        <v>3.2500000000000001E-2</v>
      </c>
    </row>
    <row r="22" spans="1:17" x14ac:dyDescent="0.25">
      <c r="A22" s="534" t="s">
        <v>328</v>
      </c>
      <c r="B22" s="534" t="s">
        <v>166</v>
      </c>
      <c r="C22" s="534" t="s">
        <v>330</v>
      </c>
      <c r="D22" s="58">
        <f>+E21+0.00001</f>
        <v>0.65000999999999998</v>
      </c>
      <c r="E22" s="535">
        <v>0.7</v>
      </c>
      <c r="F22" s="59" t="e">
        <f>IF(AND(Economics!$F$203=PremiumBackEnd!A22,Economics!$F$204=PremiumBackEnd!B22,Economics!$F$205=C22,$B$70&lt;=PremiumBackEnd!E22,$B$70&gt;=PremiumBackEnd!D22),"X","")</f>
        <v>#DIV/0!</v>
      </c>
      <c r="G22" s="537">
        <v>4.5999999999999999E-2</v>
      </c>
      <c r="I22" s="59" t="str">
        <f>IF(AND(Economics!$F$203=PremiumBackEnd!A22,Economics!$AU$57=PremiumBackEnd!B22,Economics!$F$205=PremiumBackEnd!C22,Economics!$AU$74&lt;=PremiumBackEnd!E22,Economics!$AU$74&gt;=PremiumBackEnd!D22),"X","")</f>
        <v/>
      </c>
      <c r="J22" s="57">
        <f>+PremiumBackEnd!G22</f>
        <v>4.5999999999999999E-2</v>
      </c>
      <c r="L22" s="59" t="str">
        <f>IF(AND(Economics!$F$203=PremiumBackEnd!A22,Economics!$AV$57=PremiumBackEnd!B22,Economics!$F$205=PremiumBackEnd!C22,Economics!$AV$74&lt;=PremiumBackEnd!E22,Economics!$AV$74&gt;=PremiumBackEnd!D22),"X","")</f>
        <v/>
      </c>
      <c r="M22" s="57">
        <f>+PremiumBackEnd!G22</f>
        <v>4.5999999999999999E-2</v>
      </c>
      <c r="P22" s="529">
        <f>+G22-Q22</f>
        <v>8.5000000000000006E-3</v>
      </c>
      <c r="Q22" s="538">
        <v>3.7499999999999999E-2</v>
      </c>
    </row>
    <row r="23" spans="1:17" x14ac:dyDescent="0.25">
      <c r="A23" s="534" t="s">
        <v>328</v>
      </c>
      <c r="B23" s="534" t="s">
        <v>166</v>
      </c>
      <c r="C23" s="534" t="s">
        <v>330</v>
      </c>
      <c r="D23" s="58">
        <f>+E22+0.00001</f>
        <v>0.70000999999999991</v>
      </c>
      <c r="E23" s="535">
        <v>0.75</v>
      </c>
      <c r="F23" s="59" t="e">
        <f>IF(AND(Economics!$F$203=PremiumBackEnd!A23,Economics!$F$204=PremiumBackEnd!B23,Economics!$F$205=C23,$B$70&lt;=PremiumBackEnd!E23,$B$70&gt;=PremiumBackEnd!D23),"X","")</f>
        <v>#DIV/0!</v>
      </c>
      <c r="G23" s="537">
        <v>5.0999999999999997E-2</v>
      </c>
      <c r="I23" s="59" t="str">
        <f>IF(AND(Economics!$F$203=PremiumBackEnd!A23,Economics!$AU$57=PremiumBackEnd!B23,Economics!$F$205=PremiumBackEnd!C23,Economics!$AU$74&lt;=PremiumBackEnd!E23,Economics!$AU$74&gt;=PremiumBackEnd!D23),"X","")</f>
        <v/>
      </c>
      <c r="J23" s="57">
        <f>+PremiumBackEnd!G23</f>
        <v>5.0999999999999997E-2</v>
      </c>
      <c r="L23" s="59" t="str">
        <f>IF(AND(Economics!$F$203=PremiumBackEnd!A23,Economics!$AV$57=PremiumBackEnd!B23,Economics!$F$205=PremiumBackEnd!C23,Economics!$AV$74&lt;=PremiumBackEnd!E23,Economics!$AV$74&gt;=PremiumBackEnd!D23),"X","")</f>
        <v/>
      </c>
      <c r="M23" s="57">
        <f>+PremiumBackEnd!G23</f>
        <v>5.0999999999999997E-2</v>
      </c>
      <c r="P23" s="529">
        <f>+G23-Q23</f>
        <v>8.4999999999999937E-3</v>
      </c>
      <c r="Q23" s="538">
        <v>4.2500000000000003E-2</v>
      </c>
    </row>
    <row r="24" spans="1:17" x14ac:dyDescent="0.25">
      <c r="A24" s="534" t="s">
        <v>328</v>
      </c>
      <c r="B24" s="534" t="s">
        <v>166</v>
      </c>
      <c r="C24" s="534" t="s">
        <v>330</v>
      </c>
      <c r="D24" s="58">
        <f>+E23+0.00001</f>
        <v>0.75000999999999995</v>
      </c>
      <c r="E24" s="535">
        <v>0.8</v>
      </c>
      <c r="F24" s="59" t="e">
        <f>IF(AND(Economics!$F$203=PremiumBackEnd!A24,Economics!$F$204=PremiumBackEnd!B24,Economics!$F$205=C24,$B$70&lt;=PremiumBackEnd!E24,$B$70&gt;=PremiumBackEnd!D24),"X","")</f>
        <v>#DIV/0!</v>
      </c>
      <c r="G24" s="537">
        <v>5.8500000000000003E-2</v>
      </c>
      <c r="I24" s="59" t="str">
        <f>IF(AND(Economics!$F$203=PremiumBackEnd!A24,Economics!$AU$57=PremiumBackEnd!B24,Economics!$F$205=PremiumBackEnd!C24,Economics!$AU$74&lt;=PremiumBackEnd!E24,Economics!$AU$74&gt;=PremiumBackEnd!D24),"X","")</f>
        <v/>
      </c>
      <c r="J24" s="57">
        <f>+PremiumBackEnd!G24</f>
        <v>5.8500000000000003E-2</v>
      </c>
      <c r="L24" s="59" t="str">
        <f>IF(AND(Economics!$F$203=PremiumBackEnd!A24,Economics!$AV$57=PremiumBackEnd!B24,Economics!$F$205=PremiumBackEnd!C24,Economics!$AV$74&lt;=PremiumBackEnd!E24,Economics!$AV$74&gt;=PremiumBackEnd!D24),"X","")</f>
        <v/>
      </c>
      <c r="M24" s="57">
        <f>+PremiumBackEnd!G24</f>
        <v>5.8500000000000003E-2</v>
      </c>
      <c r="P24" s="529">
        <f>+G24-Q24</f>
        <v>8.5000000000000006E-3</v>
      </c>
      <c r="Q24" s="538">
        <v>0.05</v>
      </c>
    </row>
    <row r="25" spans="1:17" x14ac:dyDescent="0.25">
      <c r="A25" s="534" t="s">
        <v>328</v>
      </c>
      <c r="B25" s="534" t="s">
        <v>166</v>
      </c>
      <c r="C25" s="534" t="s">
        <v>330</v>
      </c>
      <c r="D25" s="58">
        <f>+E24+0.00001</f>
        <v>0.80001</v>
      </c>
      <c r="E25" s="535">
        <v>0.85</v>
      </c>
      <c r="F25" s="59" t="e">
        <f>IF(AND(Economics!$F$203=PremiumBackEnd!A25,Economics!$F$204=PremiumBackEnd!B25,Economics!$F$205=C25,$B$70&lt;=PremiumBackEnd!E25,$B$70&gt;=PremiumBackEnd!D25),"X","")</f>
        <v>#DIV/0!</v>
      </c>
      <c r="G25" s="537">
        <v>6.6000000000000003E-2</v>
      </c>
      <c r="I25" s="59" t="str">
        <f>IF(AND(Economics!$F$203=PremiumBackEnd!A25,Economics!$AU$57=PremiumBackEnd!B25,Economics!$F$205=PremiumBackEnd!C25,Economics!$AU$74&lt;=PremiumBackEnd!E25,Economics!$AU$74&gt;=PremiumBackEnd!D25),"X","")</f>
        <v/>
      </c>
      <c r="J25" s="57">
        <f>+PremiumBackEnd!G25</f>
        <v>6.6000000000000003E-2</v>
      </c>
      <c r="L25" s="59" t="str">
        <f>IF(AND(Economics!$F$203=PremiumBackEnd!A25,Economics!$AV$57=PremiumBackEnd!B25,Economics!$F$205=PremiumBackEnd!C25,Economics!$AV$74&lt;=PremiumBackEnd!E25,Economics!$AV$74&gt;=PremiumBackEnd!D25),"X","")</f>
        <v/>
      </c>
      <c r="M25" s="57">
        <f>+PremiumBackEnd!G25</f>
        <v>6.6000000000000003E-2</v>
      </c>
      <c r="P25" s="529">
        <f>+G25-Q25</f>
        <v>8.5000000000000006E-3</v>
      </c>
      <c r="Q25" s="538">
        <v>5.7500000000000002E-2</v>
      </c>
    </row>
    <row r="26" spans="1:17" x14ac:dyDescent="0.25">
      <c r="A26" s="533"/>
      <c r="B26" s="533"/>
      <c r="C26" s="533"/>
      <c r="G26" s="57"/>
      <c r="I26" s="56"/>
      <c r="J26" s="57"/>
      <c r="L26" s="56"/>
      <c r="M26" s="57"/>
      <c r="P26" s="529"/>
      <c r="Q26" s="529"/>
    </row>
    <row r="27" spans="1:17" x14ac:dyDescent="0.25">
      <c r="A27" s="534" t="s">
        <v>788</v>
      </c>
      <c r="B27" s="534" t="s">
        <v>166</v>
      </c>
      <c r="C27" s="534" t="s">
        <v>331</v>
      </c>
      <c r="D27" s="535">
        <v>0</v>
      </c>
      <c r="E27" s="535">
        <v>0.65</v>
      </c>
      <c r="F27" s="59" t="e">
        <f>IF(AND(Economics!$F$203=PremiumBackEnd!A27,Economics!$F$204=PremiumBackEnd!B27,Economics!$F$205=C27,$B$70&lt;=PremiumBackEnd!E27,$B$70&gt;=PremiumBackEnd!D27),"X","")</f>
        <v>#DIV/0!</v>
      </c>
      <c r="G27" s="537">
        <v>3.2500000000000001E-2</v>
      </c>
      <c r="I27" s="59" t="str">
        <f>IF(AND(Economics!$F$203=PremiumBackEnd!A27,Economics!$AU$57=PremiumBackEnd!B27,Economics!$F$205=PremiumBackEnd!C27,Economics!$AU$74&lt;=PremiumBackEnd!E27,Economics!$AU$74&gt;=PremiumBackEnd!D27),"X","")</f>
        <v/>
      </c>
      <c r="J27" s="57">
        <f>+PremiumBackEnd!G27</f>
        <v>3.2500000000000001E-2</v>
      </c>
      <c r="L27" s="59" t="str">
        <f>IF(AND(Economics!$F$203=PremiumBackEnd!A27,Economics!$AV$57=PremiumBackEnd!B27,Economics!$F$205=PremiumBackEnd!C27,Economics!$AV$74&lt;=PremiumBackEnd!E27,Economics!$AV$74&gt;=PremiumBackEnd!D27),"X","")</f>
        <v/>
      </c>
      <c r="M27" s="57">
        <f>+PremiumBackEnd!G27</f>
        <v>3.2500000000000001E-2</v>
      </c>
      <c r="P27" s="529">
        <f>+G27-Q27</f>
        <v>7.4999999999999997E-3</v>
      </c>
      <c r="Q27" s="538">
        <v>2.5000000000000001E-2</v>
      </c>
    </row>
    <row r="28" spans="1:17" x14ac:dyDescent="0.25">
      <c r="A28" s="534" t="s">
        <v>788</v>
      </c>
      <c r="B28" s="534" t="s">
        <v>166</v>
      </c>
      <c r="C28" s="534" t="s">
        <v>331</v>
      </c>
      <c r="D28" s="58">
        <f>+E27+0.00001</f>
        <v>0.65000999999999998</v>
      </c>
      <c r="E28" s="535">
        <v>0.7</v>
      </c>
      <c r="F28" s="59" t="e">
        <f>IF(AND(Economics!$F$203=PremiumBackEnd!A28,Economics!$F$204=PremiumBackEnd!B28,Economics!$F$205=C28,$B$70&lt;=PremiumBackEnd!E28,$B$70&gt;=PremiumBackEnd!D28),"X","")</f>
        <v>#DIV/0!</v>
      </c>
      <c r="G28" s="537">
        <v>3.7499999999999999E-2</v>
      </c>
      <c r="I28" s="59" t="str">
        <f>IF(AND(Economics!$F$203=PremiumBackEnd!A28,Economics!$AU$57=PremiumBackEnd!B28,Economics!$F$205=PremiumBackEnd!C28,Economics!$AU$74&lt;=PremiumBackEnd!E28,Economics!$AU$74&gt;=PremiumBackEnd!D28),"X","")</f>
        <v/>
      </c>
      <c r="J28" s="57">
        <f>+PremiumBackEnd!G28</f>
        <v>3.7499999999999999E-2</v>
      </c>
      <c r="L28" s="59" t="str">
        <f>IF(AND(Economics!$F$203=PremiumBackEnd!A28,Economics!$AV$57=PremiumBackEnd!B28,Economics!$F$205=PremiumBackEnd!C28,Economics!$AV$74&lt;=PremiumBackEnd!E28,Economics!$AV$74&gt;=PremiumBackEnd!D28),"X","")</f>
        <v/>
      </c>
      <c r="M28" s="57">
        <f>+PremiumBackEnd!G28</f>
        <v>3.7499999999999999E-2</v>
      </c>
      <c r="P28" s="529">
        <f>+G28-Q28</f>
        <v>7.4999999999999997E-3</v>
      </c>
      <c r="Q28" s="538">
        <v>0.03</v>
      </c>
    </row>
    <row r="29" spans="1:17" x14ac:dyDescent="0.25">
      <c r="A29" s="534" t="s">
        <v>788</v>
      </c>
      <c r="B29" s="534" t="s">
        <v>166</v>
      </c>
      <c r="C29" s="534" t="s">
        <v>331</v>
      </c>
      <c r="D29" s="58">
        <f>+E28+0.00001</f>
        <v>0.70000999999999991</v>
      </c>
      <c r="E29" s="535">
        <v>0.75</v>
      </c>
      <c r="F29" s="59" t="e">
        <f>IF(AND(Economics!$F$203=PremiumBackEnd!A29,Economics!$F$204=PremiumBackEnd!B29,Economics!$F$205=C29,$B$70&lt;=PremiumBackEnd!E29,$B$70&gt;=PremiumBackEnd!D29),"X","")</f>
        <v>#DIV/0!</v>
      </c>
      <c r="G29" s="537">
        <v>4.2500000000000003E-2</v>
      </c>
      <c r="I29" s="59" t="str">
        <f>IF(AND(Economics!$F$203=PremiumBackEnd!A29,Economics!$AU$57=PremiumBackEnd!B29,Economics!$F$205=PremiumBackEnd!C29,Economics!$AU$74&lt;=PremiumBackEnd!E29,Economics!$AU$74&gt;=PremiumBackEnd!D29),"X","")</f>
        <v/>
      </c>
      <c r="J29" s="57">
        <f>+PremiumBackEnd!G29</f>
        <v>4.2500000000000003E-2</v>
      </c>
      <c r="L29" s="59" t="str">
        <f>IF(AND(Economics!$F$203=PremiumBackEnd!A29,Economics!$AV$57=PremiumBackEnd!B29,Economics!$F$205=PremiumBackEnd!C29,Economics!$AV$74&lt;=PremiumBackEnd!E29,Economics!$AV$74&gt;=PremiumBackEnd!D29),"X","")</f>
        <v/>
      </c>
      <c r="M29" s="57">
        <f>+PremiumBackEnd!G29</f>
        <v>4.2500000000000003E-2</v>
      </c>
      <c r="P29" s="529">
        <f>+G29-Q29</f>
        <v>7.4999999999999997E-3</v>
      </c>
      <c r="Q29" s="538">
        <v>3.5000000000000003E-2</v>
      </c>
    </row>
    <row r="30" spans="1:17" x14ac:dyDescent="0.25">
      <c r="A30" s="534" t="s">
        <v>788</v>
      </c>
      <c r="B30" s="534" t="s">
        <v>166</v>
      </c>
      <c r="C30" s="534" t="s">
        <v>331</v>
      </c>
      <c r="D30" s="58">
        <f>+E29+0.00001</f>
        <v>0.75000999999999995</v>
      </c>
      <c r="E30" s="535">
        <v>0.8</v>
      </c>
      <c r="F30" s="59" t="e">
        <f>IF(AND(Economics!$F$203=PremiumBackEnd!A30,Economics!$F$204=PremiumBackEnd!B30,Economics!$F$205=C30,$B$70&lt;=PremiumBackEnd!E30,$B$70&gt;=PremiumBackEnd!D30),"X","")</f>
        <v>#DIV/0!</v>
      </c>
      <c r="G30" s="537">
        <v>0.05</v>
      </c>
      <c r="I30" s="59" t="str">
        <f>IF(AND(Economics!$F$203=PremiumBackEnd!A30,Economics!$AU$57=PremiumBackEnd!B30,Economics!$F$205=PremiumBackEnd!C30,Economics!$AU$74&lt;=PremiumBackEnd!E30,Economics!$AU$74&gt;=PremiumBackEnd!D30),"X","")</f>
        <v/>
      </c>
      <c r="J30" s="57">
        <f>+PremiumBackEnd!G30</f>
        <v>0.05</v>
      </c>
      <c r="L30" s="59" t="str">
        <f>IF(AND(Economics!$F$203=PremiumBackEnd!A30,Economics!$AV$57=PremiumBackEnd!B30,Economics!$F$205=PremiumBackEnd!C30,Economics!$AV$74&lt;=PremiumBackEnd!E30,Economics!$AV$74&gt;=PremiumBackEnd!D30),"X","")</f>
        <v/>
      </c>
      <c r="M30" s="57">
        <f>+PremiumBackEnd!G30</f>
        <v>0.05</v>
      </c>
      <c r="P30" s="529">
        <f>+G30-Q30</f>
        <v>7.4999999999999997E-3</v>
      </c>
      <c r="Q30" s="538">
        <v>4.2500000000000003E-2</v>
      </c>
    </row>
    <row r="31" spans="1:17" x14ac:dyDescent="0.25">
      <c r="A31" s="534" t="s">
        <v>788</v>
      </c>
      <c r="B31" s="534" t="s">
        <v>166</v>
      </c>
      <c r="C31" s="534" t="s">
        <v>331</v>
      </c>
      <c r="D31" s="58">
        <f>+E30+0.00001</f>
        <v>0.80001</v>
      </c>
      <c r="E31" s="535">
        <v>0.85</v>
      </c>
      <c r="F31" s="59" t="e">
        <f>IF(AND(Economics!$F$203=PremiumBackEnd!A31,Economics!$F$204=PremiumBackEnd!B31,Economics!$F$205=C31,$B$70&lt;=PremiumBackEnd!E31,$B$70&gt;=PremiumBackEnd!D31),"X","")</f>
        <v>#DIV/0!</v>
      </c>
      <c r="G31" s="537">
        <v>0.06</v>
      </c>
      <c r="I31" s="59" t="str">
        <f>IF(AND(Economics!$F$203=PremiumBackEnd!A31,Economics!$AU$57=PremiumBackEnd!B31,Economics!$F$205=PremiumBackEnd!C31,Economics!$AU$74&lt;=PremiumBackEnd!E31,Economics!$AU$74&gt;=PremiumBackEnd!D31),"X","")</f>
        <v/>
      </c>
      <c r="J31" s="57">
        <f>+PremiumBackEnd!G31</f>
        <v>0.06</v>
      </c>
      <c r="L31" s="59" t="str">
        <f>IF(AND(Economics!$F$203=PremiumBackEnd!A31,Economics!$AV$57=PremiumBackEnd!B31,Economics!$F$205=PremiumBackEnd!C31,Economics!$AV$74&lt;=PremiumBackEnd!E31,Economics!$AV$74&gt;=PremiumBackEnd!D31),"X","")</f>
        <v/>
      </c>
      <c r="M31" s="57">
        <f>+PremiumBackEnd!G31</f>
        <v>0.06</v>
      </c>
      <c r="P31" s="529">
        <f>+G31-Q31</f>
        <v>7.4999999999999997E-3</v>
      </c>
      <c r="Q31" s="538">
        <v>5.2499999999999998E-2</v>
      </c>
    </row>
    <row r="32" spans="1:17" x14ac:dyDescent="0.25">
      <c r="A32" s="533"/>
      <c r="B32" s="533"/>
      <c r="C32" s="533"/>
      <c r="G32" s="57"/>
      <c r="I32" s="56"/>
      <c r="J32" s="57"/>
      <c r="L32" s="56"/>
      <c r="M32" s="57"/>
      <c r="P32" s="529"/>
      <c r="Q32" s="529"/>
    </row>
    <row r="33" spans="1:17" x14ac:dyDescent="0.25">
      <c r="A33" s="534" t="s">
        <v>326</v>
      </c>
      <c r="B33" s="534" t="s">
        <v>166</v>
      </c>
      <c r="C33" s="534" t="s">
        <v>331</v>
      </c>
      <c r="D33" s="535">
        <v>0</v>
      </c>
      <c r="E33" s="535">
        <v>0.65</v>
      </c>
      <c r="F33" s="59" t="e">
        <f>IF(AND(Economics!$F$203=PremiumBackEnd!A33,Economics!$F$204=PremiumBackEnd!B33,Economics!$F$205=C33,$B$70&lt;=PremiumBackEnd!E33,$B$70&gt;=PremiumBackEnd!D33),"X","")</f>
        <v>#DIV/0!</v>
      </c>
      <c r="G33" s="537">
        <v>0.04</v>
      </c>
      <c r="I33" s="59" t="str">
        <f>IF(AND(Economics!$F$203=PremiumBackEnd!A33,Economics!$AU$57=PremiumBackEnd!B33,Economics!$F$205=PremiumBackEnd!C33,Economics!$AU$74&lt;=PremiumBackEnd!E33,Economics!$AU$74&gt;=PremiumBackEnd!D33),"X","")</f>
        <v/>
      </c>
      <c r="J33" s="57">
        <f>+PremiumBackEnd!G33</f>
        <v>0.04</v>
      </c>
      <c r="L33" s="59" t="str">
        <f>IF(AND(Economics!$F$203=PremiumBackEnd!A33,Economics!$AV$57=PremiumBackEnd!B33,Economics!$F$205=PremiumBackEnd!C33,Economics!$AV$74&lt;=PremiumBackEnd!E33,Economics!$AV$74&gt;=PremiumBackEnd!D33),"X","")</f>
        <v/>
      </c>
      <c r="M33" s="57">
        <f>+PremiumBackEnd!G33</f>
        <v>0.04</v>
      </c>
      <c r="P33" s="529">
        <f>+G33-Q33</f>
        <v>7.4999999999999997E-3</v>
      </c>
      <c r="Q33" s="538">
        <v>3.2500000000000001E-2</v>
      </c>
    </row>
    <row r="34" spans="1:17" x14ac:dyDescent="0.25">
      <c r="A34" s="534" t="s">
        <v>326</v>
      </c>
      <c r="B34" s="534" t="s">
        <v>166</v>
      </c>
      <c r="C34" s="534" t="s">
        <v>331</v>
      </c>
      <c r="D34" s="58">
        <f>+E33+0.00001</f>
        <v>0.65000999999999998</v>
      </c>
      <c r="E34" s="535">
        <v>0.7</v>
      </c>
      <c r="F34" s="59" t="e">
        <f>IF(AND(Economics!$F$203=PremiumBackEnd!A34,Economics!$F$204=PremiumBackEnd!B34,Economics!$F$205=C34,$B$70&lt;=PremiumBackEnd!E34,$B$70&gt;=PremiumBackEnd!D34),"X","")</f>
        <v>#DIV/0!</v>
      </c>
      <c r="G34" s="537">
        <v>4.4999999999999998E-2</v>
      </c>
      <c r="I34" s="59" t="str">
        <f>IF(AND(Economics!$F$203=PremiumBackEnd!A34,Economics!$AU$57=PremiumBackEnd!B34,Economics!$F$205=PremiumBackEnd!C34,Economics!$AU$74&lt;=PremiumBackEnd!E34,Economics!$AU$74&gt;=PremiumBackEnd!D34),"X","")</f>
        <v/>
      </c>
      <c r="J34" s="57">
        <f>+PremiumBackEnd!G34</f>
        <v>4.4999999999999998E-2</v>
      </c>
      <c r="L34" s="59" t="str">
        <f>IF(AND(Economics!$F$203=PremiumBackEnd!A34,Economics!$AV$57=PremiumBackEnd!B34,Economics!$F$205=PremiumBackEnd!C34,Economics!$AV$74&lt;=PremiumBackEnd!E34,Economics!$AV$74&gt;=PremiumBackEnd!D34),"X","")</f>
        <v/>
      </c>
      <c r="M34" s="57">
        <f>+PremiumBackEnd!G34</f>
        <v>4.4999999999999998E-2</v>
      </c>
      <c r="P34" s="529">
        <f>+G34-Q34</f>
        <v>7.4999999999999997E-3</v>
      </c>
      <c r="Q34" s="538">
        <v>3.7499999999999999E-2</v>
      </c>
    </row>
    <row r="35" spans="1:17" x14ac:dyDescent="0.25">
      <c r="A35" s="534" t="s">
        <v>326</v>
      </c>
      <c r="B35" s="534" t="s">
        <v>166</v>
      </c>
      <c r="C35" s="534" t="s">
        <v>331</v>
      </c>
      <c r="D35" s="58">
        <f>+E34+0.00001</f>
        <v>0.70000999999999991</v>
      </c>
      <c r="E35" s="535">
        <v>0.75</v>
      </c>
      <c r="F35" s="59" t="e">
        <f>IF(AND(Economics!$F$203=PremiumBackEnd!A35,Economics!$F$204=PremiumBackEnd!B35,Economics!$F$205=C35,$B$70&lt;=PremiumBackEnd!E35,$B$70&gt;=PremiumBackEnd!D35),"X","")</f>
        <v>#DIV/0!</v>
      </c>
      <c r="G35" s="537">
        <v>0.05</v>
      </c>
      <c r="I35" s="59" t="str">
        <f>IF(AND(Economics!$F$203=PremiumBackEnd!A35,Economics!$AU$57=PremiumBackEnd!B35,Economics!$F$205=PremiumBackEnd!C35,Economics!$AU$74&lt;=PremiumBackEnd!E35,Economics!$AU$74&gt;=PremiumBackEnd!D35),"X","")</f>
        <v/>
      </c>
      <c r="J35" s="57">
        <f>+PremiumBackEnd!G35</f>
        <v>0.05</v>
      </c>
      <c r="L35" s="59" t="str">
        <f>IF(AND(Economics!$F$203=PremiumBackEnd!A35,Economics!$AV$57=PremiumBackEnd!B35,Economics!$F$205=PremiumBackEnd!C35,Economics!$AV$74&lt;=PremiumBackEnd!E35,Economics!$AV$74&gt;=PremiumBackEnd!D35),"X","")</f>
        <v/>
      </c>
      <c r="M35" s="57">
        <f>+PremiumBackEnd!G35</f>
        <v>0.05</v>
      </c>
      <c r="P35" s="529">
        <f>+G35-Q35</f>
        <v>7.4999999999999997E-3</v>
      </c>
      <c r="Q35" s="538">
        <v>4.2500000000000003E-2</v>
      </c>
    </row>
    <row r="36" spans="1:17" x14ac:dyDescent="0.25">
      <c r="A36" s="534" t="s">
        <v>326</v>
      </c>
      <c r="B36" s="534" t="s">
        <v>166</v>
      </c>
      <c r="C36" s="534" t="s">
        <v>331</v>
      </c>
      <c r="D36" s="58">
        <f>+E35+0.00001</f>
        <v>0.75000999999999995</v>
      </c>
      <c r="E36" s="535">
        <v>0.8</v>
      </c>
      <c r="F36" s="59" t="e">
        <f>IF(AND(Economics!$F$203=PremiumBackEnd!A36,Economics!$F$204=PremiumBackEnd!B36,Economics!$F$205=C36,$B$70&lt;=PremiumBackEnd!E36,$B$70&gt;=PremiumBackEnd!D36),"X","")</f>
        <v>#DIV/0!</v>
      </c>
      <c r="G36" s="537">
        <v>5.7500000000000002E-2</v>
      </c>
      <c r="I36" s="59" t="str">
        <f>IF(AND(Economics!$F$203=PremiumBackEnd!A36,Economics!$AU$57=PremiumBackEnd!B36,Economics!$F$205=PremiumBackEnd!C36,Economics!$AU$74&lt;=PremiumBackEnd!E36,Economics!$AU$74&gt;=PremiumBackEnd!D36),"X","")</f>
        <v/>
      </c>
      <c r="J36" s="57">
        <f>+PremiumBackEnd!G36</f>
        <v>5.7500000000000002E-2</v>
      </c>
      <c r="L36" s="59" t="str">
        <f>IF(AND(Economics!$F$203=PremiumBackEnd!A36,Economics!$AV$57=PremiumBackEnd!B36,Economics!$F$205=PremiumBackEnd!C36,Economics!$AV$74&lt;=PremiumBackEnd!E36,Economics!$AV$74&gt;=PremiumBackEnd!D36),"X","")</f>
        <v/>
      </c>
      <c r="M36" s="57">
        <f>+PremiumBackEnd!G36</f>
        <v>5.7500000000000002E-2</v>
      </c>
      <c r="P36" s="529">
        <f>+G36-Q36</f>
        <v>7.4999999999999997E-3</v>
      </c>
      <c r="Q36" s="538">
        <v>0.05</v>
      </c>
    </row>
    <row r="37" spans="1:17" x14ac:dyDescent="0.25">
      <c r="A37" s="534" t="s">
        <v>326</v>
      </c>
      <c r="B37" s="534" t="s">
        <v>166</v>
      </c>
      <c r="C37" s="534" t="s">
        <v>331</v>
      </c>
      <c r="D37" s="58">
        <f>+E36+0.00001</f>
        <v>0.80001</v>
      </c>
      <c r="E37" s="535">
        <v>0.85</v>
      </c>
      <c r="F37" s="59" t="e">
        <f>IF(AND(Economics!$F$203=PremiumBackEnd!A37,Economics!$F$204=PremiumBackEnd!B37,Economics!$F$205=C37,$B$70&lt;=PremiumBackEnd!E37,$B$70&gt;=PremiumBackEnd!D37),"X","")</f>
        <v>#DIV/0!</v>
      </c>
      <c r="G37" s="537">
        <v>6.5000000000000002E-2</v>
      </c>
      <c r="I37" s="59" t="str">
        <f>IF(AND(Economics!$F$203=PremiumBackEnd!A37,Economics!$AU$57=PremiumBackEnd!B37,Economics!$F$205=PremiumBackEnd!C37,Economics!$AU$74&lt;=PremiumBackEnd!E37,Economics!$AU$74&gt;=PremiumBackEnd!D37),"X","")</f>
        <v/>
      </c>
      <c r="J37" s="57">
        <f>+PremiumBackEnd!G37</f>
        <v>6.5000000000000002E-2</v>
      </c>
      <c r="L37" s="59" t="str">
        <f>IF(AND(Economics!$F$203=PremiumBackEnd!A37,Economics!$AV$57=PremiumBackEnd!B37,Economics!$F$205=PremiumBackEnd!C37,Economics!$AV$74&lt;=PremiumBackEnd!E37,Economics!$AV$74&gt;=PremiumBackEnd!D37),"X","")</f>
        <v/>
      </c>
      <c r="M37" s="57">
        <f>+PremiumBackEnd!G37</f>
        <v>6.5000000000000002E-2</v>
      </c>
      <c r="P37" s="529">
        <f>+G37-Q37</f>
        <v>7.4999999999999997E-3</v>
      </c>
      <c r="Q37" s="538">
        <v>5.7500000000000002E-2</v>
      </c>
    </row>
    <row r="38" spans="1:17" x14ac:dyDescent="0.25">
      <c r="A38" s="533"/>
      <c r="B38" s="533"/>
      <c r="C38" s="533"/>
      <c r="G38" s="57"/>
      <c r="I38" s="56"/>
      <c r="J38" s="57"/>
      <c r="L38" s="56"/>
      <c r="M38" s="57"/>
      <c r="P38" s="529"/>
      <c r="Q38" s="529"/>
    </row>
    <row r="39" spans="1:17" x14ac:dyDescent="0.25">
      <c r="A39" s="534" t="s">
        <v>327</v>
      </c>
      <c r="B39" s="534" t="s">
        <v>166</v>
      </c>
      <c r="C39" s="534" t="s">
        <v>331</v>
      </c>
      <c r="D39" s="535">
        <v>0</v>
      </c>
      <c r="E39" s="535">
        <v>0.65</v>
      </c>
      <c r="F39" s="59" t="e">
        <f>IF(AND(Economics!$F$203=PremiumBackEnd!A39,Economics!$F$204=PremiumBackEnd!B39,Economics!$F$205=C39,$B$70&lt;=PremiumBackEnd!E39,$B$70&gt;=PremiumBackEnd!D39),"X","")</f>
        <v>#DIV/0!</v>
      </c>
      <c r="G39" s="537">
        <v>0.04</v>
      </c>
      <c r="I39" s="59" t="str">
        <f>IF(AND(Economics!$F$203=PremiumBackEnd!A39,Economics!$AU$57=PremiumBackEnd!B39,Economics!$F$205=PremiumBackEnd!C39,Economics!$AU$74&lt;=PremiumBackEnd!E39,Economics!$AU$74&gt;=PremiumBackEnd!D39),"X","")</f>
        <v/>
      </c>
      <c r="J39" s="57">
        <f>+PremiumBackEnd!G39</f>
        <v>0.04</v>
      </c>
      <c r="L39" s="59" t="str">
        <f>IF(AND(Economics!$F$203=PremiumBackEnd!A39,Economics!$AV$57=PremiumBackEnd!B39,Economics!$F$205=PremiumBackEnd!C39,Economics!$AV$74&lt;=PremiumBackEnd!E39,Economics!$AV$74&gt;=PremiumBackEnd!D39),"X","")</f>
        <v/>
      </c>
      <c r="M39" s="57">
        <f>+PremiumBackEnd!G39</f>
        <v>0.04</v>
      </c>
      <c r="P39" s="529">
        <f>+G39-Q39</f>
        <v>7.4999999999999997E-3</v>
      </c>
      <c r="Q39" s="538">
        <v>3.2500000000000001E-2</v>
      </c>
    </row>
    <row r="40" spans="1:17" x14ac:dyDescent="0.25">
      <c r="A40" s="534" t="s">
        <v>327</v>
      </c>
      <c r="B40" s="534" t="s">
        <v>166</v>
      </c>
      <c r="C40" s="534" t="s">
        <v>331</v>
      </c>
      <c r="D40" s="58">
        <f>+E39+0.00001</f>
        <v>0.65000999999999998</v>
      </c>
      <c r="E40" s="535">
        <v>0.7</v>
      </c>
      <c r="F40" s="59" t="e">
        <f>IF(AND(Economics!$F$203=PremiumBackEnd!A40,Economics!$F$204=PremiumBackEnd!B40,Economics!$F$205=C40,$B$70&lt;=PremiumBackEnd!E40,$B$70&gt;=PremiumBackEnd!D40),"X","")</f>
        <v>#DIV/0!</v>
      </c>
      <c r="G40" s="537">
        <v>4.4999999999999998E-2</v>
      </c>
      <c r="I40" s="59" t="str">
        <f>IF(AND(Economics!$F$203=PremiumBackEnd!A40,Economics!$AU$57=PremiumBackEnd!B40,Economics!$F$205=PremiumBackEnd!C40,Economics!$AU$74&lt;=PremiumBackEnd!E40,Economics!$AU$74&gt;=PremiumBackEnd!D40),"X","")</f>
        <v/>
      </c>
      <c r="J40" s="57">
        <f>+PremiumBackEnd!G40</f>
        <v>4.4999999999999998E-2</v>
      </c>
      <c r="L40" s="59" t="str">
        <f>IF(AND(Economics!$F$203=PremiumBackEnd!A40,Economics!$AV$57=PremiumBackEnd!B40,Economics!$F$205=PremiumBackEnd!C40,Economics!$AV$74&lt;=PremiumBackEnd!E40,Economics!$AV$74&gt;=PremiumBackEnd!D40),"X","")</f>
        <v/>
      </c>
      <c r="M40" s="57">
        <f>+PremiumBackEnd!G40</f>
        <v>4.4999999999999998E-2</v>
      </c>
      <c r="P40" s="529">
        <f>+G40-Q40</f>
        <v>7.4999999999999997E-3</v>
      </c>
      <c r="Q40" s="538">
        <v>3.7499999999999999E-2</v>
      </c>
    </row>
    <row r="41" spans="1:17" x14ac:dyDescent="0.25">
      <c r="A41" s="534" t="s">
        <v>327</v>
      </c>
      <c r="B41" s="534" t="s">
        <v>166</v>
      </c>
      <c r="C41" s="534" t="s">
        <v>331</v>
      </c>
      <c r="D41" s="58">
        <f>+E40+0.00001</f>
        <v>0.70000999999999991</v>
      </c>
      <c r="E41" s="535">
        <v>0.75</v>
      </c>
      <c r="F41" s="59" t="e">
        <f>IF(AND(Economics!$F$203=PremiumBackEnd!A41,Economics!$F$204=PremiumBackEnd!B41,Economics!$F$205=C41,$B$70&lt;=PremiumBackEnd!E41,$B$70&gt;=PremiumBackEnd!D41),"X","")</f>
        <v>#DIV/0!</v>
      </c>
      <c r="G41" s="537">
        <v>0.05</v>
      </c>
      <c r="I41" s="59" t="str">
        <f>IF(AND(Economics!$F$203=PremiumBackEnd!A41,Economics!$AU$57=PremiumBackEnd!B41,Economics!$F$205=PremiumBackEnd!C41,Economics!$AU$74&lt;=PremiumBackEnd!E41,Economics!$AU$74&gt;=PremiumBackEnd!D41),"X","")</f>
        <v/>
      </c>
      <c r="J41" s="57">
        <f>+PremiumBackEnd!G41</f>
        <v>0.05</v>
      </c>
      <c r="L41" s="59" t="str">
        <f>IF(AND(Economics!$F$203=PremiumBackEnd!A41,Economics!$AV$57=PremiumBackEnd!B41,Economics!$F$205=PremiumBackEnd!C41,Economics!$AV$74&lt;=PremiumBackEnd!E41,Economics!$AV$74&gt;=PremiumBackEnd!D41),"X","")</f>
        <v/>
      </c>
      <c r="M41" s="57">
        <f>+PremiumBackEnd!G41</f>
        <v>0.05</v>
      </c>
      <c r="P41" s="529">
        <f>+G41-Q41</f>
        <v>7.4999999999999997E-3</v>
      </c>
      <c r="Q41" s="538">
        <v>4.2500000000000003E-2</v>
      </c>
    </row>
    <row r="42" spans="1:17" x14ac:dyDescent="0.25">
      <c r="A42" s="534" t="s">
        <v>327</v>
      </c>
      <c r="B42" s="534" t="s">
        <v>166</v>
      </c>
      <c r="C42" s="534" t="s">
        <v>331</v>
      </c>
      <c r="D42" s="58">
        <f>+E41+0.00001</f>
        <v>0.75000999999999995</v>
      </c>
      <c r="E42" s="535">
        <v>0.8</v>
      </c>
      <c r="F42" s="59" t="e">
        <f>IF(AND(Economics!$F$203=PremiumBackEnd!A42,Economics!$F$204=PremiumBackEnd!B42,Economics!$F$205=C42,$B$70&lt;=PremiumBackEnd!E42,$B$70&gt;=PremiumBackEnd!D42),"X","")</f>
        <v>#DIV/0!</v>
      </c>
      <c r="G42" s="537">
        <v>5.7500000000000002E-2</v>
      </c>
      <c r="I42" s="59" t="str">
        <f>IF(AND(Economics!$F$203=PremiumBackEnd!A42,Economics!$AU$57=PremiumBackEnd!B42,Economics!$F$205=PremiumBackEnd!C42,Economics!$AU$74&lt;=PremiumBackEnd!E42,Economics!$AU$74&gt;=PremiumBackEnd!D42),"X","")</f>
        <v/>
      </c>
      <c r="J42" s="57">
        <f>+PremiumBackEnd!G42</f>
        <v>5.7500000000000002E-2</v>
      </c>
      <c r="L42" s="59" t="str">
        <f>IF(AND(Economics!$F$203=PremiumBackEnd!A42,Economics!$AV$57=PremiumBackEnd!B42,Economics!$F$205=PremiumBackEnd!C42,Economics!$AV$74&lt;=PremiumBackEnd!E42,Economics!$AV$74&gt;=PremiumBackEnd!D42),"X","")</f>
        <v/>
      </c>
      <c r="M42" s="57">
        <f>+PremiumBackEnd!G42</f>
        <v>5.7500000000000002E-2</v>
      </c>
      <c r="P42" s="529">
        <f>+G42-Q42</f>
        <v>7.4999999999999997E-3</v>
      </c>
      <c r="Q42" s="538">
        <v>0.05</v>
      </c>
    </row>
    <row r="43" spans="1:17" x14ac:dyDescent="0.25">
      <c r="A43" s="534" t="s">
        <v>327</v>
      </c>
      <c r="B43" s="534" t="s">
        <v>166</v>
      </c>
      <c r="C43" s="534" t="s">
        <v>331</v>
      </c>
      <c r="D43" s="58">
        <f>+E42+0.00001</f>
        <v>0.80001</v>
      </c>
      <c r="E43" s="535">
        <v>0.85</v>
      </c>
      <c r="F43" s="59" t="e">
        <f>IF(AND(Economics!$F$203=PremiumBackEnd!A43,Economics!$F$204=PremiumBackEnd!B43,Economics!$F$205=C43,$B$70&lt;=PremiumBackEnd!E43,$B$70&gt;=PremiumBackEnd!D43),"X","")</f>
        <v>#DIV/0!</v>
      </c>
      <c r="G43" s="537">
        <v>6.5000000000000002E-2</v>
      </c>
      <c r="I43" s="59" t="str">
        <f>IF(AND(Economics!$F$203=PremiumBackEnd!A43,Economics!$AU$57=PremiumBackEnd!B43,Economics!$F$205=PremiumBackEnd!C43,Economics!$AU$74&lt;=PremiumBackEnd!E43,Economics!$AU$74&gt;=PremiumBackEnd!D43),"X","")</f>
        <v/>
      </c>
      <c r="J43" s="57">
        <f>+PremiumBackEnd!G43</f>
        <v>6.5000000000000002E-2</v>
      </c>
      <c r="L43" s="59" t="str">
        <f>IF(AND(Economics!$F$203=PremiumBackEnd!A43,Economics!$AV$57=PremiumBackEnd!B43,Economics!$F$205=PremiumBackEnd!C43,Economics!$AV$74&lt;=PremiumBackEnd!E43,Economics!$AV$74&gt;=PremiumBackEnd!D43),"X","")</f>
        <v/>
      </c>
      <c r="M43" s="57">
        <f>+PremiumBackEnd!G43</f>
        <v>6.5000000000000002E-2</v>
      </c>
      <c r="P43" s="529">
        <f>+G43-Q43</f>
        <v>7.4999999999999997E-3</v>
      </c>
      <c r="Q43" s="538">
        <v>5.7500000000000002E-2</v>
      </c>
    </row>
    <row r="44" spans="1:17" x14ac:dyDescent="0.25">
      <c r="A44" s="533"/>
      <c r="B44" s="533"/>
      <c r="C44" s="533"/>
      <c r="G44" s="57"/>
      <c r="I44" s="56"/>
      <c r="J44" s="57"/>
      <c r="L44" s="56"/>
      <c r="M44" s="57"/>
      <c r="P44" s="529"/>
      <c r="Q44" s="529"/>
    </row>
    <row r="45" spans="1:17" x14ac:dyDescent="0.25">
      <c r="A45" s="534" t="s">
        <v>328</v>
      </c>
      <c r="B45" s="534" t="s">
        <v>166</v>
      </c>
      <c r="C45" s="534" t="s">
        <v>331</v>
      </c>
      <c r="D45" s="535">
        <v>0</v>
      </c>
      <c r="E45" s="535">
        <v>0.65</v>
      </c>
      <c r="F45" s="59" t="e">
        <f>IF(AND(Economics!$F$203=PremiumBackEnd!A45,Economics!$F$204=PremiumBackEnd!B45,Economics!$F$205=C45,$B$70&lt;=PremiumBackEnd!E45,$B$70&gt;=PremiumBackEnd!D45),"X","")</f>
        <v>#DIV/0!</v>
      </c>
      <c r="G45" s="537">
        <v>4.7500000000000001E-2</v>
      </c>
      <c r="I45" s="59" t="str">
        <f>IF(AND(Economics!$F$203=PremiumBackEnd!A45,Economics!$AU$57=PremiumBackEnd!B45,Economics!$F$205=PremiumBackEnd!C45,Economics!$AU$74&lt;=PremiumBackEnd!E45,Economics!$AU$74&gt;=PremiumBackEnd!D45),"X","")</f>
        <v/>
      </c>
      <c r="J45" s="57">
        <f>+PremiumBackEnd!G45</f>
        <v>4.7500000000000001E-2</v>
      </c>
      <c r="L45" s="59" t="str">
        <f>IF(AND(Economics!$F$203=PremiumBackEnd!A45,Economics!$AV$57=PremiumBackEnd!B45,Economics!$F$205=PremiumBackEnd!C45,Economics!$AV$74&lt;=PremiumBackEnd!E45,Economics!$AV$74&gt;=PremiumBackEnd!D45),"X","")</f>
        <v/>
      </c>
      <c r="M45" s="57">
        <f>+PremiumBackEnd!G45</f>
        <v>4.7500000000000001E-2</v>
      </c>
      <c r="P45" s="529">
        <f>+G45-Q45</f>
        <v>7.4999999999999997E-3</v>
      </c>
      <c r="Q45" s="538">
        <v>0.04</v>
      </c>
    </row>
    <row r="46" spans="1:17" x14ac:dyDescent="0.25">
      <c r="A46" s="534" t="s">
        <v>328</v>
      </c>
      <c r="B46" s="534" t="s">
        <v>166</v>
      </c>
      <c r="C46" s="534" t="s">
        <v>331</v>
      </c>
      <c r="D46" s="58">
        <f>+E45+0.00001</f>
        <v>0.65000999999999998</v>
      </c>
      <c r="E46" s="535">
        <v>0.7</v>
      </c>
      <c r="F46" s="59" t="e">
        <f>IF(AND(Economics!$F$203=PremiumBackEnd!A46,Economics!$F$204=PremiumBackEnd!B46,Economics!$F$205=C46,$B$70&lt;=PremiumBackEnd!E46,$B$70&gt;=PremiumBackEnd!D46),"X","")</f>
        <v>#DIV/0!</v>
      </c>
      <c r="G46" s="537">
        <v>5.2499999999999998E-2</v>
      </c>
      <c r="I46" s="59" t="str">
        <f>IF(AND(Economics!$F$203=PremiumBackEnd!A46,Economics!$AU$57=PremiumBackEnd!B46,Economics!$F$205=PremiumBackEnd!C46,Economics!$AU$74&lt;=PremiumBackEnd!E46,Economics!$AU$74&gt;=PremiumBackEnd!D46),"X","")</f>
        <v/>
      </c>
      <c r="J46" s="57">
        <f>+PremiumBackEnd!G46</f>
        <v>5.2499999999999998E-2</v>
      </c>
      <c r="L46" s="59" t="str">
        <f>IF(AND(Economics!$F$203=PremiumBackEnd!A46,Economics!$AV$57=PremiumBackEnd!B46,Economics!$F$205=PremiumBackEnd!C46,Economics!$AV$74&lt;=PremiumBackEnd!E46,Economics!$AV$74&gt;=PremiumBackEnd!D46),"X","")</f>
        <v/>
      </c>
      <c r="M46" s="57">
        <f>+PremiumBackEnd!G46</f>
        <v>5.2499999999999998E-2</v>
      </c>
      <c r="P46" s="529">
        <f>+G46-Q46</f>
        <v>7.4999999999999997E-3</v>
      </c>
      <c r="Q46" s="538">
        <v>4.4999999999999998E-2</v>
      </c>
    </row>
    <row r="47" spans="1:17" x14ac:dyDescent="0.25">
      <c r="A47" s="534" t="s">
        <v>328</v>
      </c>
      <c r="B47" s="534" t="s">
        <v>166</v>
      </c>
      <c r="C47" s="534" t="s">
        <v>331</v>
      </c>
      <c r="D47" s="58">
        <f>+E46+0.00001</f>
        <v>0.70000999999999991</v>
      </c>
      <c r="E47" s="535">
        <v>0.75</v>
      </c>
      <c r="F47" s="59" t="e">
        <f>IF(AND(Economics!$F$203=PremiumBackEnd!A47,Economics!$F$204=PremiumBackEnd!B47,Economics!$F$205=C47,$B$70&lt;=PremiumBackEnd!E47,$B$70&gt;=PremiumBackEnd!D47),"X","")</f>
        <v>#DIV/0!</v>
      </c>
      <c r="G47" s="537">
        <v>5.7500000000000002E-2</v>
      </c>
      <c r="I47" s="59" t="str">
        <f>IF(AND(Economics!$F$203=PremiumBackEnd!A47,Economics!$AU$57=PremiumBackEnd!B47,Economics!$F$205=PremiumBackEnd!C47,Economics!$AU$74&lt;=PremiumBackEnd!E47,Economics!$AU$74&gt;=PremiumBackEnd!D47),"X","")</f>
        <v/>
      </c>
      <c r="J47" s="57">
        <f>+PremiumBackEnd!G47</f>
        <v>5.7500000000000002E-2</v>
      </c>
      <c r="L47" s="59" t="str">
        <f>IF(AND(Economics!$F$203=PremiumBackEnd!A47,Economics!$AV$57=PremiumBackEnd!B47,Economics!$F$205=PremiumBackEnd!C47,Economics!$AV$74&lt;=PremiumBackEnd!E47,Economics!$AV$74&gt;=PremiumBackEnd!D47),"X","")</f>
        <v/>
      </c>
      <c r="M47" s="57">
        <f>+PremiumBackEnd!G47</f>
        <v>5.7500000000000002E-2</v>
      </c>
      <c r="P47" s="529">
        <f>+G47-Q47</f>
        <v>7.4999999999999997E-3</v>
      </c>
      <c r="Q47" s="538">
        <v>0.05</v>
      </c>
    </row>
    <row r="48" spans="1:17" x14ac:dyDescent="0.25">
      <c r="A48" s="534" t="s">
        <v>328</v>
      </c>
      <c r="B48" s="534" t="s">
        <v>166</v>
      </c>
      <c r="C48" s="534" t="s">
        <v>331</v>
      </c>
      <c r="D48" s="58">
        <f>+E47+0.00001</f>
        <v>0.75000999999999995</v>
      </c>
      <c r="E48" s="535">
        <v>0.8</v>
      </c>
      <c r="F48" s="59" t="e">
        <f>IF(AND(Economics!$F$203=PremiumBackEnd!A48,Economics!$F$204=PremiumBackEnd!B48,Economics!$F$205=C48,$B$70&lt;=PremiumBackEnd!E48,$B$70&gt;=PremiumBackEnd!D48),"X","")</f>
        <v>#DIV/0!</v>
      </c>
      <c r="G48" s="537">
        <v>6.25E-2</v>
      </c>
      <c r="I48" s="59" t="str">
        <f>IF(AND(Economics!$F$203=PremiumBackEnd!A48,Economics!$AU$57=PremiumBackEnd!B48,Economics!$F$205=PremiumBackEnd!C48,Economics!$AU$74&lt;=PremiumBackEnd!E48,Economics!$AU$74&gt;=PremiumBackEnd!D48),"X","")</f>
        <v/>
      </c>
      <c r="J48" s="57">
        <f>+PremiumBackEnd!G48</f>
        <v>6.25E-2</v>
      </c>
      <c r="L48" s="59" t="str">
        <f>IF(AND(Economics!$F$203=PremiumBackEnd!A48,Economics!$AV$57=PremiumBackEnd!B48,Economics!$F$205=PremiumBackEnd!C48,Economics!$AV$74&lt;=PremiumBackEnd!E48,Economics!$AV$74&gt;=PremiumBackEnd!D48),"X","")</f>
        <v/>
      </c>
      <c r="M48" s="57">
        <f>+PremiumBackEnd!G48</f>
        <v>6.25E-2</v>
      </c>
      <c r="P48" s="529">
        <f>+G48-Q48</f>
        <v>7.4999999999999997E-3</v>
      </c>
      <c r="Q48" s="538">
        <v>5.5E-2</v>
      </c>
    </row>
    <row r="49" spans="1:17" x14ac:dyDescent="0.25">
      <c r="A49" s="534" t="s">
        <v>328</v>
      </c>
      <c r="B49" s="534" t="s">
        <v>166</v>
      </c>
      <c r="C49" s="534" t="s">
        <v>331</v>
      </c>
      <c r="D49" s="58">
        <f>+E48+0.00001</f>
        <v>0.80001</v>
      </c>
      <c r="E49" s="535">
        <v>0.85</v>
      </c>
      <c r="F49" s="59" t="e">
        <f>IF(AND(Economics!$F$203=PremiumBackEnd!A49,Economics!$F$204=PremiumBackEnd!B49,Economics!$F$205=C49,$B$70&lt;=PremiumBackEnd!E49,$B$70&gt;=PremiumBackEnd!D49),"X","")</f>
        <v>#DIV/0!</v>
      </c>
      <c r="G49" s="537">
        <v>7.0000000000000007E-2</v>
      </c>
      <c r="I49" s="59" t="str">
        <f>IF(AND(Economics!$F$203=PremiumBackEnd!A49,Economics!$AU$57=PremiumBackEnd!B49,Economics!$F$205=PremiumBackEnd!C49,Economics!$AU$74&lt;=PremiumBackEnd!E49,Economics!$AU$74&gt;=PremiumBackEnd!D49),"X","")</f>
        <v/>
      </c>
      <c r="J49" s="57">
        <f>+PremiumBackEnd!G49</f>
        <v>7.0000000000000007E-2</v>
      </c>
      <c r="L49" s="59" t="str">
        <f>IF(AND(Economics!$F$203=PremiumBackEnd!A49,Economics!$AV$57=PremiumBackEnd!B49,Economics!$F$205=PremiumBackEnd!C49,Economics!$AV$74&lt;=PremiumBackEnd!E49,Economics!$AV$74&gt;=PremiumBackEnd!D49),"X","")</f>
        <v/>
      </c>
      <c r="M49" s="57">
        <f>+PremiumBackEnd!G49</f>
        <v>7.0000000000000007E-2</v>
      </c>
      <c r="P49" s="529">
        <f>+G49-Q49</f>
        <v>7.5000000000000067E-3</v>
      </c>
      <c r="Q49" s="538">
        <v>6.25E-2</v>
      </c>
    </row>
    <row r="50" spans="1:17" x14ac:dyDescent="0.25">
      <c r="A50" s="533"/>
      <c r="B50" s="533"/>
      <c r="C50" s="533"/>
      <c r="G50" s="57"/>
      <c r="I50" s="56"/>
      <c r="J50" s="57"/>
      <c r="L50" s="56"/>
      <c r="M50" s="57"/>
      <c r="P50" s="529"/>
      <c r="Q50" s="529"/>
    </row>
    <row r="51" spans="1:17" x14ac:dyDescent="0.25">
      <c r="A51" s="533"/>
      <c r="B51" s="534" t="s">
        <v>165</v>
      </c>
      <c r="C51" s="534" t="s">
        <v>330</v>
      </c>
      <c r="D51" s="536">
        <v>50</v>
      </c>
      <c r="E51" s="540">
        <v>69.999899999999997</v>
      </c>
      <c r="F51" s="59" t="str">
        <f>IF(AND(Economics!$F$204=PremiumBackEnd!B51,Economics!$F$205=C51,$B$72&lt;=PremiumBackEnd!E51,$B$72&gt;=PremiumBackEnd!D51),"X","")</f>
        <v/>
      </c>
      <c r="G51" s="537">
        <v>3.7999999999999999E-2</v>
      </c>
      <c r="I51" s="59" t="str">
        <f>IF(AND(Economics!$AU$57=PremiumBackEnd!B51,Economics!$F$205=PremiumBackEnd!C51,PremiumBackEnd!$B$72&lt;=PremiumBackEnd!E51,PremiumBackEnd!$B$72&gt;=PremiumBackEnd!D51),"X","")</f>
        <v/>
      </c>
      <c r="J51" s="57">
        <f>+PremiumBackEnd!G51</f>
        <v>3.7999999999999999E-2</v>
      </c>
      <c r="L51" s="59" t="str">
        <f>IF(AND(Economics!$AV$57=PremiumBackEnd!B51,Economics!$F$205=PremiumBackEnd!C51,PremiumBackEnd!$B$72&lt;=PremiumBackEnd!E51,PremiumBackEnd!$B$72&gt;=PremiumBackEnd!D51),"X","")</f>
        <v/>
      </c>
      <c r="M51" s="57">
        <f>+PremiumBackEnd!G51</f>
        <v>3.7999999999999999E-2</v>
      </c>
      <c r="P51" s="529">
        <f>+G51-Q51</f>
        <v>1.55E-2</v>
      </c>
      <c r="Q51" s="538">
        <v>2.2499999999999999E-2</v>
      </c>
    </row>
    <row r="52" spans="1:17" x14ac:dyDescent="0.25">
      <c r="A52" s="533"/>
      <c r="B52" s="534" t="s">
        <v>165</v>
      </c>
      <c r="C52" s="534" t="s">
        <v>330</v>
      </c>
      <c r="D52" s="536">
        <v>70</v>
      </c>
      <c r="E52" s="540">
        <v>99.999899999999997</v>
      </c>
      <c r="F52" s="59" t="str">
        <f>IF(AND(Economics!$F$204=PremiumBackEnd!B52,Economics!$F$205=C52,$B$72&lt;=PremiumBackEnd!E52,$B$72&gt;=PremiumBackEnd!D52),"X","")</f>
        <v/>
      </c>
      <c r="G52" s="537">
        <v>3.3000000000000002E-2</v>
      </c>
      <c r="I52" s="59" t="str">
        <f>IF(AND(Economics!$AU$57=PremiumBackEnd!B52,Economics!$F$205=PremiumBackEnd!C52,PremiumBackEnd!$B$72&lt;=PremiumBackEnd!E52,PremiumBackEnd!$B$72&gt;=PremiumBackEnd!D52),"X","")</f>
        <v/>
      </c>
      <c r="J52" s="57">
        <f>+PremiumBackEnd!G52</f>
        <v>3.3000000000000002E-2</v>
      </c>
      <c r="L52" s="59" t="str">
        <f>IF(AND(Economics!$AV$57=PremiumBackEnd!B52,Economics!$F$205=PremiumBackEnd!C52,PremiumBackEnd!$B$72&lt;=PremiumBackEnd!E52,PremiumBackEnd!$B$72&gt;=PremiumBackEnd!D52),"X","")</f>
        <v/>
      </c>
      <c r="M52" s="57">
        <f>+PremiumBackEnd!G52</f>
        <v>3.3000000000000002E-2</v>
      </c>
      <c r="P52" s="529">
        <f>+G52-Q52</f>
        <v>1.55E-2</v>
      </c>
      <c r="Q52" s="538">
        <v>1.7500000000000002E-2</v>
      </c>
    </row>
    <row r="53" spans="1:17" x14ac:dyDescent="0.25">
      <c r="A53" s="533"/>
      <c r="B53" s="534" t="s">
        <v>165</v>
      </c>
      <c r="C53" s="534" t="s">
        <v>330</v>
      </c>
      <c r="D53" s="536">
        <v>100</v>
      </c>
      <c r="E53" s="536">
        <v>99999</v>
      </c>
      <c r="F53" s="59" t="str">
        <f>IF(AND(Economics!$F$204=PremiumBackEnd!B53,Economics!$F$205=C53,$B$72&lt;=PremiumBackEnd!E53,$B$72&gt;=PremiumBackEnd!D53),"X","")</f>
        <v/>
      </c>
      <c r="G53" s="537">
        <v>2.5499999999999998E-2</v>
      </c>
      <c r="I53" s="59" t="str">
        <f>IF(AND(Economics!$AU$57=PremiumBackEnd!B53,Economics!$F$205=PremiumBackEnd!C53,PremiumBackEnd!$B$72&lt;=PremiumBackEnd!E53,PremiumBackEnd!$B$72&gt;=PremiumBackEnd!D53),"X","")</f>
        <v/>
      </c>
      <c r="J53" s="57">
        <f>+PremiumBackEnd!G53</f>
        <v>2.5499999999999998E-2</v>
      </c>
      <c r="L53" s="59" t="str">
        <f>IF(AND(Economics!$AV$57=PremiumBackEnd!B53,Economics!$F$205=PremiumBackEnd!C53,PremiumBackEnd!$B$72&lt;=PremiumBackEnd!E53,PremiumBackEnd!$B$72&gt;=PremiumBackEnd!D53),"X","")</f>
        <v/>
      </c>
      <c r="M53" s="57">
        <f>+PremiumBackEnd!G53</f>
        <v>2.5499999999999998E-2</v>
      </c>
      <c r="P53" s="529">
        <f>+G53-Q53</f>
        <v>1.5499999999999998E-2</v>
      </c>
      <c r="Q53" s="538">
        <v>0.01</v>
      </c>
    </row>
    <row r="54" spans="1:17" x14ac:dyDescent="0.25">
      <c r="A54" s="533"/>
      <c r="B54" s="533"/>
      <c r="C54" s="533"/>
      <c r="G54" s="57"/>
      <c r="I54" s="56"/>
      <c r="J54" s="57"/>
      <c r="L54" s="56"/>
      <c r="M54" s="57"/>
      <c r="P54" s="529"/>
      <c r="Q54" s="529"/>
    </row>
    <row r="55" spans="1:17" x14ac:dyDescent="0.25">
      <c r="A55" s="533"/>
      <c r="B55" s="534" t="s">
        <v>165</v>
      </c>
      <c r="C55" s="534" t="s">
        <v>331</v>
      </c>
      <c r="D55" s="536">
        <v>50</v>
      </c>
      <c r="E55" s="540">
        <v>69.999899999999997</v>
      </c>
      <c r="F55" s="59" t="str">
        <f>IF(AND(Economics!$F$204=PremiumBackEnd!B55,Economics!$F$205=C55,$B$72&lt;=PremiumBackEnd!E55,$B$72&gt;=PremiumBackEnd!D55),"X","")</f>
        <v/>
      </c>
      <c r="G55" s="537">
        <v>4.0500000000000001E-2</v>
      </c>
      <c r="I55" s="59" t="str">
        <f>IF(AND(Economics!$AU$57=PremiumBackEnd!B55,Economics!$F$205=PremiumBackEnd!C55,PremiumBackEnd!$B$72&lt;=PremiumBackEnd!E55,PremiumBackEnd!$B$72&gt;=PremiumBackEnd!D55),"X","")</f>
        <v/>
      </c>
      <c r="J55" s="57">
        <f>+PremiumBackEnd!G55</f>
        <v>4.0500000000000001E-2</v>
      </c>
      <c r="L55" s="59" t="str">
        <f>IF(AND(Economics!$AV$57=PremiumBackEnd!B55,Economics!$F$205=PremiumBackEnd!C55,PremiumBackEnd!$B$72&lt;=PremiumBackEnd!E55,PremiumBackEnd!$B$72&gt;=PremiumBackEnd!D55),"X","")</f>
        <v/>
      </c>
      <c r="M55" s="57">
        <f>+PremiumBackEnd!G55</f>
        <v>4.0500000000000001E-2</v>
      </c>
      <c r="P55" s="529">
        <f>+G55-Q55</f>
        <v>1.55E-2</v>
      </c>
      <c r="Q55" s="538">
        <v>2.5000000000000001E-2</v>
      </c>
    </row>
    <row r="56" spans="1:17" x14ac:dyDescent="0.25">
      <c r="A56" s="533"/>
      <c r="B56" s="534" t="s">
        <v>165</v>
      </c>
      <c r="C56" s="534" t="s">
        <v>331</v>
      </c>
      <c r="D56" s="536">
        <v>70</v>
      </c>
      <c r="E56" s="540">
        <v>99.999899999999997</v>
      </c>
      <c r="F56" s="59" t="str">
        <f>IF(AND(Economics!$F$204=PremiumBackEnd!B56,Economics!$F$205=C56,$B$72&lt;=PremiumBackEnd!E56,$B$72&gt;=PremiumBackEnd!D56),"X","")</f>
        <v/>
      </c>
      <c r="G56" s="537">
        <v>3.5499999999999997E-2</v>
      </c>
      <c r="I56" s="59" t="str">
        <f>IF(AND(Economics!$AU$57=PremiumBackEnd!B56,Economics!$F$205=PremiumBackEnd!C56,PremiumBackEnd!$B$72&lt;=PremiumBackEnd!E56,PremiumBackEnd!$B$72&gt;=PremiumBackEnd!D56),"X","")</f>
        <v/>
      </c>
      <c r="J56" s="57">
        <f>+PremiumBackEnd!G56</f>
        <v>3.5499999999999997E-2</v>
      </c>
      <c r="L56" s="59" t="str">
        <f>IF(AND(Economics!$AV$57=PremiumBackEnd!B56,Economics!$F$205=PremiumBackEnd!C56,PremiumBackEnd!$B$72&lt;=PremiumBackEnd!E56,PremiumBackEnd!$B$72&gt;=PremiumBackEnd!D56),"X","")</f>
        <v/>
      </c>
      <c r="M56" s="57">
        <f>+PremiumBackEnd!G56</f>
        <v>3.5499999999999997E-2</v>
      </c>
      <c r="P56" s="529">
        <f>+G56-Q56</f>
        <v>1.5499999999999996E-2</v>
      </c>
      <c r="Q56" s="538">
        <v>0.02</v>
      </c>
    </row>
    <row r="57" spans="1:17" x14ac:dyDescent="0.25">
      <c r="A57" s="533"/>
      <c r="B57" s="534" t="s">
        <v>165</v>
      </c>
      <c r="C57" s="534" t="s">
        <v>331</v>
      </c>
      <c r="D57" s="536">
        <v>100</v>
      </c>
      <c r="E57" s="536">
        <v>99999</v>
      </c>
      <c r="F57" s="59" t="str">
        <f>IF(AND(Economics!$F$204=PremiumBackEnd!B57,Economics!$F$205=C57,$B$72&lt;=PremiumBackEnd!E57,$B$72&gt;=PremiumBackEnd!D57),"X","")</f>
        <v/>
      </c>
      <c r="G57" s="537">
        <v>2.8000000000000001E-2</v>
      </c>
      <c r="I57" s="59" t="str">
        <f>IF(AND(Economics!$AU$57=PremiumBackEnd!B57,Economics!$F$205=PremiumBackEnd!C57,PremiumBackEnd!$B$72&lt;=PremiumBackEnd!E57,PremiumBackEnd!$B$72&gt;=PremiumBackEnd!D57),"X","")</f>
        <v/>
      </c>
      <c r="J57" s="57">
        <f>+PremiumBackEnd!G57</f>
        <v>2.8000000000000001E-2</v>
      </c>
      <c r="L57" s="59" t="str">
        <f>IF(AND(Economics!$AV$57=PremiumBackEnd!B57,Economics!$F$205=PremiumBackEnd!C57,PremiumBackEnd!$B$72&lt;=PremiumBackEnd!E57,PremiumBackEnd!$B$72&gt;=PremiumBackEnd!D57),"X","")</f>
        <v/>
      </c>
      <c r="M57" s="57">
        <f>+PremiumBackEnd!G57</f>
        <v>2.8000000000000001E-2</v>
      </c>
      <c r="P57" s="529">
        <f>+G57-Q57</f>
        <v>1.55E-2</v>
      </c>
      <c r="Q57" s="538">
        <v>1.2500000000000001E-2</v>
      </c>
    </row>
    <row r="58" spans="1:17" x14ac:dyDescent="0.25">
      <c r="A58" s="533"/>
      <c r="B58" s="533"/>
      <c r="C58" s="533"/>
      <c r="I58" s="56"/>
      <c r="L58" s="56"/>
      <c r="Q58" s="529"/>
    </row>
    <row r="59" spans="1:17" x14ac:dyDescent="0.25">
      <c r="A59" s="67"/>
      <c r="B59" s="67"/>
      <c r="C59" s="67"/>
      <c r="D59" s="67" t="s">
        <v>379</v>
      </c>
      <c r="E59" s="67" t="s">
        <v>380</v>
      </c>
      <c r="F59" s="67" t="s">
        <v>381</v>
      </c>
      <c r="G59" s="67" t="s">
        <v>382</v>
      </c>
      <c r="Q59" s="529"/>
    </row>
    <row r="60" spans="1:17" x14ac:dyDescent="0.25">
      <c r="A60" s="533" t="str">
        <f t="shared" ref="A60:A67" si="0">B60&amp;C60</f>
        <v>Standard Rental HousingMLI Market</v>
      </c>
      <c r="B60" s="534" t="s">
        <v>788</v>
      </c>
      <c r="C60" s="534" t="s">
        <v>166</v>
      </c>
      <c r="D60" s="541">
        <v>1.3</v>
      </c>
      <c r="E60" s="541">
        <v>1.2</v>
      </c>
      <c r="F60" s="541">
        <v>1.5</v>
      </c>
      <c r="G60" s="1426">
        <v>1.4</v>
      </c>
    </row>
    <row r="61" spans="1:17" x14ac:dyDescent="0.25">
      <c r="A61" s="533" t="str">
        <f t="shared" si="0"/>
        <v>Standard Rental HousingMLI Select</v>
      </c>
      <c r="B61" s="534" t="s">
        <v>788</v>
      </c>
      <c r="C61" s="534" t="s">
        <v>165</v>
      </c>
      <c r="D61" s="541">
        <v>1.1000000000000001</v>
      </c>
      <c r="E61" s="541">
        <v>1.1000000000000001</v>
      </c>
      <c r="F61" s="541">
        <v>1.4</v>
      </c>
      <c r="G61" s="1426">
        <v>1.4</v>
      </c>
    </row>
    <row r="62" spans="1:17" x14ac:dyDescent="0.25">
      <c r="A62" s="533" t="str">
        <f t="shared" si="0"/>
        <v>StudentMLI Market</v>
      </c>
      <c r="B62" s="534" t="s">
        <v>326</v>
      </c>
      <c r="C62" s="534" t="s">
        <v>166</v>
      </c>
      <c r="D62" s="541">
        <v>1.4</v>
      </c>
      <c r="E62" s="541">
        <v>1.3</v>
      </c>
      <c r="F62" s="541">
        <v>1.5</v>
      </c>
      <c r="G62" s="1426">
        <v>1.4</v>
      </c>
    </row>
    <row r="63" spans="1:17" x14ac:dyDescent="0.25">
      <c r="A63" s="533" t="str">
        <f t="shared" si="0"/>
        <v>StudentMLI Select</v>
      </c>
      <c r="B63" s="534" t="s">
        <v>326</v>
      </c>
      <c r="C63" s="534" t="s">
        <v>165</v>
      </c>
      <c r="D63" s="541">
        <v>1.2</v>
      </c>
      <c r="E63" s="541">
        <v>1.2</v>
      </c>
      <c r="F63" s="541">
        <v>1.4</v>
      </c>
      <c r="G63" s="1426">
        <v>1.4</v>
      </c>
    </row>
    <row r="64" spans="1:17" x14ac:dyDescent="0.25">
      <c r="A64" s="533" t="str">
        <f t="shared" si="0"/>
        <v>SROMLI Market</v>
      </c>
      <c r="B64" s="534" t="s">
        <v>327</v>
      </c>
      <c r="C64" s="534" t="s">
        <v>166</v>
      </c>
      <c r="D64" s="541">
        <v>1.3</v>
      </c>
      <c r="E64" s="541">
        <v>1.2</v>
      </c>
      <c r="F64" s="541">
        <v>1.5</v>
      </c>
      <c r="G64" s="1426">
        <v>1.4</v>
      </c>
    </row>
    <row r="65" spans="1:7" x14ac:dyDescent="0.25">
      <c r="A65" s="533" t="str">
        <f t="shared" si="0"/>
        <v>SROMLI Select</v>
      </c>
      <c r="B65" s="534" t="s">
        <v>327</v>
      </c>
      <c r="C65" s="534" t="s">
        <v>165</v>
      </c>
      <c r="D65" s="541">
        <v>1.2</v>
      </c>
      <c r="E65" s="541">
        <v>1.2</v>
      </c>
      <c r="F65" s="541">
        <v>1.4</v>
      </c>
      <c r="G65" s="1426">
        <v>1.4</v>
      </c>
    </row>
    <row r="66" spans="1:7" x14ac:dyDescent="0.25">
      <c r="A66" s="533" t="str">
        <f t="shared" si="0"/>
        <v>RetirementMLI Market</v>
      </c>
      <c r="B66" s="534" t="s">
        <v>328</v>
      </c>
      <c r="C66" s="534" t="s">
        <v>166</v>
      </c>
      <c r="D66" s="541">
        <v>1.5</v>
      </c>
      <c r="E66" s="541">
        <v>1.4</v>
      </c>
      <c r="F66" s="541">
        <v>1.5</v>
      </c>
      <c r="G66" s="1426">
        <v>1.4</v>
      </c>
    </row>
    <row r="67" spans="1:7" x14ac:dyDescent="0.25">
      <c r="A67" s="533" t="str">
        <f t="shared" si="0"/>
        <v>RetirementMLI Select</v>
      </c>
      <c r="B67" s="534" t="s">
        <v>328</v>
      </c>
      <c r="C67" s="534" t="s">
        <v>165</v>
      </c>
      <c r="D67" s="541">
        <v>1.2</v>
      </c>
      <c r="E67" s="541">
        <v>1.2</v>
      </c>
      <c r="F67" s="541">
        <v>1.4</v>
      </c>
      <c r="G67" s="1426">
        <v>1.4</v>
      </c>
    </row>
    <row r="68" spans="1:7" x14ac:dyDescent="0.25">
      <c r="D68" s="304"/>
      <c r="E68" s="304"/>
    </row>
    <row r="69" spans="1:7" x14ac:dyDescent="0.25">
      <c r="D69" s="304"/>
      <c r="E69" s="304"/>
    </row>
    <row r="70" spans="1:7" x14ac:dyDescent="0.25">
      <c r="A70" s="536" t="s">
        <v>160</v>
      </c>
      <c r="B70" s="58" t="e">
        <f>+IF(AND(Economics!J251&lt;&gt;0,ISNUMBER(Economics!J251)),Economics!J251,IF(AND(Economics!H169=0,Economics!I155=0),Economics!H80,SUM(Economics!H158,Economics!I155)/Economics!H54))</f>
        <v>#DIV/0!</v>
      </c>
    </row>
    <row r="71" spans="1:7" x14ac:dyDescent="0.25">
      <c r="A71" s="536" t="s">
        <v>383</v>
      </c>
      <c r="B71" s="34" t="e">
        <f>IF(B70&gt;0.8,"80%-85%",IF(B70&gt;0.75,"75%-80%",IF(B70&gt;0.7,"70%-75%",IF(B70&gt;0.65,"65%-70%","&lt;65%"))))</f>
        <v>#DIV/0!</v>
      </c>
    </row>
    <row r="72" spans="1:7" x14ac:dyDescent="0.25">
      <c r="A72" s="536" t="s">
        <v>384</v>
      </c>
      <c r="B72" s="34">
        <f>SUM(Economics!F217:F219)</f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7B40-D520-446C-8BB1-50E75BBE2423}">
  <dimension ref="B2:S84"/>
  <sheetViews>
    <sheetView showGridLines="0" zoomScaleNormal="100" workbookViewId="0"/>
  </sheetViews>
  <sheetFormatPr defaultRowHeight="15" x14ac:dyDescent="0.25"/>
  <cols>
    <col min="1" max="1" width="2.7109375" customWidth="1"/>
    <col min="2" max="2" width="34.7109375" customWidth="1"/>
    <col min="3" max="3" width="21.5703125" customWidth="1"/>
    <col min="4" max="4" width="13.5703125" bestFit="1" customWidth="1"/>
    <col min="5" max="8" width="15.7109375" customWidth="1"/>
    <col min="9" max="9" width="13.5703125" customWidth="1"/>
    <col min="10" max="10" width="14.42578125" bestFit="1" customWidth="1"/>
    <col min="11" max="11" width="15.42578125" bestFit="1" customWidth="1"/>
    <col min="12" max="12" width="17.85546875" customWidth="1"/>
    <col min="13" max="13" width="3.5703125" customWidth="1"/>
    <col min="14" max="15" width="10.85546875" customWidth="1"/>
    <col min="16" max="16" width="22.42578125" bestFit="1" customWidth="1"/>
    <col min="18" max="18" width="20.28515625" bestFit="1" customWidth="1"/>
    <col min="19" max="19" width="18" bestFit="1" customWidth="1"/>
  </cols>
  <sheetData>
    <row r="2" spans="2:16" ht="18.75" x14ac:dyDescent="0.3">
      <c r="B2" s="1422" t="s">
        <v>775</v>
      </c>
    </row>
    <row r="4" spans="2:16" x14ac:dyDescent="0.25">
      <c r="B4" s="1064" t="s">
        <v>785</v>
      </c>
      <c r="G4" s="1433" t="s">
        <v>370</v>
      </c>
      <c r="H4" s="1433"/>
      <c r="I4" s="1433"/>
      <c r="J4" s="1433"/>
      <c r="K4" s="1433"/>
      <c r="N4" s="1064" t="s">
        <v>790</v>
      </c>
    </row>
    <row r="5" spans="2:16" x14ac:dyDescent="0.25">
      <c r="B5" s="1470" t="s">
        <v>774</v>
      </c>
      <c r="C5" s="1471" t="s">
        <v>260</v>
      </c>
      <c r="D5" s="1472" t="s">
        <v>372</v>
      </c>
      <c r="E5" s="1472" t="s">
        <v>373</v>
      </c>
      <c r="F5" s="1472" t="s">
        <v>374</v>
      </c>
      <c r="G5" s="1472" t="s">
        <v>813</v>
      </c>
      <c r="H5" s="1472" t="s">
        <v>814</v>
      </c>
      <c r="I5" s="1472" t="s">
        <v>815</v>
      </c>
      <c r="J5" s="1472" t="s">
        <v>794</v>
      </c>
      <c r="K5" s="1472" t="s">
        <v>376</v>
      </c>
      <c r="L5" s="1473" t="s">
        <v>786</v>
      </c>
      <c r="N5" s="1437" t="s">
        <v>791</v>
      </c>
      <c r="O5" s="1438"/>
      <c r="P5" s="1439" t="s">
        <v>792</v>
      </c>
    </row>
    <row r="6" spans="2:16" x14ac:dyDescent="0.25">
      <c r="B6" s="1474" t="s">
        <v>773</v>
      </c>
      <c r="C6" s="1475" t="s">
        <v>788</v>
      </c>
      <c r="D6" s="1424">
        <v>0</v>
      </c>
      <c r="E6" s="1424">
        <v>0.65</v>
      </c>
      <c r="F6" s="1434" t="e">
        <f>IF(AND($P$6=$B6,$P$7=$C6,$P$8&gt;=$D6,$P$8&lt;=$E6),"X","")</f>
        <v>#DIV/0!</v>
      </c>
      <c r="G6" s="1434" t="e">
        <f>IF(AND(Economics!$F$200=$B6,Economics!$F$203=$C6,Economics!$AJ$75&gt;=$D6,Economics!$AJ$75&lt;=$E6),"X","")</f>
        <v>#N/A</v>
      </c>
      <c r="H6" s="1434" t="e">
        <f>IF(AND(Economics!$F$200=$B6,Economics!$F$203=$C6,Economics!$AK$75&gt;=$D6,Economics!$AK$75&lt;=$E6),"X","")</f>
        <v>#N/A</v>
      </c>
      <c r="I6" s="1434" t="e">
        <f>IF(AND(Economics!$F$200=$B6,Economics!$F$203=$C6,Economics!$AL$75&gt;=$D6,Economics!$AL$75&lt;=$E6),"X","")</f>
        <v>#N/A</v>
      </c>
      <c r="J6" s="1434" t="e">
        <f>IF(AND(Economics!$F$200=$B6,Economics!$F$203=$C6,Economics!$AM$75&gt;=$D6,Economics!$AM$75&lt;=$E6),"X","")</f>
        <v>#N/A</v>
      </c>
      <c r="K6" s="1435" t="e">
        <f>IF(AND(Economics!$F$200=$B6,Economics!$F$203=$C6,Economics!$AN$75&gt;=$D6,Economics!$AN$75&lt;=$E6),"X","")</f>
        <v>#N/A</v>
      </c>
      <c r="L6" s="1546">
        <v>3.2500000000000001E-2</v>
      </c>
      <c r="N6" s="1547" t="s">
        <v>256</v>
      </c>
      <c r="O6" s="1548"/>
      <c r="P6" s="1600" t="str">
        <f>Economics!$F$200</f>
        <v>&lt;Loan Type&gt;</v>
      </c>
    </row>
    <row r="7" spans="2:16" x14ac:dyDescent="0.25">
      <c r="B7" s="1474" t="s">
        <v>773</v>
      </c>
      <c r="C7" s="1475" t="s">
        <v>788</v>
      </c>
      <c r="D7" s="1425">
        <f>E6+0.001%</f>
        <v>0.65000999999999998</v>
      </c>
      <c r="E7" s="1424">
        <v>0.7</v>
      </c>
      <c r="F7" s="1434" t="e">
        <f t="shared" ref="F7:F12" si="0">IF(AND($P$6=$B7,$P$7=$C7,$P$8&gt;=$D7,$P$8&lt;=$E7),"X","")</f>
        <v>#DIV/0!</v>
      </c>
      <c r="G7" s="1434" t="e">
        <f>IF(AND(Economics!$F$200=$B7,Economics!$F$203=$C7,Economics!$AJ$75&gt;=$D7,Economics!$AJ$75&lt;=$E7),"X","")</f>
        <v>#N/A</v>
      </c>
      <c r="H7" s="1434" t="e">
        <f>IF(AND(Economics!$F$200=$B7,Economics!$F$203=$C7,Economics!$AK$75&gt;=$D7,Economics!$AK$75&lt;=$E7),"X","")</f>
        <v>#N/A</v>
      </c>
      <c r="I7" s="1434" t="e">
        <f>IF(AND(Economics!$F$200=$B7,Economics!$F$203=$C7,Economics!$AL$75&gt;=$D7,Economics!$AL$75&lt;=$E7),"X","")</f>
        <v>#N/A</v>
      </c>
      <c r="J7" s="1434" t="e">
        <f>IF(AND(Economics!$F$200=$B7,Economics!$F$203=$C7,Economics!$AM$75&gt;=$D7,Economics!$AM$75&lt;=$E7),"X","")</f>
        <v>#N/A</v>
      </c>
      <c r="K7" s="1435" t="e">
        <f>IF(AND(Economics!$F$200=$B7,Economics!$F$203=$C7,Economics!$AN$75&gt;=$D7,Economics!$AN$75&lt;=$E7),"X","")</f>
        <v>#N/A</v>
      </c>
      <c r="L7" s="1546">
        <v>3.7499999999999999E-2</v>
      </c>
      <c r="N7" s="1549" t="s">
        <v>260</v>
      </c>
      <c r="P7" s="1550" t="str">
        <f>Economics!$F$203</f>
        <v>&lt;Housing Type&gt;</v>
      </c>
    </row>
    <row r="8" spans="2:16" x14ac:dyDescent="0.25">
      <c r="B8" s="1474" t="s">
        <v>773</v>
      </c>
      <c r="C8" s="1475" t="s">
        <v>788</v>
      </c>
      <c r="D8" s="1425">
        <f t="shared" ref="D8:D12" si="1">E7+0.001%</f>
        <v>0.70000999999999991</v>
      </c>
      <c r="E8" s="1424">
        <v>0.75</v>
      </c>
      <c r="F8" s="1434" t="e">
        <f t="shared" si="0"/>
        <v>#DIV/0!</v>
      </c>
      <c r="G8" s="1434" t="e">
        <f>IF(AND(Economics!$F$200=$B8,Economics!$F$203=$C8,Economics!$AJ$75&gt;=$D8,Economics!$AJ$75&lt;=$E8),"X","")</f>
        <v>#N/A</v>
      </c>
      <c r="H8" s="1434" t="e">
        <f>IF(AND(Economics!$F$200=$B8,Economics!$F$203=$C8,Economics!$AK$75&gt;=$D8,Economics!$AK$75&lt;=$E8),"X","")</f>
        <v>#N/A</v>
      </c>
      <c r="I8" s="1434" t="e">
        <f>IF(AND(Economics!$F$200=$B8,Economics!$F$203=$C8,Economics!$AL$75&gt;=$D8,Economics!$AL$75&lt;=$E8),"X","")</f>
        <v>#N/A</v>
      </c>
      <c r="J8" s="1434" t="e">
        <f>IF(AND(Economics!$F$200=$B8,Economics!$F$203=$C8,Economics!$AM$75&gt;=$D8,Economics!$AM$75&lt;=$E8),"X","")</f>
        <v>#N/A</v>
      </c>
      <c r="K8" s="1435" t="e">
        <f>IF(AND(Economics!$F$200=$B8,Economics!$F$203=$C8,Economics!$AN$75&gt;=$D8,Economics!$AN$75&lt;=$E8),"X","")</f>
        <v>#N/A</v>
      </c>
      <c r="L8" s="1546">
        <v>4.2500000000000003E-2</v>
      </c>
      <c r="N8" s="1549" t="s">
        <v>160</v>
      </c>
      <c r="P8" s="1601" t="e">
        <f>+IF(AND(Economics!J251&lt;&gt;0,ISNUMBER(Economics!J251)),Economics!J251,IF(AND(Economics!H169=0,Economics!I155=0),Economics!H80,SUM(Economics!H158,Economics!I155)/Economics!H54))</f>
        <v>#DIV/0!</v>
      </c>
    </row>
    <row r="9" spans="2:16" x14ac:dyDescent="0.25">
      <c r="B9" s="1474" t="s">
        <v>773</v>
      </c>
      <c r="C9" s="1475" t="s">
        <v>788</v>
      </c>
      <c r="D9" s="1425">
        <f t="shared" si="1"/>
        <v>0.75000999999999995</v>
      </c>
      <c r="E9" s="1424">
        <v>0.8</v>
      </c>
      <c r="F9" s="1434" t="e">
        <f t="shared" si="0"/>
        <v>#DIV/0!</v>
      </c>
      <c r="G9" s="1434" t="e">
        <f>IF(AND(Economics!$F$200=$B9,Economics!$F$203=$C9,Economics!$AJ$75&gt;=$D9,Economics!$AJ$75&lt;=$E9),"X","")</f>
        <v>#N/A</v>
      </c>
      <c r="H9" s="1434" t="e">
        <f>IF(AND(Economics!$F$200=$B9,Economics!$F$203=$C9,Economics!$AK$75&gt;=$D9,Economics!$AK$75&lt;=$E9),"X","")</f>
        <v>#N/A</v>
      </c>
      <c r="I9" s="1434" t="e">
        <f>IF(AND(Economics!$F$200=$B9,Economics!$F$203=$C9,Economics!$AL$75&gt;=$D9,Economics!$AL$75&lt;=$E9),"X","")</f>
        <v>#N/A</v>
      </c>
      <c r="J9" s="1434" t="e">
        <f>IF(AND(Economics!$F$200=$B9,Economics!$F$203=$C9,Economics!$AM$75&gt;=$D9,Economics!$AM$75&lt;=$E9),"X","")</f>
        <v>#N/A</v>
      </c>
      <c r="K9" s="1435" t="e">
        <f>IF(AND(Economics!$F$200=$B9,Economics!$F$203=$C9,Economics!$AN$75&gt;=$D9,Economics!$AN$75&lt;=$E9),"X","")</f>
        <v>#N/A</v>
      </c>
      <c r="L9" s="1546">
        <v>0.05</v>
      </c>
      <c r="N9" s="1549" t="s">
        <v>383</v>
      </c>
      <c r="P9" s="1550" t="e">
        <f>IF(P8&gt;0.9,"&gt;90%",IF(P8&gt;0.85,"85%-90%",IF(P8&gt;0.8,"80%-85%",IF(P8&gt;0.75,"75%-80%",IF(P8&gt;0.7,"70%-75%",IF(P8&gt;0.65,"65%-70%","&lt;65%"))))))</f>
        <v>#DIV/0!</v>
      </c>
    </row>
    <row r="10" spans="2:16" x14ac:dyDescent="0.25">
      <c r="B10" s="1474" t="s">
        <v>773</v>
      </c>
      <c r="C10" s="1475" t="s">
        <v>788</v>
      </c>
      <c r="D10" s="1425">
        <f t="shared" si="1"/>
        <v>0.80001</v>
      </c>
      <c r="E10" s="1424">
        <v>0.85</v>
      </c>
      <c r="F10" s="1434" t="e">
        <f t="shared" si="0"/>
        <v>#DIV/0!</v>
      </c>
      <c r="G10" s="1434" t="e">
        <f>IF(AND(Economics!$F$200=$B10,Economics!$F$203=$C10,Economics!$AJ$75&gt;=$D10,Economics!$AJ$75&lt;=$E10),"X","")</f>
        <v>#N/A</v>
      </c>
      <c r="H10" s="1434" t="e">
        <f>IF(AND(Economics!$F$200=$B10,Economics!$F$203=$C10,Economics!$AK$75&gt;=$D10,Economics!$AK$75&lt;=$E10),"X","")</f>
        <v>#N/A</v>
      </c>
      <c r="I10" s="1434" t="e">
        <f>IF(AND(Economics!$F$200=$B10,Economics!$F$203=$C10,Economics!$AL$75&gt;=$D10,Economics!$AL$75&lt;=$E10),"X","")</f>
        <v>#N/A</v>
      </c>
      <c r="J10" s="1434" t="e">
        <f>IF(AND(Economics!$F$200=$B10,Economics!$F$203=$C10,Economics!$AM$75&gt;=$D10,Economics!$AM$75&lt;=$E10),"X","")</f>
        <v>#N/A</v>
      </c>
      <c r="K10" s="1435" t="e">
        <f>IF(AND(Economics!$F$200=$B10,Economics!$F$203=$C10,Economics!$AN$75&gt;=$D10,Economics!$AN$75&lt;=$E10),"X","")</f>
        <v>#N/A</v>
      </c>
      <c r="L10" s="1546">
        <v>0.06</v>
      </c>
      <c r="N10" s="1549" t="s">
        <v>384</v>
      </c>
      <c r="P10" s="1550">
        <f>SUM(Economics!F217:F219)</f>
        <v>0</v>
      </c>
    </row>
    <row r="11" spans="2:16" x14ac:dyDescent="0.25">
      <c r="B11" s="1474" t="s">
        <v>773</v>
      </c>
      <c r="C11" s="1475" t="s">
        <v>788</v>
      </c>
      <c r="D11" s="1425">
        <f t="shared" si="1"/>
        <v>0.85000999999999993</v>
      </c>
      <c r="E11" s="1424">
        <v>0.9</v>
      </c>
      <c r="F11" s="1434" t="e">
        <f t="shared" si="0"/>
        <v>#DIV/0!</v>
      </c>
      <c r="G11" s="1434" t="e">
        <f>IF(AND(Economics!$F$200=$B11,Economics!$F$203=$C11,Economics!$AJ$75&gt;=$D11,Economics!$AJ$75&lt;=$E11),"X","")</f>
        <v>#N/A</v>
      </c>
      <c r="H11" s="1434" t="e">
        <f>IF(AND(Economics!$F$200=$B11,Economics!$F$203=$C11,Economics!$AK$75&gt;=$D11,Economics!$AK$75&lt;=$E11),"X","")</f>
        <v>#N/A</v>
      </c>
      <c r="I11" s="1434" t="e">
        <f>IF(AND(Economics!$F$200=$B11,Economics!$F$203=$C11,Economics!$AL$75&gt;=$D11,Economics!$AL$75&lt;=$E11),"X","")</f>
        <v>#N/A</v>
      </c>
      <c r="J11" s="1434" t="e">
        <f>IF(AND(Economics!$F$200=$B11,Economics!$F$203=$C11,Economics!$AM$75&gt;=$D11,Economics!$AM$75&lt;=$E11),"X","")</f>
        <v>#N/A</v>
      </c>
      <c r="K11" s="1435" t="e">
        <f>IF(AND(Economics!$F$200=$B11,Economics!$F$203=$C11,Economics!$AN$75&gt;=$D11,Economics!$AN$75&lt;=$E11),"X","")</f>
        <v>#N/A</v>
      </c>
      <c r="L11" s="1546">
        <v>6.7500000000000004E-2</v>
      </c>
      <c r="N11" s="1549" t="s">
        <v>782</v>
      </c>
      <c r="P11" s="1550" t="str">
        <f>Economics!F205</f>
        <v>&lt;EGI Test Met&gt;</v>
      </c>
    </row>
    <row r="12" spans="2:16" x14ac:dyDescent="0.25">
      <c r="B12" s="1474" t="s">
        <v>773</v>
      </c>
      <c r="C12" s="1475" t="s">
        <v>788</v>
      </c>
      <c r="D12" s="1425">
        <f t="shared" si="1"/>
        <v>0.90000999999999998</v>
      </c>
      <c r="E12" s="1424">
        <v>1</v>
      </c>
      <c r="F12" s="1434" t="e">
        <f t="shared" si="0"/>
        <v>#DIV/0!</v>
      </c>
      <c r="G12" s="1434" t="e">
        <f>IF(AND(Economics!$F$200=$B12,Economics!$F$203=$C12,Economics!$AJ$75&gt;=$D12,Economics!$AJ$75&lt;=$E12),"X","")</f>
        <v>#N/A</v>
      </c>
      <c r="H12" s="1434" t="e">
        <f>IF(AND(Economics!$F$200=$B12,Economics!$F$203=$C12,Economics!$AK$75&gt;=$D12,Economics!$AK$75&lt;=$E12),"X","")</f>
        <v>#N/A</v>
      </c>
      <c r="I12" s="1434" t="e">
        <f>IF(AND(Economics!$F$200=$B12,Economics!$F$203=$C12,Economics!$AL$75&gt;=$D12,Economics!$AL$75&lt;=$E12),"X","")</f>
        <v>#N/A</v>
      </c>
      <c r="J12" s="1434" t="e">
        <f>IF(AND(Economics!$F$200=$B12,Economics!$F$203=$C12,Economics!$AM$75&gt;=$D12,Economics!$AM$75&lt;=$E12),"X","")</f>
        <v>#N/A</v>
      </c>
      <c r="K12" s="1435" t="e">
        <f>IF(AND(Economics!$F$200=$B12,Economics!$F$203=$C12,Economics!$AN$75&gt;=$D12,Economics!$AN$75&lt;=$E12),"X","")</f>
        <v>#N/A</v>
      </c>
      <c r="L12" s="1546">
        <v>7.0000000000000007E-2</v>
      </c>
      <c r="N12" s="1551" t="s">
        <v>256</v>
      </c>
      <c r="P12" s="1550" t="str">
        <f>Economics!F200</f>
        <v>&lt;Loan Type&gt;</v>
      </c>
    </row>
    <row r="13" spans="2:16" x14ac:dyDescent="0.25">
      <c r="B13" s="1474"/>
      <c r="C13" s="1556"/>
      <c r="F13" s="1557"/>
      <c r="G13" s="1557"/>
      <c r="H13" s="1557"/>
      <c r="I13" s="1557"/>
      <c r="J13" s="1557"/>
      <c r="K13" s="1558"/>
      <c r="L13" s="1559"/>
      <c r="N13" s="1551" t="s">
        <v>831</v>
      </c>
      <c r="P13" s="1599" t="str">
        <f>Economics!$F$211</f>
        <v>Populate Rent Roll</v>
      </c>
    </row>
    <row r="14" spans="2:16" x14ac:dyDescent="0.25">
      <c r="B14" s="1474" t="s">
        <v>773</v>
      </c>
      <c r="C14" s="1475" t="s">
        <v>326</v>
      </c>
      <c r="D14" s="1424">
        <v>0</v>
      </c>
      <c r="E14" s="1424">
        <v>0.65</v>
      </c>
      <c r="F14" s="1434" t="e">
        <f t="shared" ref="F14:F20" si="2">IF(AND($P$6=$B14,$P$7=$C14,$P$8&gt;=$D14,$P$8&lt;=$E14),"X","")</f>
        <v>#DIV/0!</v>
      </c>
      <c r="G14" s="1434" t="e">
        <f>IF(AND(Economics!$F$200=$B14,Economics!$F$203=$C14,Economics!$AJ$75&gt;=$D14,Economics!$AJ$75&lt;=$E14),"X","")</f>
        <v>#N/A</v>
      </c>
      <c r="H14" s="1434" t="e">
        <f>IF(AND(Economics!$F$200=$B14,Economics!$F$203=$C14,Economics!$AK$75&gt;=$D14,Economics!$AK$75&lt;=$E14),"X","")</f>
        <v>#N/A</v>
      </c>
      <c r="I14" s="1434" t="e">
        <f>IF(AND(Economics!$F$200=$B14,Economics!$F$203=$C14,Economics!$AL$75&gt;=$D14,Economics!$AL$75&lt;=$E14),"X","")</f>
        <v>#N/A</v>
      </c>
      <c r="J14" s="1434" t="e">
        <f>IF(AND(Economics!$F$200=$B14,Economics!$F$203=$C14,Economics!$AM$75&gt;=$D14,Economics!$AM$75&lt;=$E14),"X","")</f>
        <v>#N/A</v>
      </c>
      <c r="K14" s="1435" t="e">
        <f>IF(AND(Economics!$F$200=$B14,Economics!$F$203=$C14,Economics!$AN$75&gt;=$D14,Economics!$AN$75&lt;=$E14),"X","")</f>
        <v>#N/A</v>
      </c>
      <c r="L14" s="1546">
        <v>6.5500000000000003E-2</v>
      </c>
      <c r="N14" s="1440" t="s">
        <v>795</v>
      </c>
      <c r="O14" s="1552"/>
      <c r="P14" s="1553"/>
    </row>
    <row r="15" spans="2:16" x14ac:dyDescent="0.25">
      <c r="B15" s="1474" t="s">
        <v>773</v>
      </c>
      <c r="C15" s="1475" t="s">
        <v>326</v>
      </c>
      <c r="D15" s="1425">
        <f>E14+0.001%</f>
        <v>0.65000999999999998</v>
      </c>
      <c r="E15" s="1424">
        <v>0.7</v>
      </c>
      <c r="F15" s="1434" t="e">
        <f t="shared" si="2"/>
        <v>#DIV/0!</v>
      </c>
      <c r="G15" s="1434" t="e">
        <f>IF(AND(Economics!$F$200=$B15,Economics!$F$203=$C15,Economics!$AJ$75&gt;=$D15,Economics!$AJ$75&lt;=$E15),"X","")</f>
        <v>#N/A</v>
      </c>
      <c r="H15" s="1434" t="e">
        <f>IF(AND(Economics!$F$200=$B15,Economics!$F$203=$C15,Economics!$AK$75&gt;=$D15,Economics!$AK$75&lt;=$E15),"X","")</f>
        <v>#N/A</v>
      </c>
      <c r="I15" s="1434" t="e">
        <f>IF(AND(Economics!$F$200=$B15,Economics!$F$203=$C15,Economics!$AL$75&gt;=$D15,Economics!$AL$75&lt;=$E15),"X","")</f>
        <v>#N/A</v>
      </c>
      <c r="J15" s="1434" t="e">
        <f>IF(AND(Economics!$F$200=$B15,Economics!$F$203=$C15,Economics!$AM$75&gt;=$D15,Economics!$AM$75&lt;=$E15),"X","")</f>
        <v>#N/A</v>
      </c>
      <c r="K15" s="1435" t="e">
        <f>IF(AND(Economics!$F$200=$B15,Economics!$F$203=$C15,Economics!$AN$75&gt;=$D15,Economics!$AN$75&lt;=$E15),"X","")</f>
        <v>#N/A</v>
      </c>
      <c r="L15" s="1546">
        <v>6.8500000000000005E-2</v>
      </c>
      <c r="N15" s="1554" t="s">
        <v>789</v>
      </c>
      <c r="P15" s="1555" t="e">
        <f>INDEX(L6:L68,MATCH("X",F6:F68,0))</f>
        <v>#N/A</v>
      </c>
    </row>
    <row r="16" spans="2:16" x14ac:dyDescent="0.25">
      <c r="B16" s="1474" t="s">
        <v>773</v>
      </c>
      <c r="C16" s="1475" t="s">
        <v>326</v>
      </c>
      <c r="D16" s="1425">
        <f t="shared" ref="D16:D20" si="3">E15+0.001%</f>
        <v>0.70000999999999991</v>
      </c>
      <c r="E16" s="1424">
        <v>0.75</v>
      </c>
      <c r="F16" s="1434" t="e">
        <f t="shared" si="2"/>
        <v>#DIV/0!</v>
      </c>
      <c r="G16" s="1434" t="e">
        <f>IF(AND(Economics!$F$200=$B16,Economics!$F$203=$C16,Economics!$AJ$75&gt;=$D16,Economics!$AJ$75&lt;=$E16),"X","")</f>
        <v>#N/A</v>
      </c>
      <c r="H16" s="1434" t="e">
        <f>IF(AND(Economics!$F$200=$B16,Economics!$F$203=$C16,Economics!$AK$75&gt;=$D16,Economics!$AK$75&lt;=$E16),"X","")</f>
        <v>#N/A</v>
      </c>
      <c r="I16" s="1434" t="e">
        <f>IF(AND(Economics!$F$200=$B16,Economics!$F$203=$C16,Economics!$AL$75&gt;=$D16,Economics!$AL$75&lt;=$E16),"X","")</f>
        <v>#N/A</v>
      </c>
      <c r="J16" s="1434" t="e">
        <f>IF(AND(Economics!$F$200=$B16,Economics!$F$203=$C16,Economics!$AM$75&gt;=$D16,Economics!$AM$75&lt;=$E16),"X","")</f>
        <v>#N/A</v>
      </c>
      <c r="K16" s="1435" t="e">
        <f>IF(AND(Economics!$F$200=$B16,Economics!$F$203=$C16,Economics!$AN$75&gt;=$D16,Economics!$AN$75&lt;=$E16),"X","")</f>
        <v>#N/A</v>
      </c>
      <c r="L16" s="1546">
        <v>7.1499999999999994E-2</v>
      </c>
      <c r="N16" s="1560" t="s">
        <v>776</v>
      </c>
      <c r="P16" s="1561">
        <f>IF(P10&lt;N21,0,IF(AND(P10&gt;=N21,P10&lt;=O21),P21,IF(AND(P10&gt;=N22,P10&lt;=O22),P22,IF(AND(P10&gt;=N23,P10&lt;=O23),P23))))</f>
        <v>0</v>
      </c>
    </row>
    <row r="17" spans="2:19" x14ac:dyDescent="0.25">
      <c r="B17" s="1474" t="s">
        <v>773</v>
      </c>
      <c r="C17" s="1475" t="s">
        <v>326</v>
      </c>
      <c r="D17" s="1425">
        <f t="shared" si="3"/>
        <v>0.75000999999999995</v>
      </c>
      <c r="E17" s="1424">
        <v>0.8</v>
      </c>
      <c r="F17" s="1434" t="e">
        <f t="shared" si="2"/>
        <v>#DIV/0!</v>
      </c>
      <c r="G17" s="1434" t="e">
        <f>IF(AND(Economics!$F$200=$B17,Economics!$F$203=$C17,Economics!$AJ$75&gt;=$D17,Economics!$AJ$75&lt;=$E17),"X","")</f>
        <v>#N/A</v>
      </c>
      <c r="H17" s="1434" t="e">
        <f>IF(AND(Economics!$F$200=$B17,Economics!$F$203=$C17,Economics!$AK$75&gt;=$D17,Economics!$AK$75&lt;=$E17),"X","")</f>
        <v>#N/A</v>
      </c>
      <c r="I17" s="1434" t="e">
        <f>IF(AND(Economics!$F$200=$B17,Economics!$F$203=$C17,Economics!$AL$75&gt;=$D17,Economics!$AL$75&lt;=$E17),"X","")</f>
        <v>#N/A</v>
      </c>
      <c r="J17" s="1434" t="e">
        <f>IF(AND(Economics!$F$200=$B17,Economics!$F$203=$C17,Economics!$AM$75&gt;=$D17,Economics!$AM$75&lt;=$E17),"X","")</f>
        <v>#N/A</v>
      </c>
      <c r="K17" s="1435" t="e">
        <f>IF(AND(Economics!$F$200=$B17,Economics!$F$203=$C17,Economics!$AN$75&gt;=$D17,Economics!$AN$75&lt;=$E17),"X","")</f>
        <v>#N/A</v>
      </c>
      <c r="L17" s="1546">
        <v>7.2999999999999995E-2</v>
      </c>
      <c r="N17" s="1562" t="s">
        <v>781</v>
      </c>
      <c r="O17" s="1563"/>
      <c r="P17" s="1564" t="str">
        <f>IF(P12="Construction Financing", 0, IF(P11="Yes",P27,IF(P11="No",P28,"Populate EGI Test Field")))</f>
        <v>Populate EGI Test Field</v>
      </c>
    </row>
    <row r="18" spans="2:19" x14ac:dyDescent="0.25">
      <c r="B18" s="1474" t="s">
        <v>773</v>
      </c>
      <c r="C18" s="1475" t="s">
        <v>326</v>
      </c>
      <c r="D18" s="1425">
        <f t="shared" si="3"/>
        <v>0.80001</v>
      </c>
      <c r="E18" s="1424">
        <v>0.85</v>
      </c>
      <c r="F18" s="1434" t="e">
        <f t="shared" si="2"/>
        <v>#DIV/0!</v>
      </c>
      <c r="G18" s="1434" t="e">
        <f>IF(AND(Economics!$F$200=$B18,Economics!$F$203=$C18,Economics!$AJ$75&gt;=$D18,Economics!$AJ$75&lt;=$E18),"X","")</f>
        <v>#N/A</v>
      </c>
      <c r="H18" s="1434" t="e">
        <f>IF(AND(Economics!$F$200=$B18,Economics!$F$203=$C18,Economics!$AK$75&gt;=$D18,Economics!$AK$75&lt;=$E18),"X","")</f>
        <v>#N/A</v>
      </c>
      <c r="I18" s="1434" t="e">
        <f>IF(AND(Economics!$F$200=$B18,Economics!$F$203=$C18,Economics!$AL$75&gt;=$D18,Economics!$AL$75&lt;=$E18),"X","")</f>
        <v>#N/A</v>
      </c>
      <c r="J18" s="1434" t="e">
        <f>IF(AND(Economics!$F$200=$B18,Economics!$F$203=$C18,Economics!$AM$75&gt;=$D18,Economics!$AM$75&lt;=$E18),"X","")</f>
        <v>#N/A</v>
      </c>
      <c r="K18" s="1435" t="e">
        <f>IF(AND(Economics!$F$200=$B18,Economics!$F$203=$C18,Economics!$AN$75&gt;=$D18,Economics!$AN$75&lt;=$E18),"X","")</f>
        <v>#N/A</v>
      </c>
      <c r="L18" s="1546">
        <v>0.08</v>
      </c>
      <c r="R18" s="1064" t="s">
        <v>798</v>
      </c>
      <c r="S18" s="1064"/>
    </row>
    <row r="19" spans="2:19" x14ac:dyDescent="0.25">
      <c r="B19" s="1474" t="s">
        <v>773</v>
      </c>
      <c r="C19" s="1475" t="s">
        <v>326</v>
      </c>
      <c r="D19" s="1425">
        <f t="shared" si="3"/>
        <v>0.85000999999999993</v>
      </c>
      <c r="E19" s="1424">
        <v>0.9</v>
      </c>
      <c r="F19" s="1434" t="e">
        <f t="shared" si="2"/>
        <v>#DIV/0!</v>
      </c>
      <c r="G19" s="1434" t="e">
        <f>IF(AND(Economics!$F$200=$B19,Economics!$F$203=$C19,Economics!$AJ$75&gt;=$D19,Economics!$AJ$75&lt;=$E19),"X","")</f>
        <v>#N/A</v>
      </c>
      <c r="H19" s="1434" t="e">
        <f>IF(AND(Economics!$F$200=$B19,Economics!$F$203=$C19,Economics!$AK$75&gt;=$D19,Economics!$AK$75&lt;=$E19),"X","")</f>
        <v>#N/A</v>
      </c>
      <c r="I19" s="1434" t="e">
        <f>IF(AND(Economics!$F$200=$B19,Economics!$F$203=$C19,Economics!$AL$75&gt;=$D19,Economics!$AL$75&lt;=$E19),"X","")</f>
        <v>#N/A</v>
      </c>
      <c r="J19" s="1434" t="e">
        <f>IF(AND(Economics!$F$200=$B19,Economics!$F$203=$C19,Economics!$AM$75&gt;=$D19,Economics!$AM$75&lt;=$E19),"X","")</f>
        <v>#N/A</v>
      </c>
      <c r="K19" s="1435" t="e">
        <f>IF(AND(Economics!$F$200=$B19,Economics!$F$203=$C19,Economics!$AN$75&gt;=$D19,Economics!$AN$75&lt;=$E19),"X","")</f>
        <v>#N/A</v>
      </c>
      <c r="L19" s="1546">
        <v>8.2500000000000004E-2</v>
      </c>
      <c r="N19" s="1064" t="s">
        <v>779</v>
      </c>
      <c r="R19" s="1588" t="s">
        <v>825</v>
      </c>
      <c r="S19" s="1570" t="s">
        <v>827</v>
      </c>
    </row>
    <row r="20" spans="2:19" x14ac:dyDescent="0.25">
      <c r="B20" s="1474" t="s">
        <v>773</v>
      </c>
      <c r="C20" s="1475" t="s">
        <v>326</v>
      </c>
      <c r="D20" s="1425">
        <f t="shared" si="3"/>
        <v>0.90000999999999998</v>
      </c>
      <c r="E20" s="1424">
        <v>1</v>
      </c>
      <c r="F20" s="1434" t="e">
        <f t="shared" si="2"/>
        <v>#DIV/0!</v>
      </c>
      <c r="G20" s="1434" t="e">
        <f>IF(AND(Economics!$F$200=$B20,Economics!$F$203=$C20,Economics!$AJ$75&gt;=$D20,Economics!$AJ$75&lt;=$E20),"X","")</f>
        <v>#N/A</v>
      </c>
      <c r="H20" s="1434" t="e">
        <f>IF(AND(Economics!$F$200=$B20,Economics!$F$203=$C20,Economics!$AK$75&gt;=$D20,Economics!$AK$75&lt;=$E20),"X","")</f>
        <v>#N/A</v>
      </c>
      <c r="I20" s="1434" t="e">
        <f>IF(AND(Economics!$F$200=$B20,Economics!$F$203=$C20,Economics!$AL$75&gt;=$D20,Economics!$AL$75&lt;=$E20),"X","")</f>
        <v>#N/A</v>
      </c>
      <c r="J20" s="1434" t="e">
        <f>IF(AND(Economics!$F$200=$B20,Economics!$F$203=$C20,Economics!$AM$75&gt;=$D20,Economics!$AM$75&lt;=$E20),"X","")</f>
        <v>#N/A</v>
      </c>
      <c r="K20" s="1435" t="e">
        <f>IF(AND(Economics!$F$200=$B20,Economics!$F$203=$C20,Economics!$AN$75&gt;=$D20,Economics!$AN$75&lt;=$E20),"X","")</f>
        <v>#N/A</v>
      </c>
      <c r="L20" s="1546">
        <v>0.09</v>
      </c>
      <c r="N20" s="1470" t="s">
        <v>777</v>
      </c>
      <c r="O20" s="1472" t="s">
        <v>778</v>
      </c>
      <c r="P20" s="1473" t="s">
        <v>780</v>
      </c>
      <c r="R20" s="1589" t="s">
        <v>826</v>
      </c>
      <c r="S20" s="1590" t="s">
        <v>828</v>
      </c>
    </row>
    <row r="21" spans="2:19" x14ac:dyDescent="0.25">
      <c r="B21" s="1474"/>
      <c r="C21" s="1556"/>
      <c r="F21" s="1557"/>
      <c r="G21" s="1557"/>
      <c r="H21" s="1557"/>
      <c r="I21" s="1557"/>
      <c r="J21" s="1557"/>
      <c r="K21" s="1558"/>
      <c r="L21" s="1559"/>
      <c r="N21" s="1483">
        <v>50</v>
      </c>
      <c r="O21" s="1484">
        <v>69.999899999999997</v>
      </c>
      <c r="P21" s="1565">
        <v>0.1</v>
      </c>
      <c r="R21" s="1571">
        <v>1</v>
      </c>
      <c r="S21" s="1572">
        <v>0.75</v>
      </c>
    </row>
    <row r="22" spans="2:19" x14ac:dyDescent="0.25">
      <c r="B22" s="1474" t="s">
        <v>773</v>
      </c>
      <c r="C22" s="1475" t="s">
        <v>327</v>
      </c>
      <c r="D22" s="1424">
        <v>0</v>
      </c>
      <c r="E22" s="1424">
        <v>0.65</v>
      </c>
      <c r="F22" s="1434" t="e">
        <f t="shared" ref="F22:F28" si="4">IF(AND($P$6=$B22,$P$7=$C22,$P$8&gt;=$D22,$P$8&lt;=$E22),"X","")</f>
        <v>#DIV/0!</v>
      </c>
      <c r="G22" s="1434" t="e">
        <f>IF(AND(Economics!$F$200=$B22,Economics!$F$203=$C22,Economics!$AJ$75&gt;=$D22,Economics!$AJ$75&lt;=$E22),"X","")</f>
        <v>#N/A</v>
      </c>
      <c r="H22" s="1434" t="e">
        <f>IF(AND(Economics!$F$200=$B22,Economics!$F$203=$C22,Economics!$AK$75&gt;=$D22,Economics!$AK$75&lt;=$E22),"X","")</f>
        <v>#N/A</v>
      </c>
      <c r="I22" s="1434" t="e">
        <f>IF(AND(Economics!$F$200=$B22,Economics!$F$203=$C22,Economics!$AL$75&gt;=$D22,Economics!$AL$75&lt;=$E22),"X","")</f>
        <v>#N/A</v>
      </c>
      <c r="J22" s="1434" t="e">
        <f>IF(AND(Economics!$F$200=$B22,Economics!$F$203=$C22,Economics!$AM$75&gt;=$D22,Economics!$AM$75&lt;=$E22),"X","")</f>
        <v>#N/A</v>
      </c>
      <c r="K22" s="1435" t="e">
        <f>IF(AND(Economics!$F$200=$B22,Economics!$F$203=$C22,Economics!$AN$75&gt;=$D22,Economics!$AN$75&lt;=$E22),"X","")</f>
        <v>#N/A</v>
      </c>
      <c r="L22" s="1546">
        <v>6.5500000000000003E-2</v>
      </c>
      <c r="N22" s="1483">
        <v>70</v>
      </c>
      <c r="O22" s="1484">
        <v>99.999899999999997</v>
      </c>
      <c r="P22" s="1565">
        <v>0.2</v>
      </c>
      <c r="R22" s="1571">
        <v>2</v>
      </c>
      <c r="S22" s="1572">
        <v>0.7</v>
      </c>
    </row>
    <row r="23" spans="2:19" x14ac:dyDescent="0.25">
      <c r="B23" s="1474" t="s">
        <v>773</v>
      </c>
      <c r="C23" s="1475" t="s">
        <v>327</v>
      </c>
      <c r="D23" s="1425">
        <f>E22+0.001%</f>
        <v>0.65000999999999998</v>
      </c>
      <c r="E23" s="1424">
        <v>0.7</v>
      </c>
      <c r="F23" s="1434" t="e">
        <f t="shared" si="4"/>
        <v>#DIV/0!</v>
      </c>
      <c r="G23" s="1434" t="e">
        <f>IF(AND(Economics!$F$200=$B23,Economics!$F$203=$C23,Economics!$AJ$75&gt;=$D23,Economics!$AJ$75&lt;=$E23),"X","")</f>
        <v>#N/A</v>
      </c>
      <c r="H23" s="1434" t="e">
        <f>IF(AND(Economics!$F$200=$B23,Economics!$F$203=$C23,Economics!$AK$75&gt;=$D23,Economics!$AK$75&lt;=$E23),"X","")</f>
        <v>#N/A</v>
      </c>
      <c r="I23" s="1434" t="e">
        <f>IF(AND(Economics!$F$200=$B23,Economics!$F$203=$C23,Economics!$AL$75&gt;=$D23,Economics!$AL$75&lt;=$E23),"X","")</f>
        <v>#N/A</v>
      </c>
      <c r="J23" s="1434" t="e">
        <f>IF(AND(Economics!$F$200=$B23,Economics!$F$203=$C23,Economics!$AM$75&gt;=$D23,Economics!$AM$75&lt;=$E23),"X","")</f>
        <v>#N/A</v>
      </c>
      <c r="K23" s="1435" t="e">
        <f>IF(AND(Economics!$F$200=$B23,Economics!$F$203=$C23,Economics!$AN$75&gt;=$D23,Economics!$AN$75&lt;=$E23),"X","")</f>
        <v>#N/A</v>
      </c>
      <c r="L23" s="1546">
        <v>6.8500000000000005E-2</v>
      </c>
      <c r="N23" s="1485">
        <v>100</v>
      </c>
      <c r="O23" s="1486">
        <v>9999</v>
      </c>
      <c r="P23" s="1566">
        <v>0.3</v>
      </c>
      <c r="R23" s="1571">
        <v>3</v>
      </c>
      <c r="S23" s="1572">
        <v>0.6</v>
      </c>
    </row>
    <row r="24" spans="2:19" x14ac:dyDescent="0.25">
      <c r="B24" s="1474" t="s">
        <v>773</v>
      </c>
      <c r="C24" s="1475" t="s">
        <v>327</v>
      </c>
      <c r="D24" s="1425">
        <f t="shared" ref="D24:D28" si="5">E23+0.001%</f>
        <v>0.70000999999999991</v>
      </c>
      <c r="E24" s="1424">
        <v>0.75</v>
      </c>
      <c r="F24" s="1434" t="e">
        <f t="shared" si="4"/>
        <v>#DIV/0!</v>
      </c>
      <c r="G24" s="1434" t="e">
        <f>IF(AND(Economics!$F$200=$B24,Economics!$F$203=$C24,Economics!$AJ$75&gt;=$D24,Economics!$AJ$75&lt;=$E24),"X","")</f>
        <v>#N/A</v>
      </c>
      <c r="H24" s="1434" t="e">
        <f>IF(AND(Economics!$F$200=$B24,Economics!$F$203=$C24,Economics!$AK$75&gt;=$D24,Economics!$AK$75&lt;=$E24),"X","")</f>
        <v>#N/A</v>
      </c>
      <c r="I24" s="1434" t="e">
        <f>IF(AND(Economics!$F$200=$B24,Economics!$F$203=$C24,Economics!$AL$75&gt;=$D24,Economics!$AL$75&lt;=$E24),"X","")</f>
        <v>#N/A</v>
      </c>
      <c r="J24" s="1434" t="e">
        <f>IF(AND(Economics!$F$200=$B24,Economics!$F$203=$C24,Economics!$AM$75&gt;=$D24,Economics!$AM$75&lt;=$E24),"X","")</f>
        <v>#N/A</v>
      </c>
      <c r="K24" s="1435" t="e">
        <f>IF(AND(Economics!$F$200=$B24,Economics!$F$203=$C24,Economics!$AN$75&gt;=$D24,Economics!$AN$75&lt;=$E24),"X","")</f>
        <v>#N/A</v>
      </c>
      <c r="L24" s="1546">
        <v>7.1499999999999994E-2</v>
      </c>
      <c r="R24" s="1571">
        <v>4</v>
      </c>
      <c r="S24" s="1572">
        <v>0.5</v>
      </c>
    </row>
    <row r="25" spans="2:19" x14ac:dyDescent="0.25">
      <c r="B25" s="1474" t="s">
        <v>773</v>
      </c>
      <c r="C25" s="1475" t="s">
        <v>327</v>
      </c>
      <c r="D25" s="1425">
        <f t="shared" si="5"/>
        <v>0.75000999999999995</v>
      </c>
      <c r="E25" s="1424">
        <v>0.8</v>
      </c>
      <c r="F25" s="1434" t="e">
        <f t="shared" si="4"/>
        <v>#DIV/0!</v>
      </c>
      <c r="G25" s="1434" t="e">
        <f>IF(AND(Economics!$F$200=$B25,Economics!$F$203=$C25,Economics!$AJ$75&gt;=$D25,Economics!$AJ$75&lt;=$E25),"X","")</f>
        <v>#N/A</v>
      </c>
      <c r="H25" s="1434" t="e">
        <f>IF(AND(Economics!$F$200=$B25,Economics!$F$203=$C25,Economics!$AK$75&gt;=$D25,Economics!$AK$75&lt;=$E25),"X","")</f>
        <v>#N/A</v>
      </c>
      <c r="I25" s="1434" t="e">
        <f>IF(AND(Economics!$F$200=$B25,Economics!$F$203=$C25,Economics!$AL$75&gt;=$D25,Economics!$AL$75&lt;=$E25),"X","")</f>
        <v>#N/A</v>
      </c>
      <c r="J25" s="1434" t="e">
        <f>IF(AND(Economics!$F$200=$B25,Economics!$F$203=$C25,Economics!$AM$75&gt;=$D25,Economics!$AM$75&lt;=$E25),"X","")</f>
        <v>#N/A</v>
      </c>
      <c r="K25" s="1435" t="e">
        <f>IF(AND(Economics!$F$200=$B25,Economics!$F$203=$C25,Economics!$AN$75&gt;=$D25,Economics!$AN$75&lt;=$E25),"X","")</f>
        <v>#N/A</v>
      </c>
      <c r="L25" s="1546">
        <v>7.2999999999999995E-2</v>
      </c>
      <c r="N25" s="1064" t="s">
        <v>784</v>
      </c>
      <c r="R25" s="1571">
        <v>5</v>
      </c>
      <c r="S25" s="1572">
        <v>0.4</v>
      </c>
    </row>
    <row r="26" spans="2:19" x14ac:dyDescent="0.25">
      <c r="B26" s="1474" t="s">
        <v>773</v>
      </c>
      <c r="C26" s="1475" t="s">
        <v>327</v>
      </c>
      <c r="D26" s="1425">
        <f t="shared" si="5"/>
        <v>0.80001</v>
      </c>
      <c r="E26" s="1424">
        <v>0.85</v>
      </c>
      <c r="F26" s="1434" t="e">
        <f t="shared" si="4"/>
        <v>#DIV/0!</v>
      </c>
      <c r="G26" s="1434" t="e">
        <f>IF(AND(Economics!$F$200=$B26,Economics!$F$203=$C26,Economics!$AJ$75&gt;=$D26,Economics!$AJ$75&lt;=$E26),"X","")</f>
        <v>#N/A</v>
      </c>
      <c r="H26" s="1434" t="e">
        <f>IF(AND(Economics!$F$200=$B26,Economics!$F$203=$C26,Economics!$AK$75&gt;=$D26,Economics!$AK$75&lt;=$E26),"X","")</f>
        <v>#N/A</v>
      </c>
      <c r="I26" s="1434" t="e">
        <f>IF(AND(Economics!$F$200=$B26,Economics!$F$203=$C26,Economics!$AL$75&gt;=$D26,Economics!$AL$75&lt;=$E26),"X","")</f>
        <v>#N/A</v>
      </c>
      <c r="J26" s="1434" t="e">
        <f>IF(AND(Economics!$F$200=$B26,Economics!$F$203=$C26,Economics!$AM$75&gt;=$D26,Economics!$AM$75&lt;=$E26),"X","")</f>
        <v>#N/A</v>
      </c>
      <c r="K26" s="1435" t="e">
        <f>IF(AND(Economics!$F$200=$B26,Economics!$F$203=$C26,Economics!$AN$75&gt;=$D26,Economics!$AN$75&lt;=$E26),"X","")</f>
        <v>#N/A</v>
      </c>
      <c r="L26" s="1546">
        <v>0.08</v>
      </c>
      <c r="N26" s="1470" t="s">
        <v>782</v>
      </c>
      <c r="O26" s="1472"/>
      <c r="P26" s="1473" t="s">
        <v>783</v>
      </c>
      <c r="R26" s="1571">
        <v>6</v>
      </c>
      <c r="S26" s="1572">
        <v>0.3</v>
      </c>
    </row>
    <row r="27" spans="2:19" x14ac:dyDescent="0.25">
      <c r="B27" s="1474" t="s">
        <v>773</v>
      </c>
      <c r="C27" s="1475" t="s">
        <v>327</v>
      </c>
      <c r="D27" s="1425">
        <f t="shared" si="5"/>
        <v>0.85000999999999993</v>
      </c>
      <c r="E27" s="1424">
        <v>0.9</v>
      </c>
      <c r="F27" s="1434" t="e">
        <f t="shared" si="4"/>
        <v>#DIV/0!</v>
      </c>
      <c r="G27" s="1434" t="e">
        <f>IF(AND(Economics!$F$200=$B27,Economics!$F$203=$C27,Economics!$AJ$75&gt;=$D27,Economics!$AJ$75&lt;=$E27),"X","")</f>
        <v>#N/A</v>
      </c>
      <c r="H27" s="1434" t="e">
        <f>IF(AND(Economics!$F$200=$B27,Economics!$F$203=$C27,Economics!$AK$75&gt;=$D27,Economics!$AK$75&lt;=$E27),"X","")</f>
        <v>#N/A</v>
      </c>
      <c r="I27" s="1434" t="e">
        <f>IF(AND(Economics!$F$200=$B27,Economics!$F$203=$C27,Economics!$AL$75&gt;=$D27,Economics!$AL$75&lt;=$E27),"X","")</f>
        <v>#N/A</v>
      </c>
      <c r="J27" s="1434" t="e">
        <f>IF(AND(Economics!$F$200=$B27,Economics!$F$203=$C27,Economics!$AM$75&gt;=$D27,Economics!$AM$75&lt;=$E27),"X","")</f>
        <v>#N/A</v>
      </c>
      <c r="K27" s="1435" t="e">
        <f>IF(AND(Economics!$F$200=$B27,Economics!$F$203=$C27,Economics!$AN$75&gt;=$D27,Economics!$AN$75&lt;=$E27),"X","")</f>
        <v>#N/A</v>
      </c>
      <c r="L27" s="1546">
        <v>8.2500000000000004E-2</v>
      </c>
      <c r="N27" s="1474" t="s">
        <v>330</v>
      </c>
      <c r="P27" s="1546">
        <v>0</v>
      </c>
      <c r="R27" s="1573">
        <v>7</v>
      </c>
      <c r="S27" s="1574">
        <v>0.2</v>
      </c>
    </row>
    <row r="28" spans="2:19" x14ac:dyDescent="0.25">
      <c r="B28" s="1474" t="s">
        <v>773</v>
      </c>
      <c r="C28" s="1475" t="s">
        <v>327</v>
      </c>
      <c r="D28" s="1425">
        <f t="shared" si="5"/>
        <v>0.90000999999999998</v>
      </c>
      <c r="E28" s="1424">
        <v>1</v>
      </c>
      <c r="F28" s="1434" t="e">
        <f t="shared" si="4"/>
        <v>#DIV/0!</v>
      </c>
      <c r="G28" s="1434" t="e">
        <f>IF(AND(Economics!$F$200=$B28,Economics!$F$203=$C28,Economics!$AJ$75&gt;=$D28,Economics!$AJ$75&lt;=$E28),"X","")</f>
        <v>#N/A</v>
      </c>
      <c r="H28" s="1434" t="e">
        <f>IF(AND(Economics!$F$200=$B28,Economics!$F$203=$C28,Economics!$AK$75&gt;=$D28,Economics!$AK$75&lt;=$E28),"X","")</f>
        <v>#N/A</v>
      </c>
      <c r="I28" s="1434" t="e">
        <f>IF(AND(Economics!$F$200=$B28,Economics!$F$203=$C28,Economics!$AL$75&gt;=$D28,Economics!$AL$75&lt;=$E28),"X","")</f>
        <v>#N/A</v>
      </c>
      <c r="J28" s="1434" t="e">
        <f>IF(AND(Economics!$F$200=$B28,Economics!$F$203=$C28,Economics!$AM$75&gt;=$D28,Economics!$AM$75&lt;=$E28),"X","")</f>
        <v>#N/A</v>
      </c>
      <c r="K28" s="1435" t="e">
        <f>IF(AND(Economics!$F$200=$B28,Economics!$F$203=$C28,Economics!$AN$75&gt;=$D28,Economics!$AN$75&lt;=$E28),"X","")</f>
        <v>#N/A</v>
      </c>
      <c r="L28" s="1546">
        <v>0.09</v>
      </c>
      <c r="N28" s="1477" t="s">
        <v>331</v>
      </c>
      <c r="O28" s="1552"/>
      <c r="P28" s="1567">
        <v>2.5000000000000001E-3</v>
      </c>
    </row>
    <row r="29" spans="2:19" x14ac:dyDescent="0.25">
      <c r="B29" s="1474"/>
      <c r="C29" s="1556"/>
      <c r="F29" s="1557"/>
      <c r="G29" s="1557"/>
      <c r="H29" s="1557"/>
      <c r="I29" s="1557"/>
      <c r="J29" s="1557"/>
      <c r="K29" s="1558"/>
      <c r="L29" s="1559"/>
    </row>
    <row r="30" spans="2:19" x14ac:dyDescent="0.25">
      <c r="B30" s="1474" t="s">
        <v>773</v>
      </c>
      <c r="C30" s="1475" t="s">
        <v>328</v>
      </c>
      <c r="D30" s="1424">
        <v>0</v>
      </c>
      <c r="E30" s="1424">
        <v>0.65</v>
      </c>
      <c r="F30" s="1434" t="e">
        <f t="shared" ref="F30:F36" si="6">IF(AND($P$6=$B30,$P$7=$C30,$P$8&gt;=$D30,$P$8&lt;=$E30),"X","")</f>
        <v>#DIV/0!</v>
      </c>
      <c r="G30" s="1434" t="e">
        <f>IF(AND(Economics!$F$200=$B30,Economics!$F$203=$C30,Economics!$AJ$75&gt;=$D30,Economics!$AJ$75&lt;=$E30),"X","")</f>
        <v>#N/A</v>
      </c>
      <c r="H30" s="1434" t="e">
        <f>IF(AND(Economics!$F$200=$B30,Economics!$F$203=$C30,Economics!$AK$75&gt;=$D30,Economics!$AK$75&lt;=$E30),"X","")</f>
        <v>#N/A</v>
      </c>
      <c r="I30" s="1434" t="e">
        <f>IF(AND(Economics!$F$200=$B30,Economics!$F$203=$C30,Economics!$AL$75&gt;=$D30,Economics!$AL$75&lt;=$E30),"X","")</f>
        <v>#N/A</v>
      </c>
      <c r="J30" s="1434" t="e">
        <f>IF(AND(Economics!$F$200=$B30,Economics!$F$203=$C30,Economics!$AM$75&gt;=$D30,Economics!$AM$75&lt;=$E30),"X","")</f>
        <v>#N/A</v>
      </c>
      <c r="K30" s="1435" t="e">
        <f>IF(AND(Economics!$F$200=$B30,Economics!$F$203=$C30,Economics!$AN$75&gt;=$D30,Economics!$AN$75&lt;=$E30),"X","")</f>
        <v>#N/A</v>
      </c>
      <c r="L30" s="1546">
        <v>6.5500000000000003E-2</v>
      </c>
    </row>
    <row r="31" spans="2:19" x14ac:dyDescent="0.25">
      <c r="B31" s="1474" t="s">
        <v>773</v>
      </c>
      <c r="C31" s="1475" t="s">
        <v>328</v>
      </c>
      <c r="D31" s="1425">
        <f>E30+0.001%</f>
        <v>0.65000999999999998</v>
      </c>
      <c r="E31" s="1424">
        <v>0.7</v>
      </c>
      <c r="F31" s="1434" t="e">
        <f t="shared" si="6"/>
        <v>#DIV/0!</v>
      </c>
      <c r="G31" s="1434" t="e">
        <f>IF(AND(Economics!$F$200=$B31,Economics!$F$203=$C31,Economics!$AJ$75&gt;=$D31,Economics!$AJ$75&lt;=$E31),"X","")</f>
        <v>#N/A</v>
      </c>
      <c r="H31" s="1434" t="e">
        <f>IF(AND(Economics!$F$200=$B31,Economics!$F$203=$C31,Economics!$AK$75&gt;=$D31,Economics!$AK$75&lt;=$E31),"X","")</f>
        <v>#N/A</v>
      </c>
      <c r="I31" s="1434" t="e">
        <f>IF(AND(Economics!$F$200=$B31,Economics!$F$203=$C31,Economics!$AL$75&gt;=$D31,Economics!$AL$75&lt;=$E31),"X","")</f>
        <v>#N/A</v>
      </c>
      <c r="J31" s="1434" t="e">
        <f>IF(AND(Economics!$F$200=$B31,Economics!$F$203=$C31,Economics!$AM$75&gt;=$D31,Economics!$AM$75&lt;=$E31),"X","")</f>
        <v>#N/A</v>
      </c>
      <c r="K31" s="1435" t="e">
        <f>IF(AND(Economics!$F$200=$B31,Economics!$F$203=$C31,Economics!$AN$75&gt;=$D31,Economics!$AN$75&lt;=$E31),"X","")</f>
        <v>#N/A</v>
      </c>
      <c r="L31" s="1546">
        <v>6.8500000000000005E-2</v>
      </c>
    </row>
    <row r="32" spans="2:19" x14ac:dyDescent="0.25">
      <c r="B32" s="1474" t="s">
        <v>773</v>
      </c>
      <c r="C32" s="1475" t="s">
        <v>328</v>
      </c>
      <c r="D32" s="1425">
        <f t="shared" ref="D32:D36" si="7">E31+0.001%</f>
        <v>0.70000999999999991</v>
      </c>
      <c r="E32" s="1424">
        <v>0.75</v>
      </c>
      <c r="F32" s="1434" t="e">
        <f t="shared" si="6"/>
        <v>#DIV/0!</v>
      </c>
      <c r="G32" s="1434" t="e">
        <f>IF(AND(Economics!$F$200=$B32,Economics!$F$203=$C32,Economics!$AJ$75&gt;=$D32,Economics!$AJ$75&lt;=$E32),"X","")</f>
        <v>#N/A</v>
      </c>
      <c r="H32" s="1434" t="e">
        <f>IF(AND(Economics!$F$200=$B32,Economics!$F$203=$C32,Economics!$AK$75&gt;=$D32,Economics!$AK$75&lt;=$E32),"X","")</f>
        <v>#N/A</v>
      </c>
      <c r="I32" s="1434" t="e">
        <f>IF(AND(Economics!$F$200=$B32,Economics!$F$203=$C32,Economics!$AL$75&gt;=$D32,Economics!$AL$75&lt;=$E32),"X","")</f>
        <v>#N/A</v>
      </c>
      <c r="J32" s="1434" t="e">
        <f>IF(AND(Economics!$F$200=$B32,Economics!$F$203=$C32,Economics!$AM$75&gt;=$D32,Economics!$AM$75&lt;=$E32),"X","")</f>
        <v>#N/A</v>
      </c>
      <c r="K32" s="1435" t="e">
        <f>IF(AND(Economics!$F$200=$B32,Economics!$F$203=$C32,Economics!$AN$75&gt;=$D32,Economics!$AN$75&lt;=$E32),"X","")</f>
        <v>#N/A</v>
      </c>
      <c r="L32" s="1546">
        <v>7.1499999999999994E-2</v>
      </c>
    </row>
    <row r="33" spans="2:13" x14ac:dyDescent="0.25">
      <c r="B33" s="1474" t="s">
        <v>773</v>
      </c>
      <c r="C33" s="1475" t="s">
        <v>328</v>
      </c>
      <c r="D33" s="1425">
        <f t="shared" si="7"/>
        <v>0.75000999999999995</v>
      </c>
      <c r="E33" s="1424">
        <v>0.8</v>
      </c>
      <c r="F33" s="1434" t="e">
        <f t="shared" si="6"/>
        <v>#DIV/0!</v>
      </c>
      <c r="G33" s="1434" t="e">
        <f>IF(AND(Economics!$F$200=$B33,Economics!$F$203=$C33,Economics!$AJ$75&gt;=$D33,Economics!$AJ$75&lt;=$E33),"X","")</f>
        <v>#N/A</v>
      </c>
      <c r="H33" s="1434" t="e">
        <f>IF(AND(Economics!$F$200=$B33,Economics!$F$203=$C33,Economics!$AK$75&gt;=$D33,Economics!$AK$75&lt;=$E33),"X","")</f>
        <v>#N/A</v>
      </c>
      <c r="I33" s="1434" t="e">
        <f>IF(AND(Economics!$F$200=$B33,Economics!$F$203=$C33,Economics!$AL$75&gt;=$D33,Economics!$AL$75&lt;=$E33),"X","")</f>
        <v>#N/A</v>
      </c>
      <c r="J33" s="1434" t="e">
        <f>IF(AND(Economics!$F$200=$B33,Economics!$F$203=$C33,Economics!$AM$75&gt;=$D33,Economics!$AM$75&lt;=$E33),"X","")</f>
        <v>#N/A</v>
      </c>
      <c r="K33" s="1435" t="e">
        <f>IF(AND(Economics!$F$200=$B33,Economics!$F$203=$C33,Economics!$AN$75&gt;=$D33,Economics!$AN$75&lt;=$E33),"X","")</f>
        <v>#N/A</v>
      </c>
      <c r="L33" s="1546">
        <v>7.2999999999999995E-2</v>
      </c>
    </row>
    <row r="34" spans="2:13" x14ac:dyDescent="0.25">
      <c r="B34" s="1474" t="s">
        <v>773</v>
      </c>
      <c r="C34" s="1475" t="s">
        <v>328</v>
      </c>
      <c r="D34" s="1425">
        <f t="shared" si="7"/>
        <v>0.80001</v>
      </c>
      <c r="E34" s="1424">
        <v>0.85</v>
      </c>
      <c r="F34" s="1434" t="e">
        <f t="shared" si="6"/>
        <v>#DIV/0!</v>
      </c>
      <c r="G34" s="1434" t="e">
        <f>IF(AND(Economics!$F$200=$B34,Economics!$F$203=$C34,Economics!$AJ$75&gt;=$D34,Economics!$AJ$75&lt;=$E34),"X","")</f>
        <v>#N/A</v>
      </c>
      <c r="H34" s="1434" t="e">
        <f>IF(AND(Economics!$F$200=$B34,Economics!$F$203=$C34,Economics!$AK$75&gt;=$D34,Economics!$AK$75&lt;=$E34),"X","")</f>
        <v>#N/A</v>
      </c>
      <c r="I34" s="1434" t="e">
        <f>IF(AND(Economics!$F$200=$B34,Economics!$F$203=$C34,Economics!$AL$75&gt;=$D34,Economics!$AL$75&lt;=$E34),"X","")</f>
        <v>#N/A</v>
      </c>
      <c r="J34" s="1434" t="e">
        <f>IF(AND(Economics!$F$200=$B34,Economics!$F$203=$C34,Economics!$AM$75&gt;=$D34,Economics!$AM$75&lt;=$E34),"X","")</f>
        <v>#N/A</v>
      </c>
      <c r="K34" s="1435" t="e">
        <f>IF(AND(Economics!$F$200=$B34,Economics!$F$203=$C34,Economics!$AN$75&gt;=$D34,Economics!$AN$75&lt;=$E34),"X","")</f>
        <v>#N/A</v>
      </c>
      <c r="L34" s="1546">
        <v>0.08</v>
      </c>
    </row>
    <row r="35" spans="2:13" x14ac:dyDescent="0.25">
      <c r="B35" s="1474" t="s">
        <v>773</v>
      </c>
      <c r="C35" s="1475" t="s">
        <v>328</v>
      </c>
      <c r="D35" s="1425">
        <f t="shared" si="7"/>
        <v>0.85000999999999993</v>
      </c>
      <c r="E35" s="1424">
        <v>0.9</v>
      </c>
      <c r="F35" s="1434" t="e">
        <f t="shared" si="6"/>
        <v>#DIV/0!</v>
      </c>
      <c r="G35" s="1434" t="e">
        <f>IF(AND(Economics!$F$200=$B35,Economics!$F$203=$C35,Economics!$AJ$75&gt;=$D35,Economics!$AJ$75&lt;=$E35),"X","")</f>
        <v>#N/A</v>
      </c>
      <c r="H35" s="1434" t="e">
        <f>IF(AND(Economics!$F$200=$B35,Economics!$F$203=$C35,Economics!$AK$75&gt;=$D35,Economics!$AK$75&lt;=$E35),"X","")</f>
        <v>#N/A</v>
      </c>
      <c r="I35" s="1434" t="e">
        <f>IF(AND(Economics!$F$200=$B35,Economics!$F$203=$C35,Economics!$AL$75&gt;=$D35,Economics!$AL$75&lt;=$E35),"X","")</f>
        <v>#N/A</v>
      </c>
      <c r="J35" s="1434" t="e">
        <f>IF(AND(Economics!$F$200=$B35,Economics!$F$203=$C35,Economics!$AM$75&gt;=$D35,Economics!$AM$75&lt;=$E35),"X","")</f>
        <v>#N/A</v>
      </c>
      <c r="K35" s="1435" t="e">
        <f>IF(AND(Economics!$F$200=$B35,Economics!$F$203=$C35,Economics!$AN$75&gt;=$D35,Economics!$AN$75&lt;=$E35),"X","")</f>
        <v>#N/A</v>
      </c>
      <c r="L35" s="1546">
        <v>8.2500000000000004E-2</v>
      </c>
    </row>
    <row r="36" spans="2:13" x14ac:dyDescent="0.25">
      <c r="B36" s="1474" t="s">
        <v>773</v>
      </c>
      <c r="C36" s="1475" t="s">
        <v>328</v>
      </c>
      <c r="D36" s="1425">
        <f t="shared" si="7"/>
        <v>0.90000999999999998</v>
      </c>
      <c r="E36" s="1424">
        <v>1</v>
      </c>
      <c r="F36" s="1434" t="e">
        <f t="shared" si="6"/>
        <v>#DIV/0!</v>
      </c>
      <c r="G36" s="1434" t="e">
        <f>IF(AND(Economics!$F$200=$B36,Economics!$F$203=$C36,Economics!$AJ$75&gt;=$D36,Economics!$AJ$75&lt;=$E36),"X","")</f>
        <v>#N/A</v>
      </c>
      <c r="H36" s="1434" t="e">
        <f>IF(AND(Economics!$F$200=$B36,Economics!$F$203=$C36,Economics!$AK$75&gt;=$D36,Economics!$AK$75&lt;=$E36),"X","")</f>
        <v>#N/A</v>
      </c>
      <c r="I36" s="1434" t="e">
        <f>IF(AND(Economics!$F$200=$B36,Economics!$F$203=$C36,Economics!$AL$75&gt;=$D36,Economics!$AL$75&lt;=$E36),"X","")</f>
        <v>#N/A</v>
      </c>
      <c r="J36" s="1434" t="e">
        <f>IF(AND(Economics!$F$200=$B36,Economics!$F$203=$C36,Economics!$AM$75&gt;=$D36,Economics!$AM$75&lt;=$E36),"X","")</f>
        <v>#N/A</v>
      </c>
      <c r="K36" s="1435" t="e">
        <f>IF(AND(Economics!$F$200=$B36,Economics!$F$203=$C36,Economics!$AN$75&gt;=$D36,Economics!$AN$75&lt;=$E36),"X","")</f>
        <v>#N/A</v>
      </c>
      <c r="L36" s="1546">
        <v>0.09</v>
      </c>
    </row>
    <row r="37" spans="2:13" x14ac:dyDescent="0.25">
      <c r="B37" s="1474"/>
      <c r="C37" s="1556"/>
      <c r="F37" s="1557"/>
      <c r="G37" s="1557"/>
      <c r="H37" s="1557"/>
      <c r="I37" s="1557"/>
      <c r="J37" s="1557"/>
      <c r="K37" s="1558"/>
      <c r="L37" s="1559"/>
    </row>
    <row r="38" spans="2:13" x14ac:dyDescent="0.25">
      <c r="B38" s="1474" t="s">
        <v>787</v>
      </c>
      <c r="C38" s="1475" t="s">
        <v>788</v>
      </c>
      <c r="D38" s="1424">
        <v>0</v>
      </c>
      <c r="E38" s="1424">
        <v>0.65</v>
      </c>
      <c r="F38" s="1434" t="e">
        <f t="shared" ref="F38:F44" si="8">IF(AND($P$6=$B38,$P$7=$C38,$P$8&gt;=$D38,$P$8&lt;=$E38),"X","")</f>
        <v>#DIV/0!</v>
      </c>
      <c r="G38" s="1434" t="e">
        <f>IF(AND(Economics!$F$200=$B38,Economics!$F$203=$C38,Economics!$AJ$75&gt;=$D38,Economics!$AJ$75&lt;=$E38),"X","")</f>
        <v>#N/A</v>
      </c>
      <c r="H38" s="1434" t="e">
        <f>IF(AND(Economics!$F$200=$B38,Economics!$F$203=$C38,Economics!$AK$75&gt;=$D38,Economics!$AK$75&lt;=$E38),"X","")</f>
        <v>#N/A</v>
      </c>
      <c r="I38" s="1434" t="e">
        <f>IF(AND(Economics!$F$200=$B38,Economics!$F$203=$C38,Economics!$AL$75&gt;=$D38,Economics!$AL$75&lt;=$E38),"X","")</f>
        <v>#N/A</v>
      </c>
      <c r="J38" s="1434" t="e">
        <f>IF(AND(Economics!$F$200=$B38,Economics!$F$203=$C38,Economics!$AM$75&gt;=$D38,Economics!$AM$75&lt;=$E38),"X","")</f>
        <v>#N/A</v>
      </c>
      <c r="K38" s="1435" t="e">
        <f>IF(AND(Economics!$F$200=$B38,Economics!$F$203=$C38,Economics!$AN$75&gt;=$D38,Economics!$AN$75&lt;=$E38),"X","")</f>
        <v>#N/A</v>
      </c>
      <c r="L38" s="1546">
        <v>2.5999999999999999E-2</v>
      </c>
    </row>
    <row r="39" spans="2:13" x14ac:dyDescent="0.25">
      <c r="B39" s="1474" t="s">
        <v>787</v>
      </c>
      <c r="C39" s="1475" t="s">
        <v>788</v>
      </c>
      <c r="D39" s="1425">
        <f>E38+0.001%</f>
        <v>0.65000999999999998</v>
      </c>
      <c r="E39" s="1424">
        <v>0.7</v>
      </c>
      <c r="F39" s="1434" t="e">
        <f t="shared" si="8"/>
        <v>#DIV/0!</v>
      </c>
      <c r="G39" s="1434" t="e">
        <f>IF(AND(Economics!$F$200=$B39,Economics!$F$203=$C39,Economics!$AJ$75&gt;=$D39,Economics!$AJ$75&lt;=$E39),"X","")</f>
        <v>#N/A</v>
      </c>
      <c r="H39" s="1434" t="e">
        <f>IF(AND(Economics!$F$200=$B39,Economics!$F$203=$C39,Economics!$AK$75&gt;=$D39,Economics!$AK$75&lt;=$E39),"X","")</f>
        <v>#N/A</v>
      </c>
      <c r="I39" s="1434" t="e">
        <f>IF(AND(Economics!$F$200=$B39,Economics!$F$203=$C39,Economics!$AL$75&gt;=$D39,Economics!$AL$75&lt;=$E39),"X","")</f>
        <v>#N/A</v>
      </c>
      <c r="J39" s="1434" t="e">
        <f>IF(AND(Economics!$F$200=$B39,Economics!$F$203=$C39,Economics!$AM$75&gt;=$D39,Economics!$AM$75&lt;=$E39),"X","")</f>
        <v>#N/A</v>
      </c>
      <c r="K39" s="1435" t="e">
        <f>IF(AND(Economics!$F$200=$B39,Economics!$F$203=$C39,Economics!$AN$75&gt;=$D39,Economics!$AN$75&lt;=$E39),"X","")</f>
        <v>#N/A</v>
      </c>
      <c r="L39" s="1546">
        <v>2.8500000000000001E-2</v>
      </c>
    </row>
    <row r="40" spans="2:13" x14ac:dyDescent="0.25">
      <c r="B40" s="1474" t="s">
        <v>787</v>
      </c>
      <c r="C40" s="1475" t="s">
        <v>788</v>
      </c>
      <c r="D40" s="1425">
        <f t="shared" ref="D40:D44" si="9">E39+0.001%</f>
        <v>0.70000999999999991</v>
      </c>
      <c r="E40" s="1424">
        <v>0.75</v>
      </c>
      <c r="F40" s="1434" t="e">
        <f t="shared" si="8"/>
        <v>#DIV/0!</v>
      </c>
      <c r="G40" s="1434" t="e">
        <f>IF(AND(Economics!$F$200=$B40,Economics!$F$203=$C40,Economics!$AJ$75&gt;=$D40,Economics!$AJ$75&lt;=$E40),"X","")</f>
        <v>#N/A</v>
      </c>
      <c r="H40" s="1434" t="e">
        <f>IF(AND(Economics!$F$200=$B40,Economics!$F$203=$C40,Economics!$AK$75&gt;=$D40,Economics!$AK$75&lt;=$E40),"X","")</f>
        <v>#N/A</v>
      </c>
      <c r="I40" s="1434" t="e">
        <f>IF(AND(Economics!$F$200=$B40,Economics!$F$203=$C40,Economics!$AL$75&gt;=$D40,Economics!$AL$75&lt;=$E40),"X","")</f>
        <v>#N/A</v>
      </c>
      <c r="J40" s="1434" t="e">
        <f>IF(AND(Economics!$F$200=$B40,Economics!$F$203=$C40,Economics!$AM$75&gt;=$D40,Economics!$AM$75&lt;=$E40),"X","")</f>
        <v>#N/A</v>
      </c>
      <c r="K40" s="1435" t="e">
        <f>IF(AND(Economics!$F$200=$B40,Economics!$F$203=$C40,Economics!$AN$75&gt;=$D40,Economics!$AN$75&lt;=$E40),"X","")</f>
        <v>#N/A</v>
      </c>
      <c r="L40" s="1546">
        <v>3.3500000000000002E-2</v>
      </c>
    </row>
    <row r="41" spans="2:13" x14ac:dyDescent="0.25">
      <c r="B41" s="1474" t="s">
        <v>787</v>
      </c>
      <c r="C41" s="1475" t="s">
        <v>788</v>
      </c>
      <c r="D41" s="1425">
        <f t="shared" si="9"/>
        <v>0.75000999999999995</v>
      </c>
      <c r="E41" s="1424">
        <v>0.8</v>
      </c>
      <c r="F41" s="1434" t="e">
        <f t="shared" si="8"/>
        <v>#DIV/0!</v>
      </c>
      <c r="G41" s="1434" t="e">
        <f>IF(AND(Economics!$F$200=$B41,Economics!$F$203=$C41,Economics!$AJ$75&gt;=$D41,Economics!$AJ$75&lt;=$E41),"X","")</f>
        <v>#N/A</v>
      </c>
      <c r="H41" s="1434" t="e">
        <f>IF(AND(Economics!$F$200=$B41,Economics!$F$203=$C41,Economics!$AK$75&gt;=$D41,Economics!$AK$75&lt;=$E41),"X","")</f>
        <v>#N/A</v>
      </c>
      <c r="I41" s="1434" t="e">
        <f>IF(AND(Economics!$F$200=$B41,Economics!$F$203=$C41,Economics!$AL$75&gt;=$D41,Economics!$AL$75&lt;=$E41),"X","")</f>
        <v>#N/A</v>
      </c>
      <c r="J41" s="1434" t="e">
        <f>IF(AND(Economics!$F$200=$B41,Economics!$F$203=$C41,Economics!$AM$75&gt;=$D41,Economics!$AM$75&lt;=$E41),"X","")</f>
        <v>#N/A</v>
      </c>
      <c r="K41" s="1435" t="e">
        <f>IF(AND(Economics!$F$200=$B41,Economics!$F$203=$C41,Economics!$AN$75&gt;=$D41,Economics!$AN$75&lt;=$E41),"X","")</f>
        <v>#N/A</v>
      </c>
      <c r="L41" s="1546">
        <v>4.3499999999999997E-2</v>
      </c>
    </row>
    <row r="42" spans="2:13" x14ac:dyDescent="0.25">
      <c r="B42" s="1474" t="s">
        <v>787</v>
      </c>
      <c r="C42" s="1475" t="s">
        <v>788</v>
      </c>
      <c r="D42" s="1425">
        <f t="shared" si="9"/>
        <v>0.80001</v>
      </c>
      <c r="E42" s="1424">
        <v>0.85</v>
      </c>
      <c r="F42" s="1434" t="e">
        <f t="shared" si="8"/>
        <v>#DIV/0!</v>
      </c>
      <c r="G42" s="1434" t="e">
        <f>IF(AND(Economics!$F$200=$B42,Economics!$F$203=$C42,Economics!$AJ$75&gt;=$D42,Economics!$AJ$75&lt;=$E42),"X","")</f>
        <v>#N/A</v>
      </c>
      <c r="H42" s="1434" t="e">
        <f>IF(AND(Economics!$F$200=$B42,Economics!$F$203=$C42,Economics!$AK$75&gt;=$D42,Economics!$AK$75&lt;=$E42),"X","")</f>
        <v>#N/A</v>
      </c>
      <c r="I42" s="1434" t="e">
        <f>IF(AND(Economics!$F$200=$B42,Economics!$F$203=$C42,Economics!$AL$75&gt;=$D42,Economics!$AL$75&lt;=$E42),"X","")</f>
        <v>#N/A</v>
      </c>
      <c r="J42" s="1434" t="e">
        <f>IF(AND(Economics!$F$200=$B42,Economics!$F$203=$C42,Economics!$AM$75&gt;=$D42,Economics!$AM$75&lt;=$E42),"X","")</f>
        <v>#N/A</v>
      </c>
      <c r="K42" s="1435" t="e">
        <f>IF(AND(Economics!$F$200=$B42,Economics!$F$203=$C42,Economics!$AN$75&gt;=$D42,Economics!$AN$75&lt;=$E42),"X","")</f>
        <v>#N/A</v>
      </c>
      <c r="L42" s="1546">
        <v>5.3499999999999999E-2</v>
      </c>
    </row>
    <row r="43" spans="2:13" x14ac:dyDescent="0.25">
      <c r="B43" s="1474" t="s">
        <v>787</v>
      </c>
      <c r="C43" s="1475" t="s">
        <v>788</v>
      </c>
      <c r="D43" s="1425">
        <f t="shared" si="9"/>
        <v>0.85000999999999993</v>
      </c>
      <c r="E43" s="1424">
        <v>0.9</v>
      </c>
      <c r="F43" s="1434" t="e">
        <f t="shared" si="8"/>
        <v>#DIV/0!</v>
      </c>
      <c r="G43" s="1434" t="e">
        <f>IF(AND(Economics!$F$200=$B43,Economics!$F$203=$C43,Economics!$AJ$75&gt;=$D43,Economics!$AJ$75&lt;=$E43),"X","")</f>
        <v>#N/A</v>
      </c>
      <c r="H43" s="1434" t="e">
        <f>IF(AND(Economics!$F$200=$B43,Economics!$F$203=$C43,Economics!$AK$75&gt;=$D43,Economics!$AK$75&lt;=$E43),"X","")</f>
        <v>#N/A</v>
      </c>
      <c r="I43" s="1434" t="e">
        <f>IF(AND(Economics!$F$200=$B43,Economics!$F$203=$C43,Economics!$AL$75&gt;=$D43,Economics!$AL$75&lt;=$E43),"X","")</f>
        <v>#N/A</v>
      </c>
      <c r="J43" s="1434" t="e">
        <f>IF(AND(Economics!$F$200=$B43,Economics!$F$203=$C43,Economics!$AM$75&gt;=$D43,Economics!$AM$75&lt;=$E43),"X","")</f>
        <v>#N/A</v>
      </c>
      <c r="K43" s="1435" t="e">
        <f>IF(AND(Economics!$F$200=$B43,Economics!$F$203=$C43,Economics!$AN$75&gt;=$D43,Economics!$AN$75&lt;=$E43),"X","")</f>
        <v>#N/A</v>
      </c>
      <c r="L43" s="1546">
        <v>5.8999999999999997E-2</v>
      </c>
    </row>
    <row r="44" spans="2:13" x14ac:dyDescent="0.25">
      <c r="B44" s="1474" t="s">
        <v>787</v>
      </c>
      <c r="C44" s="1475" t="s">
        <v>788</v>
      </c>
      <c r="D44" s="1425">
        <f t="shared" si="9"/>
        <v>0.90000999999999998</v>
      </c>
      <c r="E44" s="1424">
        <v>1</v>
      </c>
      <c r="F44" s="1434" t="e">
        <f t="shared" si="8"/>
        <v>#DIV/0!</v>
      </c>
      <c r="G44" s="1434" t="e">
        <f>IF(AND(Economics!$F$200=$B44,Economics!$F$203=$C44,Economics!$AJ$75&gt;=$D44,Economics!$AJ$75&lt;=$E44),"X","")</f>
        <v>#N/A</v>
      </c>
      <c r="H44" s="1434" t="e">
        <f>IF(AND(Economics!$F$200=$B44,Economics!$F$203=$C44,Economics!$AK$75&gt;=$D44,Economics!$AK$75&lt;=$E44),"X","")</f>
        <v>#N/A</v>
      </c>
      <c r="I44" s="1434" t="e">
        <f>IF(AND(Economics!$F$200=$B44,Economics!$F$203=$C44,Economics!$AL$75&gt;=$D44,Economics!$AL$75&lt;=$E44),"X","")</f>
        <v>#N/A</v>
      </c>
      <c r="J44" s="1434" t="e">
        <f>IF(AND(Economics!$F$200=$B44,Economics!$F$203=$C44,Economics!$AM$75&gt;=$D44,Economics!$AM$75&lt;=$E44),"X","")</f>
        <v>#N/A</v>
      </c>
      <c r="K44" s="1435" t="e">
        <f>IF(AND(Economics!$F$200=$B44,Economics!$F$203=$C44,Economics!$AN$75&gt;=$D44,Economics!$AN$75&lt;=$E44),"X","")</f>
        <v>#N/A</v>
      </c>
      <c r="L44" s="1546">
        <v>6.1499999999999999E-2</v>
      </c>
    </row>
    <row r="45" spans="2:13" x14ac:dyDescent="0.25">
      <c r="B45" s="1474"/>
      <c r="C45" s="1475"/>
      <c r="D45" s="1425"/>
      <c r="E45" s="1424"/>
      <c r="F45" s="1424"/>
      <c r="G45" s="1424"/>
      <c r="H45" s="1424"/>
      <c r="I45" s="1424"/>
      <c r="J45" s="1424"/>
      <c r="K45" s="1424"/>
      <c r="L45" s="1476"/>
      <c r="M45" s="1424"/>
    </row>
    <row r="46" spans="2:13" x14ac:dyDescent="0.25">
      <c r="B46" s="1474" t="s">
        <v>787</v>
      </c>
      <c r="C46" s="1475" t="s">
        <v>326</v>
      </c>
      <c r="D46" s="1424">
        <v>0</v>
      </c>
      <c r="E46" s="1424">
        <v>0.65</v>
      </c>
      <c r="F46" s="1434" t="e">
        <f t="shared" ref="F46:F52" si="10">IF(AND($P$6=$B46,$P$7=$C46,$P$8&gt;=$D46,$P$8&lt;=$E46),"X","")</f>
        <v>#DIV/0!</v>
      </c>
      <c r="G46" s="1434" t="e">
        <f>IF(AND(Economics!$F$200=$B46,Economics!$F$203=$C46,Economics!$AJ$75&gt;=$D46,Economics!$AJ$75&lt;=$E46),"X","")</f>
        <v>#N/A</v>
      </c>
      <c r="H46" s="1434" t="e">
        <f>IF(AND(Economics!$F$200=$B46,Economics!$F$203=$C46,Economics!$AK$75&gt;=$D46,Economics!$AK$75&lt;=$E46),"X","")</f>
        <v>#N/A</v>
      </c>
      <c r="I46" s="1434" t="e">
        <f>IF(AND(Economics!$F$200=$B46,Economics!$F$203=$C46,Economics!$AL$75&gt;=$D46,Economics!$AL$75&lt;=$E46),"X","")</f>
        <v>#N/A</v>
      </c>
      <c r="J46" s="1434" t="e">
        <f>IF(AND(Economics!$F$200=$B46,Economics!$F$203=$C46,Economics!$AM$75&gt;=$D46,Economics!$AM$75&lt;=$E46),"X","")</f>
        <v>#N/A</v>
      </c>
      <c r="K46" s="1435" t="e">
        <f>IF(AND(Economics!$F$200=$B46,Economics!$F$203=$C46,Economics!$AN$75&gt;=$D46,Economics!$AN$75&lt;=$E46),"X","")</f>
        <v>#N/A</v>
      </c>
      <c r="L46" s="1546">
        <v>6.3E-2</v>
      </c>
    </row>
    <row r="47" spans="2:13" x14ac:dyDescent="0.25">
      <c r="B47" s="1474" t="s">
        <v>787</v>
      </c>
      <c r="C47" s="1475" t="s">
        <v>326</v>
      </c>
      <c r="D47" s="1425">
        <f>E46+0.001%</f>
        <v>0.65000999999999998</v>
      </c>
      <c r="E47" s="1424">
        <v>0.7</v>
      </c>
      <c r="F47" s="1434" t="e">
        <f t="shared" si="10"/>
        <v>#DIV/0!</v>
      </c>
      <c r="G47" s="1434" t="e">
        <f>IF(AND(Economics!$F$200=$B47,Economics!$F$203=$C47,Economics!$AJ$75&gt;=$D47,Economics!$AJ$75&lt;=$E47),"X","")</f>
        <v>#N/A</v>
      </c>
      <c r="H47" s="1434" t="e">
        <f>IF(AND(Economics!$F$200=$B47,Economics!$F$203=$C47,Economics!$AK$75&gt;=$D47,Economics!$AK$75&lt;=$E47),"X","")</f>
        <v>#N/A</v>
      </c>
      <c r="I47" s="1434" t="e">
        <f>IF(AND(Economics!$F$200=$B47,Economics!$F$203=$C47,Economics!$AL$75&gt;=$D47,Economics!$AL$75&lt;=$E47),"X","")</f>
        <v>#N/A</v>
      </c>
      <c r="J47" s="1434" t="e">
        <f>IF(AND(Economics!$F$200=$B47,Economics!$F$203=$C47,Economics!$AM$75&gt;=$D47,Economics!$AM$75&lt;=$E47),"X","")</f>
        <v>#N/A</v>
      </c>
      <c r="K47" s="1435" t="e">
        <f>IF(AND(Economics!$F$200=$B47,Economics!$F$203=$C47,Economics!$AN$75&gt;=$D47,Economics!$AN$75&lt;=$E47),"X","")</f>
        <v>#N/A</v>
      </c>
      <c r="L47" s="1546">
        <v>6.6000000000000003E-2</v>
      </c>
    </row>
    <row r="48" spans="2:13" x14ac:dyDescent="0.25">
      <c r="B48" s="1474" t="s">
        <v>787</v>
      </c>
      <c r="C48" s="1475" t="s">
        <v>326</v>
      </c>
      <c r="D48" s="1425">
        <f t="shared" ref="D48:D52" si="11">E47+0.001%</f>
        <v>0.70000999999999991</v>
      </c>
      <c r="E48" s="1424">
        <v>0.75</v>
      </c>
      <c r="F48" s="1434" t="e">
        <f t="shared" si="10"/>
        <v>#DIV/0!</v>
      </c>
      <c r="G48" s="1434" t="e">
        <f>IF(AND(Economics!$F$200=$B48,Economics!$F$203=$C48,Economics!$AJ$75&gt;=$D48,Economics!$AJ$75&lt;=$E48),"X","")</f>
        <v>#N/A</v>
      </c>
      <c r="H48" s="1434" t="e">
        <f>IF(AND(Economics!$F$200=$B48,Economics!$F$203=$C48,Economics!$AK$75&gt;=$D48,Economics!$AK$75&lt;=$E48),"X","")</f>
        <v>#N/A</v>
      </c>
      <c r="I48" s="1434" t="e">
        <f>IF(AND(Economics!$F$200=$B48,Economics!$F$203=$C48,Economics!$AL$75&gt;=$D48,Economics!$AL$75&lt;=$E48),"X","")</f>
        <v>#N/A</v>
      </c>
      <c r="J48" s="1434" t="e">
        <f>IF(AND(Economics!$F$200=$B48,Economics!$F$203=$C48,Economics!$AM$75&gt;=$D48,Economics!$AM$75&lt;=$E48),"X","")</f>
        <v>#N/A</v>
      </c>
      <c r="K48" s="1435" t="e">
        <f>IF(AND(Economics!$F$200=$B48,Economics!$F$203=$C48,Economics!$AN$75&gt;=$D48,Economics!$AN$75&lt;=$E48),"X","")</f>
        <v>#N/A</v>
      </c>
      <c r="L48" s="1546">
        <v>6.9000000000000006E-2</v>
      </c>
    </row>
    <row r="49" spans="2:13" x14ac:dyDescent="0.25">
      <c r="B49" s="1474" t="s">
        <v>787</v>
      </c>
      <c r="C49" s="1475" t="s">
        <v>326</v>
      </c>
      <c r="D49" s="1425">
        <f t="shared" si="11"/>
        <v>0.75000999999999995</v>
      </c>
      <c r="E49" s="1424">
        <v>0.8</v>
      </c>
      <c r="F49" s="1434" t="e">
        <f t="shared" si="10"/>
        <v>#DIV/0!</v>
      </c>
      <c r="G49" s="1434" t="e">
        <f>IF(AND(Economics!$F$200=$B49,Economics!$F$203=$C49,Economics!$AJ$75&gt;=$D49,Economics!$AJ$75&lt;=$E49),"X","")</f>
        <v>#N/A</v>
      </c>
      <c r="H49" s="1434" t="e">
        <f>IF(AND(Economics!$F$200=$B49,Economics!$F$203=$C49,Economics!$AK$75&gt;=$D49,Economics!$AK$75&lt;=$E49),"X","")</f>
        <v>#N/A</v>
      </c>
      <c r="I49" s="1434" t="e">
        <f>IF(AND(Economics!$F$200=$B49,Economics!$F$203=$C49,Economics!$AL$75&gt;=$D49,Economics!$AL$75&lt;=$E49),"X","")</f>
        <v>#N/A</v>
      </c>
      <c r="J49" s="1434" t="e">
        <f>IF(AND(Economics!$F$200=$B49,Economics!$F$203=$C49,Economics!$AM$75&gt;=$D49,Economics!$AM$75&lt;=$E49),"X","")</f>
        <v>#N/A</v>
      </c>
      <c r="K49" s="1435" t="e">
        <f>IF(AND(Economics!$F$200=$B49,Economics!$F$203=$C49,Economics!$AN$75&gt;=$D49,Economics!$AN$75&lt;=$E49),"X","")</f>
        <v>#N/A</v>
      </c>
      <c r="L49" s="1546">
        <v>7.0499999999999993E-2</v>
      </c>
    </row>
    <row r="50" spans="2:13" x14ac:dyDescent="0.25">
      <c r="B50" s="1474" t="s">
        <v>787</v>
      </c>
      <c r="C50" s="1475" t="s">
        <v>326</v>
      </c>
      <c r="D50" s="1425">
        <f t="shared" si="11"/>
        <v>0.80001</v>
      </c>
      <c r="E50" s="1424">
        <v>0.85</v>
      </c>
      <c r="F50" s="1434" t="e">
        <f t="shared" si="10"/>
        <v>#DIV/0!</v>
      </c>
      <c r="G50" s="1434" t="e">
        <f>IF(AND(Economics!$F$200=$B50,Economics!$F$203=$C50,Economics!$AJ$75&gt;=$D50,Economics!$AJ$75&lt;=$E50),"X","")</f>
        <v>#N/A</v>
      </c>
      <c r="H50" s="1434" t="e">
        <f>IF(AND(Economics!$F$200=$B50,Economics!$F$203=$C50,Economics!$AK$75&gt;=$D50,Economics!$AK$75&lt;=$E50),"X","")</f>
        <v>#N/A</v>
      </c>
      <c r="I50" s="1434" t="e">
        <f>IF(AND(Economics!$F$200=$B50,Economics!$F$203=$C50,Economics!$AL$75&gt;=$D50,Economics!$AL$75&lt;=$E50),"X","")</f>
        <v>#N/A</v>
      </c>
      <c r="J50" s="1434" t="e">
        <f>IF(AND(Economics!$F$200=$B50,Economics!$F$203=$C50,Economics!$AM$75&gt;=$D50,Economics!$AM$75&lt;=$E50),"X","")</f>
        <v>#N/A</v>
      </c>
      <c r="K50" s="1435" t="e">
        <f>IF(AND(Economics!$F$200=$B50,Economics!$F$203=$C50,Economics!$AN$75&gt;=$D50,Economics!$AN$75&lt;=$E50),"X","")</f>
        <v>#N/A</v>
      </c>
      <c r="L50" s="1546">
        <v>7.7499999999999999E-2</v>
      </c>
    </row>
    <row r="51" spans="2:13" x14ac:dyDescent="0.25">
      <c r="B51" s="1474" t="s">
        <v>787</v>
      </c>
      <c r="C51" s="1475" t="s">
        <v>326</v>
      </c>
      <c r="D51" s="1425">
        <f t="shared" si="11"/>
        <v>0.85000999999999993</v>
      </c>
      <c r="E51" s="1424">
        <v>0.9</v>
      </c>
      <c r="F51" s="1434" t="e">
        <f t="shared" si="10"/>
        <v>#DIV/0!</v>
      </c>
      <c r="G51" s="1434" t="e">
        <f>IF(AND(Economics!$F$200=$B51,Economics!$F$203=$C51,Economics!$AJ$75&gt;=$D51,Economics!$AJ$75&lt;=$E51),"X","")</f>
        <v>#N/A</v>
      </c>
      <c r="H51" s="1434" t="e">
        <f>IF(AND(Economics!$F$200=$B51,Economics!$F$203=$C51,Economics!$AK$75&gt;=$D51,Economics!$AK$75&lt;=$E51),"X","")</f>
        <v>#N/A</v>
      </c>
      <c r="I51" s="1434" t="e">
        <f>IF(AND(Economics!$F$200=$B51,Economics!$F$203=$C51,Economics!$AL$75&gt;=$D51,Economics!$AL$75&lt;=$E51),"X","")</f>
        <v>#N/A</v>
      </c>
      <c r="J51" s="1434" t="e">
        <f>IF(AND(Economics!$F$200=$B51,Economics!$F$203=$C51,Economics!$AM$75&gt;=$D51,Economics!$AM$75&lt;=$E51),"X","")</f>
        <v>#N/A</v>
      </c>
      <c r="K51" s="1435" t="e">
        <f>IF(AND(Economics!$F$200=$B51,Economics!$F$203=$C51,Economics!$AN$75&gt;=$D51,Economics!$AN$75&lt;=$E51),"X","")</f>
        <v>#N/A</v>
      </c>
      <c r="L51" s="1546">
        <v>0.08</v>
      </c>
    </row>
    <row r="52" spans="2:13" x14ac:dyDescent="0.25">
      <c r="B52" s="1474" t="s">
        <v>787</v>
      </c>
      <c r="C52" s="1475" t="s">
        <v>326</v>
      </c>
      <c r="D52" s="1425">
        <f t="shared" si="11"/>
        <v>0.90000999999999998</v>
      </c>
      <c r="E52" s="1424">
        <v>1</v>
      </c>
      <c r="F52" s="1434" t="e">
        <f t="shared" si="10"/>
        <v>#DIV/0!</v>
      </c>
      <c r="G52" s="1434" t="e">
        <f>IF(AND(Economics!$F$200=$B52,Economics!$F$203=$C52,Economics!$AJ$75&gt;=$D52,Economics!$AJ$75&lt;=$E52),"X","")</f>
        <v>#N/A</v>
      </c>
      <c r="H52" s="1434" t="e">
        <f>IF(AND(Economics!$F$200=$B52,Economics!$F$203=$C52,Economics!$AK$75&gt;=$D52,Economics!$AK$75&lt;=$E52),"X","")</f>
        <v>#N/A</v>
      </c>
      <c r="I52" s="1434" t="e">
        <f>IF(AND(Economics!$F$200=$B52,Economics!$F$203=$C52,Economics!$AL$75&gt;=$D52,Economics!$AL$75&lt;=$E52),"X","")</f>
        <v>#N/A</v>
      </c>
      <c r="J52" s="1434" t="e">
        <f>IF(AND(Economics!$F$200=$B52,Economics!$F$203=$C52,Economics!$AM$75&gt;=$D52,Economics!$AM$75&lt;=$E52),"X","")</f>
        <v>#N/A</v>
      </c>
      <c r="K52" s="1435" t="e">
        <f>IF(AND(Economics!$F$200=$B52,Economics!$F$203=$C52,Economics!$AN$75&gt;=$D52,Economics!$AN$75&lt;=$E52),"X","")</f>
        <v>#N/A</v>
      </c>
      <c r="L52" s="1546">
        <v>8.7499999999999994E-2</v>
      </c>
    </row>
    <row r="53" spans="2:13" x14ac:dyDescent="0.25">
      <c r="B53" s="1474"/>
      <c r="C53" s="1556"/>
      <c r="D53" s="1425"/>
      <c r="E53" s="1424"/>
      <c r="F53" s="1424"/>
      <c r="G53" s="1424"/>
      <c r="H53" s="1424"/>
      <c r="I53" s="1424"/>
      <c r="J53" s="1424"/>
      <c r="K53" s="1424"/>
      <c r="L53" s="1476"/>
      <c r="M53" s="1424"/>
    </row>
    <row r="54" spans="2:13" x14ac:dyDescent="0.25">
      <c r="B54" s="1474" t="s">
        <v>787</v>
      </c>
      <c r="C54" s="1475" t="s">
        <v>327</v>
      </c>
      <c r="D54" s="1424">
        <v>0</v>
      </c>
      <c r="E54" s="1424">
        <v>0.65</v>
      </c>
      <c r="F54" s="1434" t="e">
        <f t="shared" ref="F54:F60" si="12">IF(AND($P$6=$B54,$P$7=$C54,$P$8&gt;=$D54,$P$8&lt;=$E54),"X","")</f>
        <v>#DIV/0!</v>
      </c>
      <c r="G54" s="1434" t="e">
        <f>IF(AND(Economics!$F$200=$B54,Economics!$F$203=$C54,Economics!$AJ$75&gt;=$D54,Economics!$AJ$75&lt;=$E54),"X","")</f>
        <v>#N/A</v>
      </c>
      <c r="H54" s="1434" t="e">
        <f>IF(AND(Economics!$F$200=$B54,Economics!$F$203=$C54,Economics!$AK$75&gt;=$D54,Economics!$AK$75&lt;=$E54),"X","")</f>
        <v>#N/A</v>
      </c>
      <c r="I54" s="1434" t="e">
        <f>IF(AND(Economics!$F$200=$B54,Economics!$F$203=$C54,Economics!$AL$75&gt;=$D54,Economics!$AL$75&lt;=$E54),"X","")</f>
        <v>#N/A</v>
      </c>
      <c r="J54" s="1434" t="e">
        <f>IF(AND(Economics!$F$200=$B54,Economics!$F$203=$C54,Economics!$AM$75&gt;=$D54,Economics!$AM$75&lt;=$E54),"X","")</f>
        <v>#N/A</v>
      </c>
      <c r="K54" s="1435" t="e">
        <f>IF(AND(Economics!$F$200=$B54,Economics!$F$203=$C54,Economics!$AN$75&gt;=$D54,Economics!$AN$75&lt;=$E54),"X","")</f>
        <v>#N/A</v>
      </c>
      <c r="L54" s="1546">
        <v>6.3E-2</v>
      </c>
    </row>
    <row r="55" spans="2:13" x14ac:dyDescent="0.25">
      <c r="B55" s="1474" t="s">
        <v>787</v>
      </c>
      <c r="C55" s="1475" t="s">
        <v>327</v>
      </c>
      <c r="D55" s="1425">
        <f>E54+0.001%</f>
        <v>0.65000999999999998</v>
      </c>
      <c r="E55" s="1424">
        <v>0.7</v>
      </c>
      <c r="F55" s="1434" t="e">
        <f t="shared" si="12"/>
        <v>#DIV/0!</v>
      </c>
      <c r="G55" s="1434" t="e">
        <f>IF(AND(Economics!$F$200=$B55,Economics!$F$203=$C55,Economics!$AJ$75&gt;=$D55,Economics!$AJ$75&lt;=$E55),"X","")</f>
        <v>#N/A</v>
      </c>
      <c r="H55" s="1434" t="e">
        <f>IF(AND(Economics!$F$200=$B55,Economics!$F$203=$C55,Economics!$AK$75&gt;=$D55,Economics!$AK$75&lt;=$E55),"X","")</f>
        <v>#N/A</v>
      </c>
      <c r="I55" s="1434" t="e">
        <f>IF(AND(Economics!$F$200=$B55,Economics!$F$203=$C55,Economics!$AL$75&gt;=$D55,Economics!$AL$75&lt;=$E55),"X","")</f>
        <v>#N/A</v>
      </c>
      <c r="J55" s="1434" t="e">
        <f>IF(AND(Economics!$F$200=$B55,Economics!$F$203=$C55,Economics!$AM$75&gt;=$D55,Economics!$AM$75&lt;=$E55),"X","")</f>
        <v>#N/A</v>
      </c>
      <c r="K55" s="1435" t="e">
        <f>IF(AND(Economics!$F$200=$B55,Economics!$F$203=$C55,Economics!$AN$75&gt;=$D55,Economics!$AN$75&lt;=$E55),"X","")</f>
        <v>#N/A</v>
      </c>
      <c r="L55" s="1546">
        <v>6.6000000000000003E-2</v>
      </c>
    </row>
    <row r="56" spans="2:13" x14ac:dyDescent="0.25">
      <c r="B56" s="1474" t="s">
        <v>787</v>
      </c>
      <c r="C56" s="1475" t="s">
        <v>327</v>
      </c>
      <c r="D56" s="1425">
        <f t="shared" ref="D56:D60" si="13">E55+0.001%</f>
        <v>0.70000999999999991</v>
      </c>
      <c r="E56" s="1424">
        <v>0.75</v>
      </c>
      <c r="F56" s="1434" t="e">
        <f t="shared" si="12"/>
        <v>#DIV/0!</v>
      </c>
      <c r="G56" s="1434" t="e">
        <f>IF(AND(Economics!$F$200=$B56,Economics!$F$203=$C56,Economics!$AJ$75&gt;=$D56,Economics!$AJ$75&lt;=$E56),"X","")</f>
        <v>#N/A</v>
      </c>
      <c r="H56" s="1434" t="e">
        <f>IF(AND(Economics!$F$200=$B56,Economics!$F$203=$C56,Economics!$AK$75&gt;=$D56,Economics!$AK$75&lt;=$E56),"X","")</f>
        <v>#N/A</v>
      </c>
      <c r="I56" s="1434" t="e">
        <f>IF(AND(Economics!$F$200=$B56,Economics!$F$203=$C56,Economics!$AL$75&gt;=$D56,Economics!$AL$75&lt;=$E56),"X","")</f>
        <v>#N/A</v>
      </c>
      <c r="J56" s="1434" t="e">
        <f>IF(AND(Economics!$F$200=$B56,Economics!$F$203=$C56,Economics!$AM$75&gt;=$D56,Economics!$AM$75&lt;=$E56),"X","")</f>
        <v>#N/A</v>
      </c>
      <c r="K56" s="1435" t="e">
        <f>IF(AND(Economics!$F$200=$B56,Economics!$F$203=$C56,Economics!$AN$75&gt;=$D56,Economics!$AN$75&lt;=$E56),"X","")</f>
        <v>#N/A</v>
      </c>
      <c r="L56" s="1546">
        <v>6.9000000000000006E-2</v>
      </c>
    </row>
    <row r="57" spans="2:13" x14ac:dyDescent="0.25">
      <c r="B57" s="1474" t="s">
        <v>787</v>
      </c>
      <c r="C57" s="1475" t="s">
        <v>327</v>
      </c>
      <c r="D57" s="1425">
        <f t="shared" si="13"/>
        <v>0.75000999999999995</v>
      </c>
      <c r="E57" s="1424">
        <v>0.8</v>
      </c>
      <c r="F57" s="1434" t="e">
        <f t="shared" si="12"/>
        <v>#DIV/0!</v>
      </c>
      <c r="G57" s="1434" t="e">
        <f>IF(AND(Economics!$F$200=$B57,Economics!$F$203=$C57,Economics!$AJ$75&gt;=$D57,Economics!$AJ$75&lt;=$E57),"X","")</f>
        <v>#N/A</v>
      </c>
      <c r="H57" s="1434" t="e">
        <f>IF(AND(Economics!$F$200=$B57,Economics!$F$203=$C57,Economics!$AK$75&gt;=$D57,Economics!$AK$75&lt;=$E57),"X","")</f>
        <v>#N/A</v>
      </c>
      <c r="I57" s="1434" t="e">
        <f>IF(AND(Economics!$F$200=$B57,Economics!$F$203=$C57,Economics!$AL$75&gt;=$D57,Economics!$AL$75&lt;=$E57),"X","")</f>
        <v>#N/A</v>
      </c>
      <c r="J57" s="1434" t="e">
        <f>IF(AND(Economics!$F$200=$B57,Economics!$F$203=$C57,Economics!$AM$75&gt;=$D57,Economics!$AM$75&lt;=$E57),"X","")</f>
        <v>#N/A</v>
      </c>
      <c r="K57" s="1435" t="e">
        <f>IF(AND(Economics!$F$200=$B57,Economics!$F$203=$C57,Economics!$AN$75&gt;=$D57,Economics!$AN$75&lt;=$E57),"X","")</f>
        <v>#N/A</v>
      </c>
      <c r="L57" s="1546">
        <v>7.0499999999999993E-2</v>
      </c>
    </row>
    <row r="58" spans="2:13" x14ac:dyDescent="0.25">
      <c r="B58" s="1474" t="s">
        <v>787</v>
      </c>
      <c r="C58" s="1475" t="s">
        <v>327</v>
      </c>
      <c r="D58" s="1425">
        <f t="shared" si="13"/>
        <v>0.80001</v>
      </c>
      <c r="E58" s="1424">
        <v>0.85</v>
      </c>
      <c r="F58" s="1434" t="e">
        <f t="shared" si="12"/>
        <v>#DIV/0!</v>
      </c>
      <c r="G58" s="1434" t="e">
        <f>IF(AND(Economics!$F$200=$B58,Economics!$F$203=$C58,Economics!$AJ$75&gt;=$D58,Economics!$AJ$75&lt;=$E58),"X","")</f>
        <v>#N/A</v>
      </c>
      <c r="H58" s="1434" t="e">
        <f>IF(AND(Economics!$F$200=$B58,Economics!$F$203=$C58,Economics!$AK$75&gt;=$D58,Economics!$AK$75&lt;=$E58),"X","")</f>
        <v>#N/A</v>
      </c>
      <c r="I58" s="1434" t="e">
        <f>IF(AND(Economics!$F$200=$B58,Economics!$F$203=$C58,Economics!$AL$75&gt;=$D58,Economics!$AL$75&lt;=$E58),"X","")</f>
        <v>#N/A</v>
      </c>
      <c r="J58" s="1434" t="e">
        <f>IF(AND(Economics!$F$200=$B58,Economics!$F$203=$C58,Economics!$AM$75&gt;=$D58,Economics!$AM$75&lt;=$E58),"X","")</f>
        <v>#N/A</v>
      </c>
      <c r="K58" s="1435" t="e">
        <f>IF(AND(Economics!$F$200=$B58,Economics!$F$203=$C58,Economics!$AN$75&gt;=$D58,Economics!$AN$75&lt;=$E58),"X","")</f>
        <v>#N/A</v>
      </c>
      <c r="L58" s="1546">
        <v>7.7499999999999999E-2</v>
      </c>
    </row>
    <row r="59" spans="2:13" x14ac:dyDescent="0.25">
      <c r="B59" s="1474" t="s">
        <v>787</v>
      </c>
      <c r="C59" s="1475" t="s">
        <v>327</v>
      </c>
      <c r="D59" s="1425">
        <f t="shared" si="13"/>
        <v>0.85000999999999993</v>
      </c>
      <c r="E59" s="1424">
        <v>0.9</v>
      </c>
      <c r="F59" s="1434" t="e">
        <f t="shared" si="12"/>
        <v>#DIV/0!</v>
      </c>
      <c r="G59" s="1434" t="e">
        <f>IF(AND(Economics!$F$200=$B59,Economics!$F$203=$C59,Economics!$AJ$75&gt;=$D59,Economics!$AJ$75&lt;=$E59),"X","")</f>
        <v>#N/A</v>
      </c>
      <c r="H59" s="1434" t="e">
        <f>IF(AND(Economics!$F$200=$B59,Economics!$F$203=$C59,Economics!$AK$75&gt;=$D59,Economics!$AK$75&lt;=$E59),"X","")</f>
        <v>#N/A</v>
      </c>
      <c r="I59" s="1434" t="e">
        <f>IF(AND(Economics!$F$200=$B59,Economics!$F$203=$C59,Economics!$AL$75&gt;=$D59,Economics!$AL$75&lt;=$E59),"X","")</f>
        <v>#N/A</v>
      </c>
      <c r="J59" s="1434" t="e">
        <f>IF(AND(Economics!$F$200=$B59,Economics!$F$203=$C59,Economics!$AM$75&gt;=$D59,Economics!$AM$75&lt;=$E59),"X","")</f>
        <v>#N/A</v>
      </c>
      <c r="K59" s="1435" t="e">
        <f>IF(AND(Economics!$F$200=$B59,Economics!$F$203=$C59,Economics!$AN$75&gt;=$D59,Economics!$AN$75&lt;=$E59),"X","")</f>
        <v>#N/A</v>
      </c>
      <c r="L59" s="1546">
        <v>0.08</v>
      </c>
    </row>
    <row r="60" spans="2:13" x14ac:dyDescent="0.25">
      <c r="B60" s="1474" t="s">
        <v>787</v>
      </c>
      <c r="C60" s="1475" t="s">
        <v>327</v>
      </c>
      <c r="D60" s="1425">
        <f t="shared" si="13"/>
        <v>0.90000999999999998</v>
      </c>
      <c r="E60" s="1424">
        <v>1</v>
      </c>
      <c r="F60" s="1434" t="e">
        <f t="shared" si="12"/>
        <v>#DIV/0!</v>
      </c>
      <c r="G60" s="1434" t="e">
        <f>IF(AND(Economics!$F$200=$B60,Economics!$F$203=$C60,Economics!$AJ$75&gt;=$D60,Economics!$AJ$75&lt;=$E60),"X","")</f>
        <v>#N/A</v>
      </c>
      <c r="H60" s="1434" t="e">
        <f>IF(AND(Economics!$F$200=$B60,Economics!$F$203=$C60,Economics!$AK$75&gt;=$D60,Economics!$AK$75&lt;=$E60),"X","")</f>
        <v>#N/A</v>
      </c>
      <c r="I60" s="1434" t="e">
        <f>IF(AND(Economics!$F$200=$B60,Economics!$F$203=$C60,Economics!$AL$75&gt;=$D60,Economics!$AL$75&lt;=$E60),"X","")</f>
        <v>#N/A</v>
      </c>
      <c r="J60" s="1434" t="e">
        <f>IF(AND(Economics!$F$200=$B60,Economics!$F$203=$C60,Economics!$AM$75&gt;=$D60,Economics!$AM$75&lt;=$E60),"X","")</f>
        <v>#N/A</v>
      </c>
      <c r="K60" s="1435" t="e">
        <f>IF(AND(Economics!$F$200=$B60,Economics!$F$203=$C60,Economics!$AN$75&gt;=$D60,Economics!$AN$75&lt;=$E60),"X","")</f>
        <v>#N/A</v>
      </c>
      <c r="L60" s="1546">
        <v>8.7499999999999994E-2</v>
      </c>
    </row>
    <row r="61" spans="2:13" x14ac:dyDescent="0.25">
      <c r="B61" s="1474"/>
      <c r="C61" s="1556"/>
      <c r="F61" s="1557"/>
      <c r="G61" s="1557"/>
      <c r="H61" s="1557"/>
      <c r="I61" s="1557"/>
      <c r="J61" s="1557"/>
      <c r="K61" s="1558"/>
      <c r="L61" s="1559"/>
    </row>
    <row r="62" spans="2:13" x14ac:dyDescent="0.25">
      <c r="B62" s="1474" t="s">
        <v>787</v>
      </c>
      <c r="C62" s="1475" t="s">
        <v>328</v>
      </c>
      <c r="D62" s="1424">
        <v>0</v>
      </c>
      <c r="E62" s="1424">
        <v>0.65</v>
      </c>
      <c r="F62" s="1434" t="e">
        <f t="shared" ref="F62:F68" si="14">IF(AND($P$6=$B62,$P$7=$C62,$P$8&gt;=$D62,$P$8&lt;=$E62),"X","")</f>
        <v>#DIV/0!</v>
      </c>
      <c r="G62" s="1434" t="e">
        <f>IF(AND(Economics!$F$200=$B62,Economics!$F$203=$C62,Economics!$AJ$75&gt;=$D62,Economics!$AJ$75&lt;=$E62),"X","")</f>
        <v>#N/A</v>
      </c>
      <c r="H62" s="1434" t="e">
        <f>IF(AND(Economics!$F$200=$B62,Economics!$F$203=$C62,Economics!$AK$75&gt;=$D62,Economics!$AK$75&lt;=$E62),"X","")</f>
        <v>#N/A</v>
      </c>
      <c r="I62" s="1434" t="e">
        <f>IF(AND(Economics!$F$200=$B62,Economics!$F$203=$C62,Economics!$AL$75&gt;=$D62,Economics!$AL$75&lt;=$E62),"X","")</f>
        <v>#N/A</v>
      </c>
      <c r="J62" s="1434" t="e">
        <f>IF(AND(Economics!$F$200=$B62,Economics!$F$203=$C62,Economics!$AM$75&gt;=$D62,Economics!$AM$75&lt;=$E62),"X","")</f>
        <v>#N/A</v>
      </c>
      <c r="K62" s="1435" t="e">
        <f>IF(AND(Economics!$F$200=$B62,Economics!$F$203=$C62,Economics!$AN$75&gt;=$D62,Economics!$AN$75&lt;=$E62),"X","")</f>
        <v>#N/A</v>
      </c>
      <c r="L62" s="1546">
        <v>6.3E-2</v>
      </c>
    </row>
    <row r="63" spans="2:13" x14ac:dyDescent="0.25">
      <c r="B63" s="1474" t="s">
        <v>787</v>
      </c>
      <c r="C63" s="1475" t="s">
        <v>328</v>
      </c>
      <c r="D63" s="1425">
        <f>E62+0.001%</f>
        <v>0.65000999999999998</v>
      </c>
      <c r="E63" s="1424">
        <v>0.7</v>
      </c>
      <c r="F63" s="1434" t="e">
        <f t="shared" si="14"/>
        <v>#DIV/0!</v>
      </c>
      <c r="G63" s="1434" t="e">
        <f>IF(AND(Economics!$F$200=$B63,Economics!$F$203=$C63,Economics!$AJ$75&gt;=$D63,Economics!$AJ$75&lt;=$E63),"X","")</f>
        <v>#N/A</v>
      </c>
      <c r="H63" s="1434" t="e">
        <f>IF(AND(Economics!$F$200=$B63,Economics!$F$203=$C63,Economics!$AK$75&gt;=$D63,Economics!$AK$75&lt;=$E63),"X","")</f>
        <v>#N/A</v>
      </c>
      <c r="I63" s="1434" t="e">
        <f>IF(AND(Economics!$F$200=$B63,Economics!$F$203=$C63,Economics!$AL$75&gt;=$D63,Economics!$AL$75&lt;=$E63),"X","")</f>
        <v>#N/A</v>
      </c>
      <c r="J63" s="1434" t="e">
        <f>IF(AND(Economics!$F$200=$B63,Economics!$F$203=$C63,Economics!$AM$75&gt;=$D63,Economics!$AM$75&lt;=$E63),"X","")</f>
        <v>#N/A</v>
      </c>
      <c r="K63" s="1435" t="e">
        <f>IF(AND(Economics!$F$200=$B63,Economics!$F$203=$C63,Economics!$AN$75&gt;=$D63,Economics!$AN$75&lt;=$E63),"X","")</f>
        <v>#N/A</v>
      </c>
      <c r="L63" s="1546">
        <v>6.6000000000000003E-2</v>
      </c>
    </row>
    <row r="64" spans="2:13" x14ac:dyDescent="0.25">
      <c r="B64" s="1474" t="s">
        <v>787</v>
      </c>
      <c r="C64" s="1475" t="s">
        <v>328</v>
      </c>
      <c r="D64" s="1425">
        <f t="shared" ref="D64:D68" si="15">E63+0.001%</f>
        <v>0.70000999999999991</v>
      </c>
      <c r="E64" s="1424">
        <v>0.75</v>
      </c>
      <c r="F64" s="1434" t="e">
        <f t="shared" si="14"/>
        <v>#DIV/0!</v>
      </c>
      <c r="G64" s="1434" t="e">
        <f>IF(AND(Economics!$F$200=$B64,Economics!$F$203=$C64,Economics!$AJ$75&gt;=$D64,Economics!$AJ$75&lt;=$E64),"X","")</f>
        <v>#N/A</v>
      </c>
      <c r="H64" s="1434" t="e">
        <f>IF(AND(Economics!$F$200=$B64,Economics!$F$203=$C64,Economics!$AK$75&gt;=$D64,Economics!$AK$75&lt;=$E64),"X","")</f>
        <v>#N/A</v>
      </c>
      <c r="I64" s="1434" t="e">
        <f>IF(AND(Economics!$F$200=$B64,Economics!$F$203=$C64,Economics!$AL$75&gt;=$D64,Economics!$AL$75&lt;=$E64),"X","")</f>
        <v>#N/A</v>
      </c>
      <c r="J64" s="1434" t="e">
        <f>IF(AND(Economics!$F$200=$B64,Economics!$F$203=$C64,Economics!$AM$75&gt;=$D64,Economics!$AM$75&lt;=$E64),"X","")</f>
        <v>#N/A</v>
      </c>
      <c r="K64" s="1435" t="e">
        <f>IF(AND(Economics!$F$200=$B64,Economics!$F$203=$C64,Economics!$AN$75&gt;=$D64,Economics!$AN$75&lt;=$E64),"X","")</f>
        <v>#N/A</v>
      </c>
      <c r="L64" s="1546">
        <v>6.9000000000000006E-2</v>
      </c>
    </row>
    <row r="65" spans="2:12" x14ac:dyDescent="0.25">
      <c r="B65" s="1474" t="s">
        <v>787</v>
      </c>
      <c r="C65" s="1475" t="s">
        <v>328</v>
      </c>
      <c r="D65" s="1425">
        <f t="shared" si="15"/>
        <v>0.75000999999999995</v>
      </c>
      <c r="E65" s="1424">
        <v>0.8</v>
      </c>
      <c r="F65" s="1434" t="e">
        <f t="shared" si="14"/>
        <v>#DIV/0!</v>
      </c>
      <c r="G65" s="1434" t="e">
        <f>IF(AND(Economics!$F$200=$B65,Economics!$F$203=$C65,Economics!$AJ$75&gt;=$D65,Economics!$AJ$75&lt;=$E65),"X","")</f>
        <v>#N/A</v>
      </c>
      <c r="H65" s="1434" t="e">
        <f>IF(AND(Economics!$F$200=$B65,Economics!$F$203=$C65,Economics!$AK$75&gt;=$D65,Economics!$AK$75&lt;=$E65),"X","")</f>
        <v>#N/A</v>
      </c>
      <c r="I65" s="1434" t="e">
        <f>IF(AND(Economics!$F$200=$B65,Economics!$F$203=$C65,Economics!$AL$75&gt;=$D65,Economics!$AL$75&lt;=$E65),"X","")</f>
        <v>#N/A</v>
      </c>
      <c r="J65" s="1434" t="e">
        <f>IF(AND(Economics!$F$200=$B65,Economics!$F$203=$C65,Economics!$AM$75&gt;=$D65,Economics!$AM$75&lt;=$E65),"X","")</f>
        <v>#N/A</v>
      </c>
      <c r="K65" s="1435" t="e">
        <f>IF(AND(Economics!$F$200=$B65,Economics!$F$203=$C65,Economics!$AN$75&gt;=$D65,Economics!$AN$75&lt;=$E65),"X","")</f>
        <v>#N/A</v>
      </c>
      <c r="L65" s="1546">
        <v>7.0499999999999993E-2</v>
      </c>
    </row>
    <row r="66" spans="2:12" x14ac:dyDescent="0.25">
      <c r="B66" s="1474" t="s">
        <v>787</v>
      </c>
      <c r="C66" s="1475" t="s">
        <v>328</v>
      </c>
      <c r="D66" s="1425">
        <f t="shared" si="15"/>
        <v>0.80001</v>
      </c>
      <c r="E66" s="1424">
        <v>0.85</v>
      </c>
      <c r="F66" s="1434" t="e">
        <f t="shared" si="14"/>
        <v>#DIV/0!</v>
      </c>
      <c r="G66" s="1434" t="e">
        <f>IF(AND(Economics!$F$200=$B66,Economics!$F$203=$C66,Economics!$AJ$75&gt;=$D66,Economics!$AJ$75&lt;=$E66),"X","")</f>
        <v>#N/A</v>
      </c>
      <c r="H66" s="1434" t="e">
        <f>IF(AND(Economics!$F$200=$B66,Economics!$F$203=$C66,Economics!$AK$75&gt;=$D66,Economics!$AK$75&lt;=$E66),"X","")</f>
        <v>#N/A</v>
      </c>
      <c r="I66" s="1434" t="e">
        <f>IF(AND(Economics!$F$200=$B66,Economics!$F$203=$C66,Economics!$AL$75&gt;=$D66,Economics!$AL$75&lt;=$E66),"X","")</f>
        <v>#N/A</v>
      </c>
      <c r="J66" s="1434" t="e">
        <f>IF(AND(Economics!$F$200=$B66,Economics!$F$203=$C66,Economics!$AM$75&gt;=$D66,Economics!$AM$75&lt;=$E66),"X","")</f>
        <v>#N/A</v>
      </c>
      <c r="K66" s="1435" t="e">
        <f>IF(AND(Economics!$F$200=$B66,Economics!$F$203=$C66,Economics!$AN$75&gt;=$D66,Economics!$AN$75&lt;=$E66),"X","")</f>
        <v>#N/A</v>
      </c>
      <c r="L66" s="1546">
        <v>7.7499999999999999E-2</v>
      </c>
    </row>
    <row r="67" spans="2:12" x14ac:dyDescent="0.25">
      <c r="B67" s="1474" t="s">
        <v>787</v>
      </c>
      <c r="C67" s="1475" t="s">
        <v>328</v>
      </c>
      <c r="D67" s="1425">
        <f t="shared" si="15"/>
        <v>0.85000999999999993</v>
      </c>
      <c r="E67" s="1424">
        <v>0.9</v>
      </c>
      <c r="F67" s="1434" t="e">
        <f t="shared" si="14"/>
        <v>#DIV/0!</v>
      </c>
      <c r="G67" s="1434" t="e">
        <f>IF(AND(Economics!$F$200=$B67,Economics!$F$203=$C67,Economics!$AJ$75&gt;=$D67,Economics!$AJ$75&lt;=$E67),"X","")</f>
        <v>#N/A</v>
      </c>
      <c r="H67" s="1434" t="e">
        <f>IF(AND(Economics!$F$200=$B67,Economics!$F$203=$C67,Economics!$AK$75&gt;=$D67,Economics!$AK$75&lt;=$E67),"X","")</f>
        <v>#N/A</v>
      </c>
      <c r="I67" s="1434" t="e">
        <f>IF(AND(Economics!$F$200=$B67,Economics!$F$203=$C67,Economics!$AL$75&gt;=$D67,Economics!$AL$75&lt;=$E67),"X","")</f>
        <v>#N/A</v>
      </c>
      <c r="J67" s="1434" t="e">
        <f>IF(AND(Economics!$F$200=$B67,Economics!$F$203=$C67,Economics!$AM$75&gt;=$D67,Economics!$AM$75&lt;=$E67),"X","")</f>
        <v>#N/A</v>
      </c>
      <c r="K67" s="1435" t="e">
        <f>IF(AND(Economics!$F$200=$B67,Economics!$F$203=$C67,Economics!$AN$75&gt;=$D67,Economics!$AN$75&lt;=$E67),"X","")</f>
        <v>#N/A</v>
      </c>
      <c r="L67" s="1546">
        <v>0.08</v>
      </c>
    </row>
    <row r="68" spans="2:12" x14ac:dyDescent="0.25">
      <c r="B68" s="1477" t="s">
        <v>787</v>
      </c>
      <c r="C68" s="1478" t="s">
        <v>328</v>
      </c>
      <c r="D68" s="1479">
        <f t="shared" si="15"/>
        <v>0.90000999999999998</v>
      </c>
      <c r="E68" s="1480">
        <v>1</v>
      </c>
      <c r="F68" s="1481" t="e">
        <f t="shared" si="14"/>
        <v>#DIV/0!</v>
      </c>
      <c r="G68" s="1481" t="e">
        <f>IF(AND(Economics!$F$200=$B68,Economics!$F$203=$C68,Economics!$AJ$75&gt;=$D68,Economics!$AJ$75&lt;=$E68),"X","")</f>
        <v>#N/A</v>
      </c>
      <c r="H68" s="1481" t="e">
        <f>IF(AND(Economics!$F$200=$B68,Economics!$F$203=$C68,Economics!$AK$75&gt;=$D68,Economics!$AK$75&lt;=$E68),"X","")</f>
        <v>#N/A</v>
      </c>
      <c r="I68" s="1481" t="e">
        <f>IF(AND(Economics!$F$200=$B68,Economics!$F$203=$C68,Economics!$AL$75&gt;=$D68,Economics!$AL$75&lt;=$E68),"X","")</f>
        <v>#N/A</v>
      </c>
      <c r="J68" s="1481" t="e">
        <f>IF(AND(Economics!$F$200=$B68,Economics!$F$203=$C68,Economics!$AM$75&gt;=$D68,Economics!$AM$75&lt;=$E68),"X","")</f>
        <v>#N/A</v>
      </c>
      <c r="K68" s="1482" t="e">
        <f>IF(AND(Economics!$F$200=$B68,Economics!$F$203=$C68,Economics!$AN$75&gt;=$D68,Economics!$AN$75&lt;=$E68),"X","")</f>
        <v>#N/A</v>
      </c>
      <c r="L68" s="1567">
        <v>8.7499999999999994E-2</v>
      </c>
    </row>
    <row r="69" spans="2:12" x14ac:dyDescent="0.25">
      <c r="B69" s="1423"/>
      <c r="C69" s="1556"/>
      <c r="L69" s="1568"/>
    </row>
    <row r="72" spans="2:12" x14ac:dyDescent="0.25">
      <c r="B72" s="1064" t="s">
        <v>799</v>
      </c>
      <c r="C72" s="1569"/>
      <c r="D72" s="1569"/>
      <c r="E72" s="1569"/>
    </row>
    <row r="73" spans="2:12" x14ac:dyDescent="0.25">
      <c r="B73" s="1539" t="s">
        <v>824</v>
      </c>
      <c r="C73" s="1540" t="s">
        <v>260</v>
      </c>
      <c r="D73" s="1540" t="s">
        <v>793</v>
      </c>
      <c r="E73" s="1540" t="s">
        <v>61</v>
      </c>
      <c r="F73" s="1541" t="s">
        <v>379</v>
      </c>
      <c r="G73" s="1541" t="s">
        <v>380</v>
      </c>
      <c r="H73" s="1541" t="s">
        <v>381</v>
      </c>
      <c r="I73" s="1542" t="s">
        <v>382</v>
      </c>
    </row>
    <row r="74" spans="2:12" x14ac:dyDescent="0.25">
      <c r="B74" s="1575" t="str">
        <f>C74&amp;D74&amp;E74</f>
        <v>Standard Rental HousingMLI MarketPopulate Rent Roll</v>
      </c>
      <c r="C74" s="1576" t="s">
        <v>788</v>
      </c>
      <c r="D74" s="1576" t="s">
        <v>166</v>
      </c>
      <c r="E74" s="1595" t="str">
        <f>$P$13</f>
        <v>Populate Rent Roll</v>
      </c>
      <c r="F74" s="1577">
        <v>1.3</v>
      </c>
      <c r="G74" s="1577">
        <v>1.2</v>
      </c>
      <c r="H74" s="1577">
        <v>1.5</v>
      </c>
      <c r="I74" s="1578">
        <v>1.4</v>
      </c>
    </row>
    <row r="75" spans="2:12" x14ac:dyDescent="0.25">
      <c r="B75" s="1575" t="str">
        <f t="shared" ref="B75:B84" si="16">C75&amp;D75&amp;E75</f>
        <v>Standard Rental HousingMLI SelectPopulate Rent Roll</v>
      </c>
      <c r="C75" s="1576" t="s">
        <v>788</v>
      </c>
      <c r="D75" s="1576" t="s">
        <v>165</v>
      </c>
      <c r="E75" s="1595" t="str">
        <f>$P$13</f>
        <v>Populate Rent Roll</v>
      </c>
      <c r="F75" s="1579">
        <v>1.1000000000000001</v>
      </c>
      <c r="G75" s="1579">
        <v>1.1000000000000001</v>
      </c>
      <c r="H75" s="1579">
        <v>1.4</v>
      </c>
      <c r="I75" s="1578">
        <v>1.4</v>
      </c>
    </row>
    <row r="76" spans="2:12" x14ac:dyDescent="0.25">
      <c r="B76" s="1580" t="str">
        <f t="shared" si="16"/>
        <v>StudentMLI Market7+ units</v>
      </c>
      <c r="C76" s="1581" t="s">
        <v>326</v>
      </c>
      <c r="D76" s="1581" t="s">
        <v>166</v>
      </c>
      <c r="E76" s="1581" t="s">
        <v>822</v>
      </c>
      <c r="F76" s="1582">
        <v>1.4</v>
      </c>
      <c r="G76" s="1582">
        <v>1.3</v>
      </c>
      <c r="H76" s="1582">
        <v>1.5</v>
      </c>
      <c r="I76" s="1583">
        <v>1.4</v>
      </c>
    </row>
    <row r="77" spans="2:12" x14ac:dyDescent="0.25">
      <c r="B77" s="1575" t="str">
        <f t="shared" si="16"/>
        <v>StudentMLI Market5 or 6 units</v>
      </c>
      <c r="C77" s="1576" t="s">
        <v>326</v>
      </c>
      <c r="D77" s="1576" t="s">
        <v>166</v>
      </c>
      <c r="E77" s="1576" t="s">
        <v>823</v>
      </c>
      <c r="F77" s="1579">
        <v>1.2</v>
      </c>
      <c r="G77" s="1579">
        <v>1.2</v>
      </c>
      <c r="H77" s="1579">
        <v>1.5</v>
      </c>
      <c r="I77" s="1578">
        <v>1.4</v>
      </c>
    </row>
    <row r="78" spans="2:12" x14ac:dyDescent="0.25">
      <c r="B78" s="1575" t="str">
        <f t="shared" si="16"/>
        <v>StudentMLI SelectPopulate Rent Roll</v>
      </c>
      <c r="C78" s="1576" t="s">
        <v>326</v>
      </c>
      <c r="D78" s="1576" t="s">
        <v>165</v>
      </c>
      <c r="E78" s="1595" t="str">
        <f>$P$13</f>
        <v>Populate Rent Roll</v>
      </c>
      <c r="F78" s="1579">
        <v>1.2</v>
      </c>
      <c r="G78" s="1579">
        <v>1.2</v>
      </c>
      <c r="H78" s="1579">
        <v>1.4</v>
      </c>
      <c r="I78" s="1578">
        <v>1.4</v>
      </c>
    </row>
    <row r="79" spans="2:12" x14ac:dyDescent="0.25">
      <c r="B79" s="1580" t="str">
        <f t="shared" si="16"/>
        <v>SROMLI Market7+ units</v>
      </c>
      <c r="C79" s="1581" t="s">
        <v>327</v>
      </c>
      <c r="D79" s="1581" t="s">
        <v>166</v>
      </c>
      <c r="E79" s="1581" t="s">
        <v>822</v>
      </c>
      <c r="F79" s="1582">
        <v>1.3</v>
      </c>
      <c r="G79" s="1582">
        <v>1.2</v>
      </c>
      <c r="H79" s="1582">
        <v>1.5</v>
      </c>
      <c r="I79" s="1583">
        <v>1.4</v>
      </c>
    </row>
    <row r="80" spans="2:12" x14ac:dyDescent="0.25">
      <c r="B80" s="1575" t="str">
        <f t="shared" si="16"/>
        <v>SROMLI Market5 or 6 units</v>
      </c>
      <c r="C80" s="1576" t="s">
        <v>327</v>
      </c>
      <c r="D80" s="1576" t="s">
        <v>166</v>
      </c>
      <c r="E80" s="1576" t="s">
        <v>823</v>
      </c>
      <c r="F80" s="1579">
        <v>1.2</v>
      </c>
      <c r="G80" s="1579">
        <v>1.2</v>
      </c>
      <c r="H80" s="1579">
        <v>1.5</v>
      </c>
      <c r="I80" s="1578">
        <v>1.4</v>
      </c>
    </row>
    <row r="81" spans="2:9" x14ac:dyDescent="0.25">
      <c r="B81" s="1575" t="str">
        <f t="shared" si="16"/>
        <v>SROMLI SelectPopulate Rent Roll</v>
      </c>
      <c r="C81" s="1576" t="s">
        <v>327</v>
      </c>
      <c r="D81" s="1576" t="s">
        <v>165</v>
      </c>
      <c r="E81" s="1595" t="str">
        <f>$P$13</f>
        <v>Populate Rent Roll</v>
      </c>
      <c r="F81" s="1579">
        <v>1.2</v>
      </c>
      <c r="G81" s="1579">
        <v>1.2</v>
      </c>
      <c r="H81" s="1579">
        <v>1.4</v>
      </c>
      <c r="I81" s="1578">
        <v>1.4</v>
      </c>
    </row>
    <row r="82" spans="2:9" x14ac:dyDescent="0.25">
      <c r="B82" s="1580" t="str">
        <f t="shared" si="16"/>
        <v>RetirementMLI Market7+ units</v>
      </c>
      <c r="C82" s="1581" t="s">
        <v>328</v>
      </c>
      <c r="D82" s="1581" t="s">
        <v>166</v>
      </c>
      <c r="E82" s="1581" t="s">
        <v>822</v>
      </c>
      <c r="F82" s="1582">
        <v>1.5</v>
      </c>
      <c r="G82" s="1582">
        <v>1.4</v>
      </c>
      <c r="H82" s="1582">
        <v>1.5</v>
      </c>
      <c r="I82" s="1583">
        <v>1.4</v>
      </c>
    </row>
    <row r="83" spans="2:9" x14ac:dyDescent="0.25">
      <c r="B83" s="1575" t="str">
        <f t="shared" si="16"/>
        <v>RetirementMLI Market5 or 6 units</v>
      </c>
      <c r="C83" s="1576" t="s">
        <v>328</v>
      </c>
      <c r="D83" s="1576" t="s">
        <v>166</v>
      </c>
      <c r="E83" s="1576" t="s">
        <v>823</v>
      </c>
      <c r="F83" s="1579">
        <v>1.2</v>
      </c>
      <c r="G83" s="1579">
        <v>1.2</v>
      </c>
      <c r="H83" s="1579">
        <v>1.5</v>
      </c>
      <c r="I83" s="1578">
        <v>1.4</v>
      </c>
    </row>
    <row r="84" spans="2:9" x14ac:dyDescent="0.25">
      <c r="B84" s="1584" t="str">
        <f t="shared" si="16"/>
        <v>RetirementMLI SelectPopulate Rent Roll</v>
      </c>
      <c r="C84" s="1585" t="s">
        <v>328</v>
      </c>
      <c r="D84" s="1585" t="s">
        <v>165</v>
      </c>
      <c r="E84" s="1596" t="str">
        <f>$P$13</f>
        <v>Populate Rent Roll</v>
      </c>
      <c r="F84" s="1586">
        <v>1.2</v>
      </c>
      <c r="G84" s="1586">
        <v>1.2</v>
      </c>
      <c r="H84" s="1586">
        <v>1.4</v>
      </c>
      <c r="I84" s="1587">
        <v>1.4</v>
      </c>
    </row>
  </sheetData>
  <conditionalFormatting sqref="K88:K91 L85:L87">
    <cfRule type="colorScale" priority="1">
      <colorScale>
        <cfvo type="min"/>
        <cfvo type="max"/>
        <color theme="7" tint="0.79998168889431442"/>
        <color rgb="FFFFC000"/>
      </colorScale>
    </cfRule>
    <cfRule type="colorScale" priority="2">
      <colorScale>
        <cfvo type="min"/>
        <cfvo type="max"/>
        <color theme="7" tint="0.79998168889431442"/>
        <color theme="5"/>
      </colorScale>
    </cfRule>
    <cfRule type="colorScale" priority="3">
      <colorScale>
        <cfvo type="min"/>
        <cfvo type="max"/>
        <color theme="9" tint="0.79998168889431442"/>
        <color theme="9" tint="-0.249977111117893"/>
      </colorScale>
    </cfRule>
    <cfRule type="colorScale" priority="4">
      <colorScale>
        <cfvo type="min"/>
        <cfvo type="max"/>
        <color theme="9" tint="0.79998168889431442"/>
        <color rgb="FFFF6161"/>
      </colorScale>
    </cfRule>
    <cfRule type="colorScale" priority="5">
      <colorScale>
        <cfvo type="min"/>
        <cfvo type="max"/>
        <color rgb="FFFF7128"/>
        <color rgb="FFFFEF9C"/>
      </colorScale>
    </cfRule>
  </conditionalFormatting>
  <conditionalFormatting sqref="N76:N85 O58:O64 N57:N63 R76:R85 P57:P63">
    <cfRule type="colorScale" priority="17">
      <colorScale>
        <cfvo type="min"/>
        <cfvo type="max"/>
        <color theme="9" tint="0.79998168889431442"/>
        <color rgb="FFFF9933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1:Q71 M88:M92 N76:N87 N57:N70 R93 P57:P70 Q88:Q94 R76:R87 O58:O70">
    <cfRule type="colorScale" priority="50">
      <colorScale>
        <cfvo type="min"/>
        <cfvo type="max"/>
        <color theme="7" tint="0.79998168889431442"/>
        <color rgb="FFFFC000"/>
      </colorScale>
    </cfRule>
    <cfRule type="colorScale" priority="51">
      <colorScale>
        <cfvo type="min"/>
        <cfvo type="max"/>
        <color theme="7" tint="0.79998168889431442"/>
        <color theme="5"/>
      </colorScale>
    </cfRule>
    <cfRule type="colorScale" priority="52">
      <colorScale>
        <cfvo type="min"/>
        <cfvo type="max"/>
        <color theme="9" tint="0.79998168889431442"/>
        <color theme="9" tint="-0.249977111117893"/>
      </colorScale>
    </cfRule>
    <cfRule type="colorScale" priority="53">
      <colorScale>
        <cfvo type="min"/>
        <cfvo type="max"/>
        <color theme="9" tint="0.79998168889431442"/>
        <color rgb="FFFF6161"/>
      </colorScale>
    </cfRule>
  </conditionalFormatting>
  <conditionalFormatting sqref="P71:Q71 M88:M92 N87 N65:N70 R93 P65:P70 Q88:Q94 R87 O66:O70">
    <cfRule type="colorScale" priority="78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0FAD-F242-4C32-BF8C-20591DB47975}">
  <sheetPr codeName="Sheet8"/>
  <dimension ref="A2:T143"/>
  <sheetViews>
    <sheetView zoomScale="85" zoomScaleNormal="85" workbookViewId="0">
      <selection activeCell="S21" sqref="S21"/>
    </sheetView>
  </sheetViews>
  <sheetFormatPr defaultColWidth="9" defaultRowHeight="14.25" x14ac:dyDescent="0.25"/>
  <cols>
    <col min="1" max="1" width="15.28515625" style="34" customWidth="1"/>
    <col min="2" max="2" width="12.140625" style="34" customWidth="1"/>
    <col min="3" max="3" width="7.7109375" style="34" customWidth="1"/>
    <col min="4" max="4" width="34.42578125" style="34" customWidth="1"/>
    <col min="5" max="5" width="9" style="56"/>
    <col min="6" max="6" width="24.140625" style="56" customWidth="1"/>
    <col min="7" max="18" width="0" style="34" hidden="1" customWidth="1"/>
    <col min="19" max="16384" width="9" style="34"/>
  </cols>
  <sheetData>
    <row r="2" spans="1:20" x14ac:dyDescent="0.25">
      <c r="D2" s="61" t="s">
        <v>385</v>
      </c>
      <c r="E2" s="71" t="s">
        <v>386</v>
      </c>
      <c r="F2" s="69"/>
      <c r="G2" s="62"/>
      <c r="H2" s="62"/>
      <c r="I2" s="62"/>
      <c r="J2" s="62"/>
      <c r="K2" s="62"/>
      <c r="L2" s="62"/>
      <c r="M2" s="62"/>
      <c r="N2" s="62"/>
      <c r="O2" s="63"/>
      <c r="S2" s="69" t="s">
        <v>387</v>
      </c>
      <c r="T2" s="69"/>
    </row>
    <row r="3" spans="1:20" x14ac:dyDescent="0.25">
      <c r="A3" s="36" t="s">
        <v>257</v>
      </c>
      <c r="B3" s="36" t="s">
        <v>388</v>
      </c>
      <c r="D3" s="64" t="s">
        <v>389</v>
      </c>
      <c r="E3" s="66" t="s">
        <v>390</v>
      </c>
      <c r="F3" s="66" t="s">
        <v>391</v>
      </c>
      <c r="G3" s="60" t="s">
        <v>392</v>
      </c>
      <c r="H3" s="60"/>
      <c r="I3" s="60"/>
      <c r="J3" s="60"/>
      <c r="K3" s="60"/>
      <c r="L3" s="60"/>
      <c r="M3" s="60"/>
      <c r="N3" s="60"/>
      <c r="O3" s="65"/>
      <c r="S3" s="69" t="s">
        <v>64</v>
      </c>
      <c r="T3" s="69" t="s">
        <v>391</v>
      </c>
    </row>
    <row r="4" spans="1:20" x14ac:dyDescent="0.25">
      <c r="A4" s="34" t="s">
        <v>320</v>
      </c>
      <c r="B4" s="34" t="s">
        <v>332</v>
      </c>
      <c r="C4" s="34" t="s">
        <v>336</v>
      </c>
      <c r="D4" s="37" t="s">
        <v>393</v>
      </c>
      <c r="E4" s="38">
        <v>0</v>
      </c>
      <c r="F4" s="39"/>
      <c r="G4" s="40" t="s">
        <v>394</v>
      </c>
      <c r="H4" s="41"/>
      <c r="I4" s="42"/>
      <c r="J4" s="42"/>
      <c r="K4" s="42"/>
      <c r="L4" s="42"/>
      <c r="M4" s="42"/>
      <c r="N4" s="42"/>
      <c r="O4" s="43"/>
      <c r="Q4" s="56"/>
      <c r="S4" s="34">
        <v>1968</v>
      </c>
      <c r="T4" s="528">
        <v>0.13</v>
      </c>
    </row>
    <row r="5" spans="1:20" x14ac:dyDescent="0.25">
      <c r="A5" s="34" t="s">
        <v>320</v>
      </c>
      <c r="B5" s="34" t="s">
        <v>332</v>
      </c>
      <c r="C5" s="34" t="s">
        <v>336</v>
      </c>
      <c r="D5" s="37" t="s">
        <v>395</v>
      </c>
      <c r="E5" s="38">
        <v>0</v>
      </c>
      <c r="F5" s="39"/>
      <c r="G5" s="40" t="s">
        <v>396</v>
      </c>
      <c r="H5" s="41"/>
      <c r="I5" s="42"/>
      <c r="J5" s="42"/>
      <c r="K5" s="42"/>
      <c r="L5" s="42"/>
      <c r="M5" s="42"/>
      <c r="N5" s="42"/>
      <c r="O5" s="43"/>
      <c r="Q5" s="56"/>
      <c r="S5" s="34">
        <v>300</v>
      </c>
      <c r="T5" s="528">
        <v>0.02</v>
      </c>
    </row>
    <row r="6" spans="1:20" x14ac:dyDescent="0.25">
      <c r="A6" s="34" t="s">
        <v>320</v>
      </c>
      <c r="B6" s="34" t="s">
        <v>332</v>
      </c>
      <c r="C6" s="34" t="s">
        <v>336</v>
      </c>
      <c r="D6" s="37" t="s">
        <v>397</v>
      </c>
      <c r="E6" s="38">
        <v>0</v>
      </c>
      <c r="F6" s="39"/>
      <c r="G6" s="40"/>
      <c r="H6" s="41"/>
      <c r="I6" s="42"/>
      <c r="J6" s="42"/>
      <c r="K6" s="42"/>
      <c r="L6" s="42"/>
      <c r="M6" s="42"/>
      <c r="N6" s="42"/>
      <c r="O6" s="43"/>
      <c r="Q6" s="56"/>
      <c r="S6" s="34">
        <v>1500</v>
      </c>
      <c r="T6" s="528">
        <v>9.9000000000000005E-2</v>
      </c>
    </row>
    <row r="7" spans="1:20" x14ac:dyDescent="0.25">
      <c r="A7" s="34" t="s">
        <v>320</v>
      </c>
      <c r="B7" s="34" t="s">
        <v>332</v>
      </c>
      <c r="C7" s="34" t="s">
        <v>336</v>
      </c>
      <c r="D7" s="37" t="s">
        <v>398</v>
      </c>
      <c r="E7" s="38">
        <v>830</v>
      </c>
      <c r="F7" s="39"/>
      <c r="G7" s="40" t="s">
        <v>399</v>
      </c>
      <c r="H7" s="41"/>
      <c r="I7" s="42"/>
      <c r="J7" s="42"/>
      <c r="K7" s="42"/>
      <c r="L7" s="42"/>
      <c r="M7" s="42"/>
      <c r="N7" s="42"/>
      <c r="O7" s="43"/>
      <c r="Q7" s="56"/>
      <c r="S7" s="34">
        <v>750</v>
      </c>
      <c r="T7" s="528">
        <v>5.0999999999999997E-2</v>
      </c>
    </row>
    <row r="8" spans="1:20" x14ac:dyDescent="0.25">
      <c r="A8" s="34" t="s">
        <v>320</v>
      </c>
      <c r="B8" s="34" t="s">
        <v>332</v>
      </c>
      <c r="C8" s="34" t="s">
        <v>336</v>
      </c>
      <c r="D8" s="37" t="s">
        <v>400</v>
      </c>
      <c r="E8" s="38">
        <v>555</v>
      </c>
      <c r="F8" s="39"/>
      <c r="G8" s="40" t="s">
        <v>401</v>
      </c>
      <c r="H8" s="42"/>
      <c r="I8" s="42"/>
      <c r="J8" s="42"/>
      <c r="K8" s="42"/>
      <c r="L8" s="42"/>
      <c r="M8" s="42"/>
      <c r="N8" s="42"/>
      <c r="O8" s="43"/>
      <c r="Q8" s="56"/>
      <c r="S8" s="34">
        <v>500</v>
      </c>
      <c r="T8" s="528">
        <v>3.3000000000000002E-2</v>
      </c>
    </row>
    <row r="9" spans="1:20" x14ac:dyDescent="0.25">
      <c r="A9" s="34" t="s">
        <v>320</v>
      </c>
      <c r="B9" s="34" t="s">
        <v>332</v>
      </c>
      <c r="C9" s="34" t="s">
        <v>336</v>
      </c>
      <c r="D9" s="37" t="s">
        <v>402</v>
      </c>
      <c r="E9" s="44"/>
      <c r="F9" s="39"/>
      <c r="G9" s="40" t="s">
        <v>403</v>
      </c>
      <c r="H9" s="41"/>
      <c r="I9" s="42"/>
      <c r="J9" s="42"/>
      <c r="K9" s="42"/>
      <c r="L9" s="42"/>
      <c r="M9" s="42"/>
      <c r="N9" s="42"/>
      <c r="O9" s="43"/>
      <c r="Q9" s="56"/>
      <c r="S9" s="34">
        <v>0</v>
      </c>
      <c r="T9" s="528">
        <v>0</v>
      </c>
    </row>
    <row r="10" spans="1:20" x14ac:dyDescent="0.25">
      <c r="A10" s="34" t="s">
        <v>320</v>
      </c>
      <c r="B10" s="34" t="s">
        <v>332</v>
      </c>
      <c r="C10" s="34" t="s">
        <v>336</v>
      </c>
      <c r="D10" s="37" t="s">
        <v>404</v>
      </c>
      <c r="E10" s="44"/>
      <c r="F10" s="45">
        <v>0.01</v>
      </c>
      <c r="G10" s="40" t="s">
        <v>405</v>
      </c>
      <c r="H10" s="41"/>
      <c r="I10" s="42"/>
      <c r="J10" s="42"/>
      <c r="K10" s="42"/>
      <c r="L10" s="42"/>
      <c r="M10" s="42"/>
      <c r="N10" s="42"/>
      <c r="O10" s="43"/>
      <c r="Q10" s="56"/>
      <c r="S10" s="34">
        <v>151</v>
      </c>
      <c r="T10" s="528">
        <v>0.01</v>
      </c>
    </row>
    <row r="11" spans="1:20" x14ac:dyDescent="0.25">
      <c r="A11" s="34" t="s">
        <v>320</v>
      </c>
      <c r="B11" s="34" t="s">
        <v>332</v>
      </c>
      <c r="C11" s="34" t="s">
        <v>336</v>
      </c>
      <c r="D11" s="37" t="s">
        <v>406</v>
      </c>
      <c r="E11" s="44"/>
      <c r="F11" s="530">
        <v>4.2500000000000003E-2</v>
      </c>
      <c r="G11" s="40" t="s">
        <v>407</v>
      </c>
      <c r="H11" s="42"/>
      <c r="I11" s="42"/>
      <c r="J11" s="42"/>
      <c r="K11" s="42"/>
      <c r="L11" s="42"/>
      <c r="M11" s="42"/>
      <c r="N11" s="42"/>
      <c r="O11" s="43"/>
      <c r="Q11" s="56"/>
      <c r="S11" s="34">
        <v>605</v>
      </c>
      <c r="T11" s="528">
        <v>0.04</v>
      </c>
    </row>
    <row r="12" spans="1:20" x14ac:dyDescent="0.25">
      <c r="A12" s="34" t="s">
        <v>320</v>
      </c>
      <c r="B12" s="34" t="s">
        <v>332</v>
      </c>
      <c r="C12" s="34" t="s">
        <v>336</v>
      </c>
      <c r="D12" s="46" t="s">
        <v>408</v>
      </c>
      <c r="E12" s="47"/>
      <c r="F12" s="48"/>
      <c r="G12" s="40" t="s">
        <v>409</v>
      </c>
      <c r="H12" s="42"/>
      <c r="I12" s="42"/>
      <c r="J12" s="42"/>
      <c r="K12" s="42"/>
      <c r="L12" s="42"/>
      <c r="M12" s="42"/>
      <c r="N12" s="42"/>
      <c r="O12" s="43"/>
      <c r="Q12" s="56"/>
      <c r="S12" s="34">
        <v>0</v>
      </c>
      <c r="T12" s="528">
        <v>0</v>
      </c>
    </row>
    <row r="13" spans="1:20" x14ac:dyDescent="0.25">
      <c r="A13" s="34" t="s">
        <v>320</v>
      </c>
      <c r="B13" s="34" t="s">
        <v>332</v>
      </c>
      <c r="C13" s="34" t="s">
        <v>336</v>
      </c>
      <c r="D13" s="49" t="s">
        <v>104</v>
      </c>
      <c r="E13" s="50"/>
      <c r="F13" s="51"/>
      <c r="G13" s="52" t="s">
        <v>410</v>
      </c>
      <c r="H13" s="53"/>
      <c r="I13" s="53"/>
      <c r="J13" s="53"/>
      <c r="K13" s="53"/>
      <c r="L13" s="53"/>
      <c r="M13" s="53"/>
      <c r="N13" s="53"/>
      <c r="O13" s="54"/>
      <c r="Q13" s="56"/>
      <c r="S13" s="34">
        <v>5549</v>
      </c>
      <c r="T13" s="528">
        <v>0.36699999999999999</v>
      </c>
    </row>
    <row r="14" spans="1:20" x14ac:dyDescent="0.25">
      <c r="D14" s="42"/>
      <c r="E14" s="70"/>
      <c r="F14" s="70"/>
      <c r="G14" s="42"/>
      <c r="H14" s="42"/>
      <c r="I14" s="42"/>
      <c r="J14" s="42"/>
      <c r="K14" s="42"/>
      <c r="L14" s="42"/>
      <c r="M14" s="42"/>
      <c r="N14" s="42"/>
      <c r="O14" s="55"/>
    </row>
    <row r="15" spans="1:20" x14ac:dyDescent="0.25">
      <c r="D15" s="61" t="s">
        <v>385</v>
      </c>
      <c r="E15" s="71" t="s">
        <v>411</v>
      </c>
      <c r="F15" s="69"/>
      <c r="G15" s="62"/>
      <c r="H15" s="62"/>
      <c r="I15" s="62"/>
      <c r="J15" s="62"/>
      <c r="K15" s="62"/>
      <c r="L15" s="62"/>
      <c r="M15" s="62"/>
      <c r="N15" s="62"/>
      <c r="O15" s="63"/>
      <c r="S15" s="69" t="s">
        <v>387</v>
      </c>
      <c r="T15" s="69"/>
    </row>
    <row r="16" spans="1:20" x14ac:dyDescent="0.25">
      <c r="D16" s="64" t="s">
        <v>389</v>
      </c>
      <c r="E16" s="66" t="s">
        <v>390</v>
      </c>
      <c r="F16" s="66" t="s">
        <v>391</v>
      </c>
      <c r="G16" s="60" t="s">
        <v>392</v>
      </c>
      <c r="H16" s="60"/>
      <c r="I16" s="60"/>
      <c r="J16" s="60"/>
      <c r="K16" s="60"/>
      <c r="L16" s="60"/>
      <c r="M16" s="60"/>
      <c r="N16" s="60"/>
      <c r="O16" s="65"/>
      <c r="S16" s="69" t="s">
        <v>64</v>
      </c>
      <c r="T16" s="69" t="s">
        <v>391</v>
      </c>
    </row>
    <row r="17" spans="1:20" x14ac:dyDescent="0.25">
      <c r="A17" s="34" t="s">
        <v>320</v>
      </c>
      <c r="B17" s="34" t="s">
        <v>333</v>
      </c>
      <c r="C17" s="34" t="s">
        <v>336</v>
      </c>
      <c r="D17" s="37" t="s">
        <v>393</v>
      </c>
      <c r="E17" s="38">
        <v>0</v>
      </c>
      <c r="F17" s="39"/>
      <c r="G17" s="40" t="s">
        <v>412</v>
      </c>
      <c r="H17" s="41"/>
      <c r="I17" s="42"/>
      <c r="J17" s="42"/>
      <c r="K17" s="42"/>
      <c r="L17" s="42"/>
      <c r="M17" s="42"/>
      <c r="N17" s="42"/>
      <c r="O17" s="43"/>
      <c r="Q17" s="56"/>
      <c r="S17" s="34">
        <v>2105</v>
      </c>
      <c r="T17" s="528">
        <v>0.123</v>
      </c>
    </row>
    <row r="18" spans="1:20" x14ac:dyDescent="0.25">
      <c r="A18" s="34" t="s">
        <v>320</v>
      </c>
      <c r="B18" s="34" t="s">
        <v>333</v>
      </c>
      <c r="C18" s="34" t="s">
        <v>336</v>
      </c>
      <c r="D18" s="37" t="s">
        <v>395</v>
      </c>
      <c r="E18" s="38">
        <v>0</v>
      </c>
      <c r="F18" s="39"/>
      <c r="G18" s="40" t="s">
        <v>413</v>
      </c>
      <c r="H18" s="41"/>
      <c r="I18" s="42"/>
      <c r="J18" s="42"/>
      <c r="K18" s="42"/>
      <c r="L18" s="42"/>
      <c r="M18" s="42"/>
      <c r="N18" s="42"/>
      <c r="O18" s="43"/>
      <c r="Q18" s="56"/>
      <c r="S18" s="34">
        <v>210</v>
      </c>
      <c r="T18" s="528">
        <v>1.2E-2</v>
      </c>
    </row>
    <row r="19" spans="1:20" x14ac:dyDescent="0.25">
      <c r="A19" s="34" t="s">
        <v>320</v>
      </c>
      <c r="B19" s="34" t="s">
        <v>333</v>
      </c>
      <c r="C19" s="34" t="s">
        <v>336</v>
      </c>
      <c r="D19" s="37" t="s">
        <v>397</v>
      </c>
      <c r="E19" s="38">
        <v>0</v>
      </c>
      <c r="F19" s="39"/>
      <c r="G19" s="40"/>
      <c r="H19" s="41"/>
      <c r="I19" s="42"/>
      <c r="J19" s="42"/>
      <c r="K19" s="42"/>
      <c r="L19" s="42"/>
      <c r="M19" s="42"/>
      <c r="N19" s="42"/>
      <c r="O19" s="43"/>
      <c r="Q19" s="56"/>
      <c r="S19" s="34">
        <v>1600</v>
      </c>
      <c r="T19" s="528">
        <v>9.2999999999999999E-2</v>
      </c>
    </row>
    <row r="20" spans="1:20" x14ac:dyDescent="0.25">
      <c r="A20" s="34" t="s">
        <v>320</v>
      </c>
      <c r="B20" s="34" t="s">
        <v>333</v>
      </c>
      <c r="C20" s="34" t="s">
        <v>336</v>
      </c>
      <c r="D20" s="37" t="s">
        <v>398</v>
      </c>
      <c r="E20" s="38">
        <v>975</v>
      </c>
      <c r="F20" s="39"/>
      <c r="G20" s="40" t="s">
        <v>414</v>
      </c>
      <c r="H20" s="41"/>
      <c r="I20" s="42"/>
      <c r="J20" s="42"/>
      <c r="K20" s="42"/>
      <c r="L20" s="42"/>
      <c r="M20" s="42"/>
      <c r="N20" s="42"/>
      <c r="O20" s="43"/>
      <c r="Q20" s="56"/>
      <c r="S20" s="34">
        <v>900</v>
      </c>
      <c r="T20" s="528">
        <v>5.1999999999999998E-2</v>
      </c>
    </row>
    <row r="21" spans="1:20" x14ac:dyDescent="0.25">
      <c r="A21" s="34" t="s">
        <v>320</v>
      </c>
      <c r="B21" s="34" t="s">
        <v>333</v>
      </c>
      <c r="C21" s="34" t="s">
        <v>336</v>
      </c>
      <c r="D21" s="37" t="s">
        <v>400</v>
      </c>
      <c r="E21" s="38">
        <v>700</v>
      </c>
      <c r="F21" s="39"/>
      <c r="G21" s="40" t="s">
        <v>401</v>
      </c>
      <c r="H21" s="42"/>
      <c r="I21" s="42"/>
      <c r="J21" s="42"/>
      <c r="K21" s="42"/>
      <c r="L21" s="42"/>
      <c r="M21" s="42"/>
      <c r="N21" s="42"/>
      <c r="O21" s="43"/>
      <c r="Q21" s="56"/>
      <c r="S21" s="34">
        <v>625</v>
      </c>
      <c r="T21" s="528">
        <v>3.5999999999999997E-2</v>
      </c>
    </row>
    <row r="22" spans="1:20" x14ac:dyDescent="0.25">
      <c r="A22" s="34" t="s">
        <v>320</v>
      </c>
      <c r="B22" s="34" t="s">
        <v>333</v>
      </c>
      <c r="C22" s="34" t="s">
        <v>336</v>
      </c>
      <c r="D22" s="37" t="s">
        <v>402</v>
      </c>
      <c r="E22" s="44"/>
      <c r="F22" s="39"/>
      <c r="G22" s="40" t="s">
        <v>403</v>
      </c>
      <c r="H22" s="41"/>
      <c r="I22" s="42"/>
      <c r="J22" s="42"/>
      <c r="K22" s="42"/>
      <c r="L22" s="42"/>
      <c r="M22" s="42"/>
      <c r="N22" s="42"/>
      <c r="O22" s="43"/>
      <c r="Q22" s="56"/>
      <c r="S22" s="34">
        <v>0</v>
      </c>
      <c r="T22" s="528">
        <v>0</v>
      </c>
    </row>
    <row r="23" spans="1:20" x14ac:dyDescent="0.25">
      <c r="A23" s="34" t="s">
        <v>320</v>
      </c>
      <c r="B23" s="34" t="s">
        <v>333</v>
      </c>
      <c r="C23" s="34" t="s">
        <v>336</v>
      </c>
      <c r="D23" s="37" t="s">
        <v>404</v>
      </c>
      <c r="E23" s="44"/>
      <c r="F23" s="45">
        <v>0.01</v>
      </c>
      <c r="G23" s="40" t="s">
        <v>415</v>
      </c>
      <c r="H23" s="41"/>
      <c r="I23" s="42"/>
      <c r="J23" s="42"/>
      <c r="K23" s="42"/>
      <c r="L23" s="42"/>
      <c r="M23" s="42"/>
      <c r="N23" s="42"/>
      <c r="O23" s="43"/>
      <c r="Q23" s="56"/>
      <c r="S23" s="34">
        <v>171</v>
      </c>
      <c r="T23" s="528">
        <v>0.01</v>
      </c>
    </row>
    <row r="24" spans="1:20" x14ac:dyDescent="0.25">
      <c r="A24" s="34" t="s">
        <v>320</v>
      </c>
      <c r="B24" s="34" t="s">
        <v>333</v>
      </c>
      <c r="C24" s="34" t="s">
        <v>336</v>
      </c>
      <c r="D24" s="37" t="s">
        <v>406</v>
      </c>
      <c r="E24" s="44"/>
      <c r="F24" s="530">
        <v>4.2500000000000003E-2</v>
      </c>
      <c r="G24" s="40" t="s">
        <v>407</v>
      </c>
      <c r="H24" s="42"/>
      <c r="I24" s="42"/>
      <c r="J24" s="42"/>
      <c r="K24" s="42"/>
      <c r="L24" s="42"/>
      <c r="M24" s="42"/>
      <c r="N24" s="42"/>
      <c r="O24" s="43"/>
      <c r="Q24" s="56"/>
      <c r="S24" s="34">
        <v>687</v>
      </c>
      <c r="T24" s="528">
        <v>0.04</v>
      </c>
    </row>
    <row r="25" spans="1:20" x14ac:dyDescent="0.25">
      <c r="A25" s="34" t="s">
        <v>320</v>
      </c>
      <c r="B25" s="34" t="s">
        <v>333</v>
      </c>
      <c r="C25" s="34" t="s">
        <v>336</v>
      </c>
      <c r="D25" s="46" t="s">
        <v>408</v>
      </c>
      <c r="E25" s="47"/>
      <c r="F25" s="48"/>
      <c r="G25" s="40" t="s">
        <v>416</v>
      </c>
      <c r="H25" s="42"/>
      <c r="I25" s="42"/>
      <c r="J25" s="42"/>
      <c r="K25" s="42"/>
      <c r="L25" s="42"/>
      <c r="M25" s="42"/>
      <c r="N25" s="42"/>
      <c r="O25" s="43"/>
      <c r="Q25" s="56"/>
      <c r="S25" s="34">
        <v>0</v>
      </c>
      <c r="T25" s="528">
        <v>0</v>
      </c>
    </row>
    <row r="26" spans="1:20" x14ac:dyDescent="0.25">
      <c r="A26" s="34" t="s">
        <v>320</v>
      </c>
      <c r="B26" s="34" t="s">
        <v>333</v>
      </c>
      <c r="C26" s="34" t="s">
        <v>336</v>
      </c>
      <c r="D26" s="49" t="s">
        <v>104</v>
      </c>
      <c r="E26" s="50"/>
      <c r="F26" s="51"/>
      <c r="G26" s="52" t="s">
        <v>417</v>
      </c>
      <c r="H26" s="53"/>
      <c r="I26" s="53"/>
      <c r="J26" s="53"/>
      <c r="K26" s="53"/>
      <c r="L26" s="53"/>
      <c r="M26" s="53"/>
      <c r="N26" s="53"/>
      <c r="O26" s="54"/>
      <c r="S26" s="34">
        <v>6098</v>
      </c>
      <c r="T26" s="528">
        <v>0.35499999999999998</v>
      </c>
    </row>
    <row r="27" spans="1:20" x14ac:dyDescent="0.25">
      <c r="D27" s="42"/>
      <c r="E27" s="70"/>
      <c r="F27" s="70"/>
      <c r="G27" s="42"/>
      <c r="H27" s="42"/>
      <c r="I27" s="42"/>
      <c r="J27" s="42"/>
      <c r="K27" s="42"/>
      <c r="L27" s="42"/>
      <c r="M27" s="42"/>
      <c r="N27" s="42"/>
      <c r="O27" s="42"/>
      <c r="T27" s="528"/>
    </row>
    <row r="28" spans="1:20" x14ac:dyDescent="0.25">
      <c r="D28" s="61" t="s">
        <v>385</v>
      </c>
      <c r="E28" s="71" t="s">
        <v>418</v>
      </c>
      <c r="F28" s="69"/>
      <c r="G28" s="62"/>
      <c r="H28" s="62"/>
      <c r="I28" s="62"/>
      <c r="J28" s="62"/>
      <c r="K28" s="62"/>
      <c r="L28" s="62"/>
      <c r="M28" s="62"/>
      <c r="N28" s="62"/>
      <c r="O28" s="63"/>
      <c r="T28" s="528"/>
    </row>
    <row r="29" spans="1:20" x14ac:dyDescent="0.25">
      <c r="D29" s="64" t="s">
        <v>389</v>
      </c>
      <c r="E29" s="66" t="s">
        <v>390</v>
      </c>
      <c r="F29" s="66" t="s">
        <v>391</v>
      </c>
      <c r="G29" s="60" t="s">
        <v>392</v>
      </c>
      <c r="H29" s="60"/>
      <c r="I29" s="60"/>
      <c r="J29" s="60"/>
      <c r="K29" s="60"/>
      <c r="L29" s="60"/>
      <c r="M29" s="60"/>
      <c r="N29" s="60"/>
      <c r="O29" s="65"/>
      <c r="T29" s="528"/>
    </row>
    <row r="30" spans="1:20" x14ac:dyDescent="0.25">
      <c r="A30" s="34" t="s">
        <v>321</v>
      </c>
      <c r="B30" s="34" t="s">
        <v>332</v>
      </c>
      <c r="C30" s="34" t="s">
        <v>336</v>
      </c>
      <c r="D30" s="37" t="s">
        <v>393</v>
      </c>
      <c r="E30" s="38">
        <v>0</v>
      </c>
      <c r="F30" s="39"/>
      <c r="G30" s="40" t="s">
        <v>419</v>
      </c>
      <c r="H30" s="41"/>
      <c r="I30" s="42"/>
      <c r="J30" s="42"/>
      <c r="K30" s="42"/>
      <c r="L30" s="42"/>
      <c r="M30" s="42"/>
      <c r="N30" s="42"/>
      <c r="O30" s="43"/>
      <c r="Q30" s="56"/>
      <c r="S30" s="34">
        <v>1095</v>
      </c>
      <c r="T30" s="528">
        <v>6.4000000000000001E-2</v>
      </c>
    </row>
    <row r="31" spans="1:20" x14ac:dyDescent="0.25">
      <c r="A31" s="34" t="s">
        <v>321</v>
      </c>
      <c r="B31" s="34" t="s">
        <v>332</v>
      </c>
      <c r="C31" s="34" t="s">
        <v>336</v>
      </c>
      <c r="D31" s="37" t="s">
        <v>395</v>
      </c>
      <c r="E31" s="38">
        <v>0</v>
      </c>
      <c r="F31" s="39"/>
      <c r="G31" s="40" t="s">
        <v>420</v>
      </c>
      <c r="H31" s="41"/>
      <c r="I31" s="42"/>
      <c r="J31" s="42"/>
      <c r="K31" s="42"/>
      <c r="L31" s="42"/>
      <c r="M31" s="42"/>
      <c r="N31" s="42"/>
      <c r="O31" s="43"/>
      <c r="Q31" s="56"/>
      <c r="S31" s="34">
        <v>425</v>
      </c>
      <c r="T31" s="528">
        <v>2.5000000000000001E-2</v>
      </c>
    </row>
    <row r="32" spans="1:20" x14ac:dyDescent="0.25">
      <c r="A32" s="34" t="s">
        <v>321</v>
      </c>
      <c r="B32" s="34" t="s">
        <v>332</v>
      </c>
      <c r="C32" s="34" t="s">
        <v>336</v>
      </c>
      <c r="D32" s="37" t="s">
        <v>397</v>
      </c>
      <c r="E32" s="38">
        <v>0</v>
      </c>
      <c r="F32" s="39"/>
      <c r="G32" s="40"/>
      <c r="H32" s="41"/>
      <c r="I32" s="42"/>
      <c r="J32" s="42"/>
      <c r="K32" s="42"/>
      <c r="L32" s="42"/>
      <c r="M32" s="42"/>
      <c r="N32" s="42"/>
      <c r="O32" s="43"/>
      <c r="Q32" s="56"/>
      <c r="S32" s="34">
        <v>915</v>
      </c>
      <c r="T32" s="528">
        <v>5.3999999999999999E-2</v>
      </c>
    </row>
    <row r="33" spans="1:20" x14ac:dyDescent="0.25">
      <c r="A33" s="34" t="s">
        <v>321</v>
      </c>
      <c r="B33" s="34" t="s">
        <v>332</v>
      </c>
      <c r="C33" s="34" t="s">
        <v>336</v>
      </c>
      <c r="D33" s="37" t="s">
        <v>398</v>
      </c>
      <c r="E33" s="38">
        <v>830</v>
      </c>
      <c r="F33" s="39"/>
      <c r="G33" s="40" t="s">
        <v>399</v>
      </c>
      <c r="H33" s="41"/>
      <c r="I33" s="42"/>
      <c r="J33" s="42"/>
      <c r="K33" s="42"/>
      <c r="L33" s="42"/>
      <c r="M33" s="42"/>
      <c r="N33" s="42"/>
      <c r="O33" s="43"/>
      <c r="Q33" s="56"/>
      <c r="S33" s="34">
        <v>750</v>
      </c>
      <c r="T33" s="528">
        <v>4.3999999999999997E-2</v>
      </c>
    </row>
    <row r="34" spans="1:20" x14ac:dyDescent="0.25">
      <c r="A34" s="34" t="s">
        <v>321</v>
      </c>
      <c r="B34" s="34" t="s">
        <v>332</v>
      </c>
      <c r="C34" s="34" t="s">
        <v>336</v>
      </c>
      <c r="D34" s="37" t="s">
        <v>400</v>
      </c>
      <c r="E34" s="38">
        <v>635</v>
      </c>
      <c r="F34" s="39"/>
      <c r="G34" s="40" t="s">
        <v>401</v>
      </c>
      <c r="H34" s="42"/>
      <c r="I34" s="42"/>
      <c r="J34" s="42"/>
      <c r="K34" s="42"/>
      <c r="L34" s="42"/>
      <c r="M34" s="42"/>
      <c r="N34" s="42"/>
      <c r="O34" s="43"/>
      <c r="Q34" s="56"/>
      <c r="S34" s="34">
        <v>575</v>
      </c>
      <c r="T34" s="528">
        <v>3.4000000000000002E-2</v>
      </c>
    </row>
    <row r="35" spans="1:20" x14ac:dyDescent="0.25">
      <c r="A35" s="34" t="s">
        <v>321</v>
      </c>
      <c r="B35" s="34" t="s">
        <v>332</v>
      </c>
      <c r="C35" s="34" t="s">
        <v>336</v>
      </c>
      <c r="D35" s="37" t="s">
        <v>402</v>
      </c>
      <c r="E35" s="44"/>
      <c r="F35" s="39"/>
      <c r="G35" s="40" t="s">
        <v>403</v>
      </c>
      <c r="H35" s="41"/>
      <c r="I35" s="42"/>
      <c r="J35" s="42"/>
      <c r="K35" s="42"/>
      <c r="L35" s="42"/>
      <c r="M35" s="42"/>
      <c r="N35" s="42"/>
      <c r="O35" s="43"/>
      <c r="Q35" s="56"/>
      <c r="S35" s="34">
        <v>0</v>
      </c>
      <c r="T35" s="528">
        <v>0</v>
      </c>
    </row>
    <row r="36" spans="1:20" x14ac:dyDescent="0.25">
      <c r="A36" s="34" t="s">
        <v>321</v>
      </c>
      <c r="B36" s="34" t="s">
        <v>332</v>
      </c>
      <c r="C36" s="34" t="s">
        <v>336</v>
      </c>
      <c r="D36" s="37" t="s">
        <v>404</v>
      </c>
      <c r="E36" s="44"/>
      <c r="F36" s="45">
        <v>1.7000000000000001E-2</v>
      </c>
      <c r="G36" s="40" t="s">
        <v>415</v>
      </c>
      <c r="H36" s="41"/>
      <c r="I36" s="42"/>
      <c r="J36" s="42"/>
      <c r="K36" s="42"/>
      <c r="L36" s="42"/>
      <c r="M36" s="42"/>
      <c r="N36" s="42"/>
      <c r="O36" s="43"/>
      <c r="Q36" s="56"/>
      <c r="S36" s="34">
        <v>291</v>
      </c>
      <c r="T36" s="528">
        <v>1.7000000000000001E-2</v>
      </c>
    </row>
    <row r="37" spans="1:20" x14ac:dyDescent="0.25">
      <c r="A37" s="34" t="s">
        <v>321</v>
      </c>
      <c r="B37" s="34" t="s">
        <v>332</v>
      </c>
      <c r="C37" s="34" t="s">
        <v>336</v>
      </c>
      <c r="D37" s="37" t="s">
        <v>406</v>
      </c>
      <c r="E37" s="44"/>
      <c r="F37" s="530">
        <v>4.2500000000000003E-2</v>
      </c>
      <c r="G37" s="40" t="s">
        <v>407</v>
      </c>
      <c r="H37" s="42"/>
      <c r="I37" s="42"/>
      <c r="J37" s="42"/>
      <c r="K37" s="42"/>
      <c r="L37" s="42"/>
      <c r="M37" s="42"/>
      <c r="N37" s="42"/>
      <c r="O37" s="43"/>
      <c r="Q37" s="56"/>
      <c r="S37" s="34">
        <v>683</v>
      </c>
      <c r="T37" s="528">
        <v>0.04</v>
      </c>
    </row>
    <row r="38" spans="1:20" x14ac:dyDescent="0.25">
      <c r="A38" s="34" t="s">
        <v>321</v>
      </c>
      <c r="B38" s="34" t="s">
        <v>332</v>
      </c>
      <c r="C38" s="34" t="s">
        <v>336</v>
      </c>
      <c r="D38" s="46" t="s">
        <v>408</v>
      </c>
      <c r="E38" s="47"/>
      <c r="F38" s="48"/>
      <c r="G38" s="40" t="s">
        <v>421</v>
      </c>
      <c r="H38" s="42"/>
      <c r="I38" s="42"/>
      <c r="J38" s="42"/>
      <c r="K38" s="42"/>
      <c r="L38" s="42"/>
      <c r="M38" s="42"/>
      <c r="N38" s="42"/>
      <c r="O38" s="43"/>
      <c r="Q38" s="56"/>
      <c r="S38" s="34">
        <v>0</v>
      </c>
      <c r="T38" s="528">
        <v>0</v>
      </c>
    </row>
    <row r="39" spans="1:20" x14ac:dyDescent="0.25">
      <c r="A39" s="34" t="s">
        <v>321</v>
      </c>
      <c r="B39" s="34" t="s">
        <v>332</v>
      </c>
      <c r="C39" s="34" t="s">
        <v>336</v>
      </c>
      <c r="D39" s="49" t="s">
        <v>104</v>
      </c>
      <c r="E39" s="50"/>
      <c r="F39" s="51"/>
      <c r="G39" s="52" t="s">
        <v>422</v>
      </c>
      <c r="H39" s="53"/>
      <c r="I39" s="53"/>
      <c r="J39" s="53"/>
      <c r="K39" s="53"/>
      <c r="L39" s="53"/>
      <c r="M39" s="53"/>
      <c r="N39" s="53"/>
      <c r="O39" s="54"/>
      <c r="S39" s="34">
        <v>4734</v>
      </c>
      <c r="T39" s="528">
        <v>0.27800000000000002</v>
      </c>
    </row>
    <row r="40" spans="1:20" x14ac:dyDescent="0.25">
      <c r="T40" s="528"/>
    </row>
    <row r="41" spans="1:20" x14ac:dyDescent="0.25">
      <c r="D41" s="61" t="s">
        <v>385</v>
      </c>
      <c r="E41" s="71" t="s">
        <v>423</v>
      </c>
      <c r="F41" s="69"/>
      <c r="G41" s="62"/>
      <c r="H41" s="62"/>
      <c r="I41" s="62"/>
      <c r="J41" s="62"/>
      <c r="K41" s="62"/>
      <c r="L41" s="62"/>
      <c r="M41" s="62"/>
      <c r="N41" s="62"/>
      <c r="O41" s="63"/>
      <c r="T41" s="528"/>
    </row>
    <row r="42" spans="1:20" x14ac:dyDescent="0.25">
      <c r="D42" s="64" t="s">
        <v>389</v>
      </c>
      <c r="E42" s="66" t="s">
        <v>390</v>
      </c>
      <c r="F42" s="66" t="s">
        <v>391</v>
      </c>
      <c r="G42" s="60" t="s">
        <v>392</v>
      </c>
      <c r="H42" s="60"/>
      <c r="I42" s="60"/>
      <c r="J42" s="60"/>
      <c r="K42" s="60"/>
      <c r="L42" s="60"/>
      <c r="M42" s="60"/>
      <c r="N42" s="60"/>
      <c r="O42" s="65"/>
      <c r="T42" s="528"/>
    </row>
    <row r="43" spans="1:20" x14ac:dyDescent="0.25">
      <c r="A43" s="34" t="s">
        <v>321</v>
      </c>
      <c r="B43" s="34" t="s">
        <v>333</v>
      </c>
      <c r="C43" s="34" t="s">
        <v>336</v>
      </c>
      <c r="D43" s="37" t="s">
        <v>393</v>
      </c>
      <c r="E43" s="38">
        <v>0</v>
      </c>
      <c r="F43" s="39"/>
      <c r="G43" s="40"/>
      <c r="H43" s="41"/>
      <c r="I43" s="42"/>
      <c r="J43" s="42"/>
      <c r="K43" s="42"/>
      <c r="L43" s="42"/>
      <c r="M43" s="42"/>
      <c r="N43" s="42"/>
      <c r="O43" s="43"/>
      <c r="Q43" s="56"/>
      <c r="S43" s="34">
        <v>1465</v>
      </c>
      <c r="T43" s="528">
        <v>6.9000000000000006E-2</v>
      </c>
    </row>
    <row r="44" spans="1:20" x14ac:dyDescent="0.25">
      <c r="A44" s="34" t="s">
        <v>321</v>
      </c>
      <c r="B44" s="34" t="s">
        <v>333</v>
      </c>
      <c r="C44" s="34" t="s">
        <v>336</v>
      </c>
      <c r="D44" s="37" t="s">
        <v>395</v>
      </c>
      <c r="E44" s="38">
        <v>0</v>
      </c>
      <c r="F44" s="39"/>
      <c r="G44" s="40"/>
      <c r="H44" s="41"/>
      <c r="I44" s="42"/>
      <c r="J44" s="42"/>
      <c r="K44" s="42"/>
      <c r="L44" s="42"/>
      <c r="M44" s="42"/>
      <c r="N44" s="42"/>
      <c r="O44" s="43"/>
      <c r="Q44" s="56"/>
      <c r="S44" s="34">
        <v>285</v>
      </c>
      <c r="T44" s="528">
        <v>1.2999999999999999E-2</v>
      </c>
    </row>
    <row r="45" spans="1:20" x14ac:dyDescent="0.25">
      <c r="A45" s="34" t="s">
        <v>321</v>
      </c>
      <c r="B45" s="34" t="s">
        <v>333</v>
      </c>
      <c r="C45" s="34" t="s">
        <v>336</v>
      </c>
      <c r="D45" s="37" t="s">
        <v>397</v>
      </c>
      <c r="E45" s="38">
        <v>0</v>
      </c>
      <c r="F45" s="39"/>
      <c r="G45" s="40"/>
      <c r="H45" s="41"/>
      <c r="I45" s="42"/>
      <c r="J45" s="42"/>
      <c r="K45" s="42"/>
      <c r="L45" s="42"/>
      <c r="M45" s="42"/>
      <c r="N45" s="42"/>
      <c r="O45" s="43"/>
      <c r="Q45" s="56"/>
      <c r="S45" s="34">
        <v>1000</v>
      </c>
      <c r="T45" s="528">
        <v>4.7E-2</v>
      </c>
    </row>
    <row r="46" spans="1:20" x14ac:dyDescent="0.25">
      <c r="A46" s="34" t="s">
        <v>321</v>
      </c>
      <c r="B46" s="34" t="s">
        <v>333</v>
      </c>
      <c r="C46" s="34" t="s">
        <v>336</v>
      </c>
      <c r="D46" s="37" t="s">
        <v>398</v>
      </c>
      <c r="E46" s="38">
        <v>975</v>
      </c>
      <c r="F46" s="39"/>
      <c r="G46" s="40"/>
      <c r="H46" s="41"/>
      <c r="I46" s="42"/>
      <c r="J46" s="42"/>
      <c r="K46" s="42"/>
      <c r="L46" s="42"/>
      <c r="M46" s="42"/>
      <c r="N46" s="42"/>
      <c r="O46" s="43"/>
      <c r="Q46" s="56"/>
      <c r="S46" s="34">
        <v>900</v>
      </c>
      <c r="T46" s="528">
        <v>4.2000000000000003E-2</v>
      </c>
    </row>
    <row r="47" spans="1:20" x14ac:dyDescent="0.25">
      <c r="A47" s="34" t="s">
        <v>321</v>
      </c>
      <c r="B47" s="34" t="s">
        <v>333</v>
      </c>
      <c r="C47" s="34" t="s">
        <v>336</v>
      </c>
      <c r="D47" s="37" t="s">
        <v>400</v>
      </c>
      <c r="E47" s="38">
        <v>700</v>
      </c>
      <c r="F47" s="39"/>
      <c r="G47" s="40"/>
      <c r="H47" s="42"/>
      <c r="I47" s="42"/>
      <c r="J47" s="42"/>
      <c r="K47" s="42"/>
      <c r="L47" s="42"/>
      <c r="M47" s="42"/>
      <c r="N47" s="42"/>
      <c r="O47" s="43"/>
      <c r="Q47" s="56"/>
      <c r="S47" s="34">
        <v>625</v>
      </c>
      <c r="T47" s="528">
        <v>2.9000000000000001E-2</v>
      </c>
    </row>
    <row r="48" spans="1:20" x14ac:dyDescent="0.25">
      <c r="A48" s="34" t="s">
        <v>321</v>
      </c>
      <c r="B48" s="34" t="s">
        <v>333</v>
      </c>
      <c r="C48" s="34" t="s">
        <v>336</v>
      </c>
      <c r="D48" s="37" t="s">
        <v>402</v>
      </c>
      <c r="E48" s="44"/>
      <c r="F48" s="39"/>
      <c r="G48" s="40"/>
      <c r="H48" s="41"/>
      <c r="I48" s="42"/>
      <c r="J48" s="42"/>
      <c r="K48" s="42"/>
      <c r="L48" s="42"/>
      <c r="M48" s="42"/>
      <c r="N48" s="42"/>
      <c r="O48" s="43"/>
      <c r="Q48" s="56"/>
      <c r="S48" s="34">
        <v>0</v>
      </c>
      <c r="T48" s="528">
        <v>0</v>
      </c>
    </row>
    <row r="49" spans="1:20" x14ac:dyDescent="0.25">
      <c r="A49" s="34" t="s">
        <v>321</v>
      </c>
      <c r="B49" s="34" t="s">
        <v>333</v>
      </c>
      <c r="C49" s="34" t="s">
        <v>336</v>
      </c>
      <c r="D49" s="37" t="s">
        <v>404</v>
      </c>
      <c r="E49" s="44"/>
      <c r="F49" s="45">
        <v>1.7999999999999999E-2</v>
      </c>
      <c r="G49" s="40"/>
      <c r="H49" s="41"/>
      <c r="I49" s="42"/>
      <c r="J49" s="42"/>
      <c r="K49" s="42"/>
      <c r="L49" s="42"/>
      <c r="M49" s="42"/>
      <c r="N49" s="42"/>
      <c r="O49" s="43"/>
      <c r="Q49" s="56"/>
      <c r="S49" s="34">
        <v>382</v>
      </c>
      <c r="T49" s="528">
        <v>1.7999999999999999E-2</v>
      </c>
    </row>
    <row r="50" spans="1:20" x14ac:dyDescent="0.25">
      <c r="A50" s="34" t="s">
        <v>321</v>
      </c>
      <c r="B50" s="34" t="s">
        <v>333</v>
      </c>
      <c r="C50" s="34" t="s">
        <v>336</v>
      </c>
      <c r="D50" s="37" t="s">
        <v>406</v>
      </c>
      <c r="E50" s="44"/>
      <c r="F50" s="530">
        <v>4.2500000000000003E-2</v>
      </c>
      <c r="G50" s="40"/>
      <c r="H50" s="42"/>
      <c r="I50" s="42"/>
      <c r="J50" s="42"/>
      <c r="K50" s="42"/>
      <c r="L50" s="42"/>
      <c r="M50" s="42"/>
      <c r="N50" s="42"/>
      <c r="O50" s="43"/>
      <c r="Q50" s="56"/>
      <c r="S50" s="34">
        <v>850</v>
      </c>
      <c r="T50" s="528">
        <v>0.04</v>
      </c>
    </row>
    <row r="51" spans="1:20" x14ac:dyDescent="0.25">
      <c r="A51" s="34" t="s">
        <v>321</v>
      </c>
      <c r="B51" s="34" t="s">
        <v>333</v>
      </c>
      <c r="C51" s="34" t="s">
        <v>336</v>
      </c>
      <c r="D51" s="46" t="s">
        <v>408</v>
      </c>
      <c r="E51" s="47"/>
      <c r="F51" s="48"/>
      <c r="G51" s="40"/>
      <c r="H51" s="42"/>
      <c r="I51" s="42"/>
      <c r="J51" s="42"/>
      <c r="K51" s="42"/>
      <c r="L51" s="42"/>
      <c r="M51" s="42"/>
      <c r="N51" s="42"/>
      <c r="O51" s="43"/>
      <c r="Q51" s="56"/>
      <c r="S51" s="34">
        <v>0</v>
      </c>
      <c r="T51" s="528">
        <v>0</v>
      </c>
    </row>
    <row r="52" spans="1:20" x14ac:dyDescent="0.25">
      <c r="A52" s="34" t="s">
        <v>321</v>
      </c>
      <c r="B52" s="34" t="s">
        <v>333</v>
      </c>
      <c r="C52" s="34" t="s">
        <v>336</v>
      </c>
      <c r="D52" s="49" t="s">
        <v>104</v>
      </c>
      <c r="E52" s="50"/>
      <c r="F52" s="51"/>
      <c r="G52" s="52"/>
      <c r="H52" s="53"/>
      <c r="I52" s="53"/>
      <c r="J52" s="53"/>
      <c r="K52" s="53"/>
      <c r="L52" s="53"/>
      <c r="M52" s="53"/>
      <c r="N52" s="53"/>
      <c r="O52" s="54"/>
      <c r="S52" s="34">
        <v>5507</v>
      </c>
      <c r="T52" s="528">
        <v>0.25900000000000001</v>
      </c>
    </row>
    <row r="53" spans="1:20" x14ac:dyDescent="0.25">
      <c r="T53" s="528"/>
    </row>
    <row r="54" spans="1:20" x14ac:dyDescent="0.25">
      <c r="D54" s="61" t="s">
        <v>385</v>
      </c>
      <c r="E54" s="71" t="s">
        <v>424</v>
      </c>
      <c r="F54" s="69"/>
      <c r="G54" s="62"/>
      <c r="H54" s="62"/>
      <c r="I54" s="62"/>
      <c r="J54" s="62"/>
      <c r="K54" s="62"/>
      <c r="L54" s="62"/>
      <c r="M54" s="62"/>
      <c r="N54" s="62"/>
      <c r="O54" s="63"/>
      <c r="T54" s="528"/>
    </row>
    <row r="55" spans="1:20" x14ac:dyDescent="0.25">
      <c r="D55" s="64" t="s">
        <v>389</v>
      </c>
      <c r="E55" s="66" t="s">
        <v>390</v>
      </c>
      <c r="F55" s="66" t="s">
        <v>391</v>
      </c>
      <c r="G55" s="60" t="s">
        <v>392</v>
      </c>
      <c r="H55" s="60"/>
      <c r="I55" s="60"/>
      <c r="J55" s="60"/>
      <c r="K55" s="60"/>
      <c r="L55" s="60"/>
      <c r="M55" s="60"/>
      <c r="N55" s="60"/>
      <c r="O55" s="65"/>
      <c r="T55" s="528"/>
    </row>
    <row r="56" spans="1:20" x14ac:dyDescent="0.25">
      <c r="A56" s="34" t="s">
        <v>323</v>
      </c>
      <c r="B56" s="34" t="s">
        <v>332</v>
      </c>
      <c r="C56" s="34" t="s">
        <v>336</v>
      </c>
      <c r="D56" s="37" t="s">
        <v>393</v>
      </c>
      <c r="E56" s="38">
        <v>0</v>
      </c>
      <c r="F56" s="39"/>
      <c r="G56" s="40"/>
      <c r="H56" s="41"/>
      <c r="I56" s="42"/>
      <c r="J56" s="42"/>
      <c r="K56" s="42"/>
      <c r="L56" s="42"/>
      <c r="M56" s="42"/>
      <c r="N56" s="42"/>
      <c r="O56" s="43"/>
      <c r="Q56" s="56"/>
      <c r="S56" s="34">
        <v>1278</v>
      </c>
      <c r="T56" s="528">
        <v>0.11</v>
      </c>
    </row>
    <row r="57" spans="1:20" x14ac:dyDescent="0.25">
      <c r="A57" s="34" t="s">
        <v>323</v>
      </c>
      <c r="B57" s="34" t="s">
        <v>332</v>
      </c>
      <c r="C57" s="34" t="s">
        <v>336</v>
      </c>
      <c r="D57" s="37" t="s">
        <v>395</v>
      </c>
      <c r="E57" s="38">
        <v>0</v>
      </c>
      <c r="F57" s="39"/>
      <c r="G57" s="40"/>
      <c r="H57" s="41"/>
      <c r="I57" s="42"/>
      <c r="J57" s="42"/>
      <c r="K57" s="42"/>
      <c r="L57" s="42"/>
      <c r="M57" s="42"/>
      <c r="N57" s="42"/>
      <c r="O57" s="43"/>
      <c r="Q57" s="56"/>
      <c r="S57" s="34">
        <v>250</v>
      </c>
      <c r="T57" s="528">
        <v>2.1000000000000001E-2</v>
      </c>
    </row>
    <row r="58" spans="1:20" x14ac:dyDescent="0.25">
      <c r="A58" s="34" t="s">
        <v>323</v>
      </c>
      <c r="B58" s="34" t="s">
        <v>332</v>
      </c>
      <c r="C58" s="34" t="s">
        <v>336</v>
      </c>
      <c r="D58" s="37" t="s">
        <v>397</v>
      </c>
      <c r="E58" s="38">
        <v>0</v>
      </c>
      <c r="F58" s="39"/>
      <c r="G58" s="40"/>
      <c r="H58" s="41"/>
      <c r="I58" s="42"/>
      <c r="J58" s="42"/>
      <c r="K58" s="42"/>
      <c r="L58" s="42"/>
      <c r="M58" s="42"/>
      <c r="N58" s="42"/>
      <c r="O58" s="43"/>
      <c r="Q58" s="56"/>
      <c r="S58" s="34">
        <v>1350</v>
      </c>
      <c r="T58" s="528">
        <v>0.11600000000000001</v>
      </c>
    </row>
    <row r="59" spans="1:20" x14ac:dyDescent="0.25">
      <c r="A59" s="34" t="s">
        <v>323</v>
      </c>
      <c r="B59" s="34" t="s">
        <v>332</v>
      </c>
      <c r="C59" s="34" t="s">
        <v>336</v>
      </c>
      <c r="D59" s="37" t="s">
        <v>398</v>
      </c>
      <c r="E59" s="38">
        <v>610</v>
      </c>
      <c r="F59" s="39"/>
      <c r="G59" s="40"/>
      <c r="H59" s="41"/>
      <c r="I59" s="42"/>
      <c r="J59" s="42"/>
      <c r="K59" s="42"/>
      <c r="L59" s="42"/>
      <c r="M59" s="42"/>
      <c r="N59" s="42"/>
      <c r="O59" s="43"/>
      <c r="Q59" s="56"/>
      <c r="S59" s="34">
        <v>550</v>
      </c>
      <c r="T59" s="528">
        <v>4.7E-2</v>
      </c>
    </row>
    <row r="60" spans="1:20" x14ac:dyDescent="0.25">
      <c r="A60" s="34" t="s">
        <v>323</v>
      </c>
      <c r="B60" s="34" t="s">
        <v>332</v>
      </c>
      <c r="C60" s="34" t="s">
        <v>336</v>
      </c>
      <c r="D60" s="37" t="s">
        <v>400</v>
      </c>
      <c r="E60" s="38">
        <v>420</v>
      </c>
      <c r="F60" s="39"/>
      <c r="G60" s="40"/>
      <c r="H60" s="42"/>
      <c r="I60" s="42"/>
      <c r="J60" s="42"/>
      <c r="K60" s="42"/>
      <c r="L60" s="42"/>
      <c r="M60" s="42"/>
      <c r="N60" s="42"/>
      <c r="O60" s="43"/>
      <c r="Q60" s="56"/>
      <c r="S60" s="34">
        <v>380</v>
      </c>
      <c r="T60" s="528">
        <v>3.3000000000000002E-2</v>
      </c>
    </row>
    <row r="61" spans="1:20" x14ac:dyDescent="0.25">
      <c r="A61" s="34" t="s">
        <v>323</v>
      </c>
      <c r="B61" s="34" t="s">
        <v>332</v>
      </c>
      <c r="C61" s="34" t="s">
        <v>336</v>
      </c>
      <c r="D61" s="37" t="s">
        <v>402</v>
      </c>
      <c r="E61" s="44"/>
      <c r="F61" s="39"/>
      <c r="G61" s="40"/>
      <c r="H61" s="41"/>
      <c r="I61" s="42"/>
      <c r="J61" s="42"/>
      <c r="K61" s="42"/>
      <c r="L61" s="42"/>
      <c r="M61" s="42"/>
      <c r="N61" s="42"/>
      <c r="O61" s="43"/>
      <c r="Q61" s="56"/>
      <c r="S61" s="34">
        <v>0</v>
      </c>
      <c r="T61" s="528">
        <v>0</v>
      </c>
    </row>
    <row r="62" spans="1:20" x14ac:dyDescent="0.25">
      <c r="A62" s="34" t="s">
        <v>323</v>
      </c>
      <c r="B62" s="34" t="s">
        <v>332</v>
      </c>
      <c r="C62" s="34" t="s">
        <v>336</v>
      </c>
      <c r="D62" s="37" t="s">
        <v>404</v>
      </c>
      <c r="E62" s="44"/>
      <c r="F62" s="45">
        <v>0.01</v>
      </c>
      <c r="G62" s="40"/>
      <c r="H62" s="41"/>
      <c r="I62" s="42"/>
      <c r="J62" s="42"/>
      <c r="K62" s="42"/>
      <c r="L62" s="42"/>
      <c r="M62" s="42"/>
      <c r="N62" s="42"/>
      <c r="O62" s="43"/>
      <c r="Q62" s="56"/>
      <c r="S62" s="34">
        <v>117</v>
      </c>
      <c r="T62" s="528">
        <v>0.01</v>
      </c>
    </row>
    <row r="63" spans="1:20" x14ac:dyDescent="0.25">
      <c r="A63" s="34" t="s">
        <v>323</v>
      </c>
      <c r="B63" s="34" t="s">
        <v>332</v>
      </c>
      <c r="C63" s="34" t="s">
        <v>336</v>
      </c>
      <c r="D63" s="37" t="s">
        <v>406</v>
      </c>
      <c r="E63" s="44"/>
      <c r="F63" s="530">
        <v>4.2500000000000003E-2</v>
      </c>
      <c r="G63" s="40"/>
      <c r="H63" s="42"/>
      <c r="I63" s="42"/>
      <c r="J63" s="42"/>
      <c r="K63" s="42"/>
      <c r="L63" s="42"/>
      <c r="M63" s="42"/>
      <c r="N63" s="42"/>
      <c r="O63" s="43"/>
      <c r="Q63" s="56"/>
      <c r="S63" s="34">
        <v>466</v>
      </c>
      <c r="T63" s="528">
        <v>0.04</v>
      </c>
    </row>
    <row r="64" spans="1:20" x14ac:dyDescent="0.25">
      <c r="A64" s="34" t="s">
        <v>323</v>
      </c>
      <c r="B64" s="34" t="s">
        <v>332</v>
      </c>
      <c r="C64" s="34" t="s">
        <v>336</v>
      </c>
      <c r="D64" s="46" t="s">
        <v>408</v>
      </c>
      <c r="E64" s="47"/>
      <c r="F64" s="48"/>
      <c r="G64" s="40"/>
      <c r="H64" s="42"/>
      <c r="I64" s="42"/>
      <c r="J64" s="42"/>
      <c r="K64" s="42"/>
      <c r="L64" s="42"/>
      <c r="M64" s="42"/>
      <c r="N64" s="42"/>
      <c r="O64" s="43"/>
      <c r="Q64" s="56"/>
      <c r="S64" s="34">
        <v>0</v>
      </c>
      <c r="T64" s="528">
        <v>0</v>
      </c>
    </row>
    <row r="65" spans="1:20" x14ac:dyDescent="0.25">
      <c r="A65" s="34" t="s">
        <v>323</v>
      </c>
      <c r="B65" s="34" t="s">
        <v>332</v>
      </c>
      <c r="C65" s="34" t="s">
        <v>336</v>
      </c>
      <c r="D65" s="49" t="s">
        <v>104</v>
      </c>
      <c r="E65" s="50"/>
      <c r="F65" s="51"/>
      <c r="G65" s="52"/>
      <c r="H65" s="53"/>
      <c r="I65" s="53"/>
      <c r="J65" s="53"/>
      <c r="K65" s="53"/>
      <c r="L65" s="53"/>
      <c r="M65" s="53"/>
      <c r="N65" s="53"/>
      <c r="O65" s="54"/>
      <c r="S65" s="34">
        <v>4391</v>
      </c>
      <c r="T65" s="528">
        <v>0.377</v>
      </c>
    </row>
    <row r="66" spans="1:20" x14ac:dyDescent="0.25">
      <c r="T66" s="528"/>
    </row>
    <row r="67" spans="1:20" x14ac:dyDescent="0.25">
      <c r="D67" s="61" t="s">
        <v>385</v>
      </c>
      <c r="E67" s="71" t="s">
        <v>425</v>
      </c>
      <c r="F67" s="69"/>
      <c r="G67" s="62"/>
      <c r="H67" s="62"/>
      <c r="I67" s="62"/>
      <c r="J67" s="62"/>
      <c r="K67" s="62"/>
      <c r="L67" s="62"/>
      <c r="M67" s="62"/>
      <c r="N67" s="62"/>
      <c r="O67" s="63"/>
      <c r="T67" s="528"/>
    </row>
    <row r="68" spans="1:20" x14ac:dyDescent="0.25">
      <c r="D68" s="64" t="s">
        <v>389</v>
      </c>
      <c r="E68" s="66" t="s">
        <v>390</v>
      </c>
      <c r="F68" s="66" t="s">
        <v>391</v>
      </c>
      <c r="G68" s="60" t="s">
        <v>392</v>
      </c>
      <c r="H68" s="60"/>
      <c r="I68" s="60"/>
      <c r="J68" s="60"/>
      <c r="K68" s="60"/>
      <c r="L68" s="60"/>
      <c r="M68" s="60"/>
      <c r="N68" s="60"/>
      <c r="O68" s="65"/>
      <c r="T68" s="528"/>
    </row>
    <row r="69" spans="1:20" x14ac:dyDescent="0.25">
      <c r="A69" s="34" t="s">
        <v>323</v>
      </c>
      <c r="B69" s="34" t="s">
        <v>333</v>
      </c>
      <c r="C69" s="34" t="s">
        <v>336</v>
      </c>
      <c r="D69" s="37" t="s">
        <v>393</v>
      </c>
      <c r="E69" s="38">
        <v>0</v>
      </c>
      <c r="F69" s="39"/>
      <c r="G69" s="40"/>
      <c r="H69" s="41"/>
      <c r="I69" s="42"/>
      <c r="J69" s="42"/>
      <c r="K69" s="42"/>
      <c r="L69" s="42"/>
      <c r="M69" s="42"/>
      <c r="N69" s="42"/>
      <c r="O69" s="43"/>
      <c r="Q69" s="56"/>
      <c r="S69" s="34">
        <v>2283</v>
      </c>
      <c r="T69" s="528">
        <v>0.124</v>
      </c>
    </row>
    <row r="70" spans="1:20" x14ac:dyDescent="0.25">
      <c r="A70" s="34" t="s">
        <v>323</v>
      </c>
      <c r="B70" s="34" t="s">
        <v>333</v>
      </c>
      <c r="C70" s="34" t="s">
        <v>336</v>
      </c>
      <c r="D70" s="37" t="s">
        <v>395</v>
      </c>
      <c r="E70" s="38">
        <v>0</v>
      </c>
      <c r="F70" s="39"/>
      <c r="G70" s="40"/>
      <c r="H70" s="41"/>
      <c r="I70" s="42"/>
      <c r="J70" s="42"/>
      <c r="K70" s="42"/>
      <c r="L70" s="42"/>
      <c r="M70" s="42"/>
      <c r="N70" s="42"/>
      <c r="O70" s="43"/>
      <c r="Q70" s="56"/>
      <c r="S70" s="34">
        <v>175</v>
      </c>
      <c r="T70" s="528">
        <v>0.01</v>
      </c>
    </row>
    <row r="71" spans="1:20" x14ac:dyDescent="0.25">
      <c r="A71" s="34" t="s">
        <v>323</v>
      </c>
      <c r="B71" s="34" t="s">
        <v>333</v>
      </c>
      <c r="C71" s="34" t="s">
        <v>336</v>
      </c>
      <c r="D71" s="37" t="s">
        <v>397</v>
      </c>
      <c r="E71" s="38">
        <v>0</v>
      </c>
      <c r="F71" s="39"/>
      <c r="G71" s="40"/>
      <c r="H71" s="41"/>
      <c r="I71" s="42"/>
      <c r="J71" s="42"/>
      <c r="K71" s="42"/>
      <c r="L71" s="42"/>
      <c r="M71" s="42"/>
      <c r="N71" s="42"/>
      <c r="O71" s="43"/>
      <c r="Q71" s="56"/>
      <c r="S71" s="34">
        <v>1350</v>
      </c>
      <c r="T71" s="528">
        <v>7.2999999999999995E-2</v>
      </c>
    </row>
    <row r="72" spans="1:20" x14ac:dyDescent="0.25">
      <c r="A72" s="34" t="s">
        <v>323</v>
      </c>
      <c r="B72" s="34" t="s">
        <v>333</v>
      </c>
      <c r="C72" s="34" t="s">
        <v>336</v>
      </c>
      <c r="D72" s="37" t="s">
        <v>398</v>
      </c>
      <c r="E72" s="38">
        <v>825</v>
      </c>
      <c r="F72" s="39"/>
      <c r="G72" s="40"/>
      <c r="H72" s="41"/>
      <c r="I72" s="42"/>
      <c r="J72" s="42"/>
      <c r="K72" s="42"/>
      <c r="L72" s="42"/>
      <c r="M72" s="42"/>
      <c r="N72" s="42"/>
      <c r="O72" s="43"/>
      <c r="Q72" s="56"/>
      <c r="S72" s="34">
        <v>750</v>
      </c>
      <c r="T72" s="528">
        <v>0.04</v>
      </c>
    </row>
    <row r="73" spans="1:20" x14ac:dyDescent="0.25">
      <c r="A73" s="34" t="s">
        <v>323</v>
      </c>
      <c r="B73" s="34" t="s">
        <v>333</v>
      </c>
      <c r="C73" s="34" t="s">
        <v>336</v>
      </c>
      <c r="D73" s="37" t="s">
        <v>400</v>
      </c>
      <c r="E73" s="38">
        <v>610</v>
      </c>
      <c r="F73" s="39"/>
      <c r="G73" s="40"/>
      <c r="H73" s="42"/>
      <c r="I73" s="42"/>
      <c r="J73" s="42"/>
      <c r="K73" s="42"/>
      <c r="L73" s="42"/>
      <c r="M73" s="42"/>
      <c r="N73" s="42"/>
      <c r="O73" s="43"/>
      <c r="Q73" s="56"/>
      <c r="S73" s="34">
        <v>550</v>
      </c>
      <c r="T73" s="528">
        <v>2.9000000000000001E-2</v>
      </c>
    </row>
    <row r="74" spans="1:20" x14ac:dyDescent="0.25">
      <c r="A74" s="34" t="s">
        <v>323</v>
      </c>
      <c r="B74" s="34" t="s">
        <v>333</v>
      </c>
      <c r="C74" s="34" t="s">
        <v>336</v>
      </c>
      <c r="D74" s="37" t="s">
        <v>402</v>
      </c>
      <c r="E74" s="44"/>
      <c r="F74" s="39"/>
      <c r="G74" s="40"/>
      <c r="H74" s="41"/>
      <c r="I74" s="42"/>
      <c r="J74" s="42"/>
      <c r="K74" s="42"/>
      <c r="L74" s="42"/>
      <c r="M74" s="42"/>
      <c r="N74" s="42"/>
      <c r="O74" s="43"/>
      <c r="Q74" s="56"/>
      <c r="S74" s="34">
        <v>0</v>
      </c>
      <c r="T74" s="528">
        <v>0</v>
      </c>
    </row>
    <row r="75" spans="1:20" x14ac:dyDescent="0.25">
      <c r="A75" s="34" t="s">
        <v>323</v>
      </c>
      <c r="B75" s="34" t="s">
        <v>333</v>
      </c>
      <c r="C75" s="34" t="s">
        <v>336</v>
      </c>
      <c r="D75" s="37" t="s">
        <v>404</v>
      </c>
      <c r="E75" s="44"/>
      <c r="F75" s="45">
        <v>1.2999999999999999E-2</v>
      </c>
      <c r="G75" s="40"/>
      <c r="H75" s="41"/>
      <c r="I75" s="42"/>
      <c r="J75" s="42"/>
      <c r="K75" s="42"/>
      <c r="L75" s="42"/>
      <c r="M75" s="42"/>
      <c r="N75" s="42"/>
      <c r="O75" s="43"/>
      <c r="Q75" s="56"/>
      <c r="S75" s="34">
        <v>239</v>
      </c>
      <c r="T75" s="528">
        <v>1.2999999999999999E-2</v>
      </c>
    </row>
    <row r="76" spans="1:20" x14ac:dyDescent="0.25">
      <c r="A76" s="34" t="s">
        <v>323</v>
      </c>
      <c r="B76" s="34" t="s">
        <v>333</v>
      </c>
      <c r="C76" s="34" t="s">
        <v>336</v>
      </c>
      <c r="D76" s="37" t="s">
        <v>406</v>
      </c>
      <c r="E76" s="44"/>
      <c r="F76" s="530">
        <v>4.2500000000000003E-2</v>
      </c>
      <c r="G76" s="40"/>
      <c r="H76" s="42"/>
      <c r="I76" s="42"/>
      <c r="J76" s="42"/>
      <c r="K76" s="42"/>
      <c r="L76" s="42"/>
      <c r="M76" s="42"/>
      <c r="N76" s="42"/>
      <c r="O76" s="43"/>
      <c r="Q76" s="56"/>
      <c r="S76" s="34">
        <v>737</v>
      </c>
      <c r="T76" s="528">
        <v>0.04</v>
      </c>
    </row>
    <row r="77" spans="1:20" x14ac:dyDescent="0.25">
      <c r="A77" s="34" t="s">
        <v>323</v>
      </c>
      <c r="B77" s="34" t="s">
        <v>333</v>
      </c>
      <c r="C77" s="34" t="s">
        <v>336</v>
      </c>
      <c r="D77" s="46" t="s">
        <v>408</v>
      </c>
      <c r="E77" s="47"/>
      <c r="F77" s="48"/>
      <c r="G77" s="40"/>
      <c r="H77" s="42"/>
      <c r="I77" s="42"/>
      <c r="J77" s="42"/>
      <c r="K77" s="42"/>
      <c r="L77" s="42"/>
      <c r="M77" s="42"/>
      <c r="N77" s="42"/>
      <c r="O77" s="43"/>
      <c r="Q77" s="56"/>
      <c r="S77" s="34">
        <v>0</v>
      </c>
      <c r="T77" s="528">
        <v>0</v>
      </c>
    </row>
    <row r="78" spans="1:20" x14ac:dyDescent="0.25">
      <c r="A78" s="34" t="s">
        <v>323</v>
      </c>
      <c r="B78" s="34" t="s">
        <v>333</v>
      </c>
      <c r="C78" s="34" t="s">
        <v>336</v>
      </c>
      <c r="D78" s="49" t="s">
        <v>104</v>
      </c>
      <c r="E78" s="50"/>
      <c r="F78" s="51"/>
      <c r="G78" s="52"/>
      <c r="H78" s="53"/>
      <c r="I78" s="53"/>
      <c r="J78" s="53"/>
      <c r="K78" s="53"/>
      <c r="L78" s="53"/>
      <c r="M78" s="53"/>
      <c r="N78" s="53"/>
      <c r="O78" s="54"/>
      <c r="S78" s="34">
        <v>6059</v>
      </c>
      <c r="T78" s="528">
        <v>0.32900000000000001</v>
      </c>
    </row>
    <row r="79" spans="1:20" x14ac:dyDescent="0.25">
      <c r="T79" s="528"/>
    </row>
    <row r="80" spans="1:20" x14ac:dyDescent="0.25">
      <c r="D80" s="61" t="s">
        <v>385</v>
      </c>
      <c r="E80" s="71" t="s">
        <v>426</v>
      </c>
      <c r="F80" s="69"/>
      <c r="G80" s="62"/>
      <c r="H80" s="62"/>
      <c r="I80" s="62"/>
      <c r="J80" s="62"/>
      <c r="K80" s="62"/>
      <c r="L80" s="62"/>
      <c r="M80" s="62"/>
      <c r="N80" s="62"/>
      <c r="O80" s="63"/>
      <c r="T80" s="528"/>
    </row>
    <row r="81" spans="1:20" x14ac:dyDescent="0.25">
      <c r="D81" s="64" t="s">
        <v>389</v>
      </c>
      <c r="E81" s="66" t="s">
        <v>390</v>
      </c>
      <c r="F81" s="66" t="s">
        <v>391</v>
      </c>
      <c r="G81" s="60" t="s">
        <v>392</v>
      </c>
      <c r="H81" s="60"/>
      <c r="I81" s="60"/>
      <c r="J81" s="60"/>
      <c r="K81" s="60"/>
      <c r="L81" s="60"/>
      <c r="M81" s="60"/>
      <c r="N81" s="60"/>
      <c r="O81" s="65"/>
      <c r="T81" s="528"/>
    </row>
    <row r="82" spans="1:20" x14ac:dyDescent="0.25">
      <c r="A82" s="34" t="s">
        <v>324</v>
      </c>
      <c r="B82" s="34" t="s">
        <v>332</v>
      </c>
      <c r="C82" s="34" t="s">
        <v>336</v>
      </c>
      <c r="D82" s="37" t="s">
        <v>393</v>
      </c>
      <c r="E82" s="38">
        <v>0</v>
      </c>
      <c r="F82" s="39"/>
      <c r="G82" s="40"/>
      <c r="H82" s="41"/>
      <c r="I82" s="42"/>
      <c r="J82" s="42"/>
      <c r="K82" s="42"/>
      <c r="L82" s="42"/>
      <c r="M82" s="42"/>
      <c r="N82" s="42"/>
      <c r="O82" s="43"/>
      <c r="Q82" s="56"/>
      <c r="S82" s="34">
        <v>1340</v>
      </c>
      <c r="T82" s="528">
        <v>8.3000000000000004E-2</v>
      </c>
    </row>
    <row r="83" spans="1:20" x14ac:dyDescent="0.25">
      <c r="A83" s="34" t="s">
        <v>324</v>
      </c>
      <c r="B83" s="34" t="s">
        <v>332</v>
      </c>
      <c r="C83" s="34" t="s">
        <v>336</v>
      </c>
      <c r="D83" s="37" t="s">
        <v>395</v>
      </c>
      <c r="E83" s="38">
        <v>0</v>
      </c>
      <c r="F83" s="39"/>
      <c r="G83" s="40"/>
      <c r="H83" s="41"/>
      <c r="I83" s="42"/>
      <c r="J83" s="42"/>
      <c r="K83" s="42"/>
      <c r="L83" s="42"/>
      <c r="M83" s="42"/>
      <c r="N83" s="42"/>
      <c r="O83" s="43"/>
      <c r="Q83" s="56"/>
      <c r="S83" s="34">
        <v>300</v>
      </c>
      <c r="T83" s="528">
        <v>1.9E-2</v>
      </c>
    </row>
    <row r="84" spans="1:20" x14ac:dyDescent="0.25">
      <c r="A84" s="34" t="s">
        <v>324</v>
      </c>
      <c r="B84" s="34" t="s">
        <v>332</v>
      </c>
      <c r="C84" s="34" t="s">
        <v>336</v>
      </c>
      <c r="D84" s="37" t="s">
        <v>397</v>
      </c>
      <c r="E84" s="38">
        <v>0</v>
      </c>
      <c r="F84" s="39"/>
      <c r="G84" s="40"/>
      <c r="H84" s="41"/>
      <c r="I84" s="42"/>
      <c r="J84" s="42"/>
      <c r="K84" s="42"/>
      <c r="L84" s="42"/>
      <c r="M84" s="42"/>
      <c r="N84" s="42"/>
      <c r="O84" s="43"/>
      <c r="Q84" s="56"/>
      <c r="S84" s="34">
        <v>1250</v>
      </c>
      <c r="T84" s="528">
        <v>7.6999999999999999E-2</v>
      </c>
    </row>
    <row r="85" spans="1:20" x14ac:dyDescent="0.25">
      <c r="A85" s="34" t="s">
        <v>324</v>
      </c>
      <c r="B85" s="34" t="s">
        <v>332</v>
      </c>
      <c r="C85" s="34" t="s">
        <v>336</v>
      </c>
      <c r="D85" s="37" t="s">
        <v>398</v>
      </c>
      <c r="E85" s="38">
        <v>830</v>
      </c>
      <c r="F85" s="39"/>
      <c r="G85" s="40"/>
      <c r="H85" s="41"/>
      <c r="I85" s="42"/>
      <c r="J85" s="42"/>
      <c r="K85" s="42"/>
      <c r="L85" s="42"/>
      <c r="M85" s="42"/>
      <c r="N85" s="42"/>
      <c r="O85" s="43"/>
      <c r="Q85" s="56"/>
      <c r="S85" s="34">
        <v>750</v>
      </c>
      <c r="T85" s="528">
        <v>4.5999999999999999E-2</v>
      </c>
    </row>
    <row r="86" spans="1:20" x14ac:dyDescent="0.25">
      <c r="A86" s="34" t="s">
        <v>324</v>
      </c>
      <c r="B86" s="34" t="s">
        <v>332</v>
      </c>
      <c r="C86" s="34" t="s">
        <v>336</v>
      </c>
      <c r="D86" s="37" t="s">
        <v>400</v>
      </c>
      <c r="E86" s="38">
        <v>500</v>
      </c>
      <c r="F86" s="39"/>
      <c r="G86" s="40"/>
      <c r="H86" s="42"/>
      <c r="I86" s="42"/>
      <c r="J86" s="42"/>
      <c r="K86" s="42"/>
      <c r="L86" s="42"/>
      <c r="M86" s="42"/>
      <c r="N86" s="42"/>
      <c r="O86" s="43"/>
      <c r="Q86" s="56"/>
      <c r="S86" s="34">
        <v>450</v>
      </c>
      <c r="T86" s="528">
        <v>2.8000000000000001E-2</v>
      </c>
    </row>
    <row r="87" spans="1:20" x14ac:dyDescent="0.25">
      <c r="A87" s="34" t="s">
        <v>324</v>
      </c>
      <c r="B87" s="34" t="s">
        <v>332</v>
      </c>
      <c r="C87" s="34" t="s">
        <v>336</v>
      </c>
      <c r="D87" s="37" t="s">
        <v>402</v>
      </c>
      <c r="E87" s="44"/>
      <c r="F87" s="39"/>
      <c r="G87" s="40"/>
      <c r="H87" s="41"/>
      <c r="I87" s="42"/>
      <c r="J87" s="42"/>
      <c r="K87" s="42"/>
      <c r="L87" s="42"/>
      <c r="M87" s="42"/>
      <c r="N87" s="42"/>
      <c r="O87" s="43"/>
      <c r="Q87" s="56"/>
      <c r="S87" s="34">
        <v>0</v>
      </c>
      <c r="T87" s="528">
        <v>0</v>
      </c>
    </row>
    <row r="88" spans="1:20" x14ac:dyDescent="0.25">
      <c r="A88" s="34" t="s">
        <v>324</v>
      </c>
      <c r="B88" s="34" t="s">
        <v>332</v>
      </c>
      <c r="C88" s="34" t="s">
        <v>336</v>
      </c>
      <c r="D88" s="37" t="s">
        <v>404</v>
      </c>
      <c r="E88" s="44"/>
      <c r="F88" s="45">
        <v>0.02</v>
      </c>
      <c r="G88" s="40"/>
      <c r="H88" s="41"/>
      <c r="I88" s="42"/>
      <c r="J88" s="42"/>
      <c r="K88" s="42"/>
      <c r="L88" s="42"/>
      <c r="M88" s="42"/>
      <c r="N88" s="42"/>
      <c r="O88" s="43"/>
      <c r="Q88" s="56"/>
      <c r="S88" s="34">
        <v>324</v>
      </c>
      <c r="T88" s="528">
        <v>0.02</v>
      </c>
    </row>
    <row r="89" spans="1:20" x14ac:dyDescent="0.25">
      <c r="A89" s="34" t="s">
        <v>324</v>
      </c>
      <c r="B89" s="34" t="s">
        <v>332</v>
      </c>
      <c r="C89" s="34" t="s">
        <v>336</v>
      </c>
      <c r="D89" s="37" t="s">
        <v>406</v>
      </c>
      <c r="E89" s="44"/>
      <c r="F89" s="530">
        <v>4.2500000000000003E-2</v>
      </c>
      <c r="G89" s="40"/>
      <c r="H89" s="42"/>
      <c r="I89" s="42"/>
      <c r="J89" s="42"/>
      <c r="K89" s="42"/>
      <c r="L89" s="42"/>
      <c r="M89" s="42"/>
      <c r="N89" s="42"/>
      <c r="O89" s="43"/>
      <c r="Q89" s="56"/>
      <c r="S89" s="34">
        <v>648</v>
      </c>
      <c r="T89" s="528">
        <v>0.04</v>
      </c>
    </row>
    <row r="90" spans="1:20" x14ac:dyDescent="0.25">
      <c r="A90" s="34" t="s">
        <v>324</v>
      </c>
      <c r="B90" s="34" t="s">
        <v>332</v>
      </c>
      <c r="C90" s="34" t="s">
        <v>336</v>
      </c>
      <c r="D90" s="46" t="s">
        <v>408</v>
      </c>
      <c r="E90" s="47"/>
      <c r="F90" s="48"/>
      <c r="G90" s="40"/>
      <c r="H90" s="42"/>
      <c r="I90" s="42"/>
      <c r="J90" s="42"/>
      <c r="K90" s="42"/>
      <c r="L90" s="42"/>
      <c r="M90" s="42"/>
      <c r="N90" s="42"/>
      <c r="O90" s="43"/>
      <c r="Q90" s="56"/>
      <c r="S90" s="34">
        <v>0</v>
      </c>
      <c r="T90" s="528">
        <v>0</v>
      </c>
    </row>
    <row r="91" spans="1:20" x14ac:dyDescent="0.25">
      <c r="A91" s="34" t="s">
        <v>324</v>
      </c>
      <c r="B91" s="34" t="s">
        <v>332</v>
      </c>
      <c r="C91" s="34" t="s">
        <v>336</v>
      </c>
      <c r="D91" s="49" t="s">
        <v>104</v>
      </c>
      <c r="E91" s="50"/>
      <c r="F91" s="51"/>
      <c r="G91" s="52"/>
      <c r="H91" s="53"/>
      <c r="I91" s="53"/>
      <c r="J91" s="53"/>
      <c r="K91" s="53"/>
      <c r="L91" s="53"/>
      <c r="M91" s="53"/>
      <c r="N91" s="53"/>
      <c r="O91" s="54"/>
      <c r="S91" s="34">
        <v>5062</v>
      </c>
      <c r="T91" s="528">
        <v>0.313</v>
      </c>
    </row>
    <row r="92" spans="1:20" x14ac:dyDescent="0.25">
      <c r="T92" s="528"/>
    </row>
    <row r="93" spans="1:20" x14ac:dyDescent="0.25">
      <c r="D93" s="61" t="s">
        <v>385</v>
      </c>
      <c r="E93" s="71" t="s">
        <v>427</v>
      </c>
      <c r="F93" s="69"/>
      <c r="G93" s="62"/>
      <c r="H93" s="62"/>
      <c r="I93" s="62"/>
      <c r="J93" s="62"/>
      <c r="K93" s="62"/>
      <c r="L93" s="62"/>
      <c r="M93" s="62"/>
      <c r="N93" s="62"/>
      <c r="O93" s="63"/>
      <c r="T93" s="528"/>
    </row>
    <row r="94" spans="1:20" x14ac:dyDescent="0.25">
      <c r="D94" s="64" t="s">
        <v>389</v>
      </c>
      <c r="E94" s="66" t="s">
        <v>390</v>
      </c>
      <c r="F94" s="66" t="s">
        <v>391</v>
      </c>
      <c r="G94" s="60" t="s">
        <v>392</v>
      </c>
      <c r="H94" s="60"/>
      <c r="I94" s="60"/>
      <c r="J94" s="60"/>
      <c r="K94" s="60"/>
      <c r="L94" s="60"/>
      <c r="M94" s="60"/>
      <c r="N94" s="60"/>
      <c r="O94" s="65"/>
      <c r="T94" s="528"/>
    </row>
    <row r="95" spans="1:20" x14ac:dyDescent="0.25">
      <c r="A95" s="34" t="s">
        <v>324</v>
      </c>
      <c r="B95" s="34" t="s">
        <v>333</v>
      </c>
      <c r="C95" s="34" t="s">
        <v>336</v>
      </c>
      <c r="D95" s="37" t="s">
        <v>393</v>
      </c>
      <c r="E95" s="38">
        <v>0</v>
      </c>
      <c r="F95" s="39"/>
      <c r="G95" s="40"/>
      <c r="H95" s="41"/>
      <c r="I95" s="42"/>
      <c r="J95" s="42"/>
      <c r="K95" s="42"/>
      <c r="L95" s="42"/>
      <c r="M95" s="42"/>
      <c r="N95" s="42"/>
      <c r="O95" s="43"/>
      <c r="Q95" s="56"/>
      <c r="S95" s="34">
        <v>1675</v>
      </c>
      <c r="T95" s="528">
        <v>0.105</v>
      </c>
    </row>
    <row r="96" spans="1:20" x14ac:dyDescent="0.25">
      <c r="A96" s="34" t="s">
        <v>324</v>
      </c>
      <c r="B96" s="34" t="s">
        <v>333</v>
      </c>
      <c r="C96" s="34" t="s">
        <v>336</v>
      </c>
      <c r="D96" s="37" t="s">
        <v>395</v>
      </c>
      <c r="E96" s="38">
        <v>0</v>
      </c>
      <c r="F96" s="39"/>
      <c r="G96" s="40"/>
      <c r="H96" s="41"/>
      <c r="I96" s="42"/>
      <c r="J96" s="42"/>
      <c r="K96" s="42"/>
      <c r="L96" s="42"/>
      <c r="M96" s="42"/>
      <c r="N96" s="42"/>
      <c r="O96" s="43"/>
      <c r="Q96" s="56"/>
      <c r="S96" s="34">
        <v>225</v>
      </c>
      <c r="T96" s="528">
        <v>1.4E-2</v>
      </c>
    </row>
    <row r="97" spans="1:20" x14ac:dyDescent="0.25">
      <c r="A97" s="34" t="s">
        <v>324</v>
      </c>
      <c r="B97" s="34" t="s">
        <v>333</v>
      </c>
      <c r="C97" s="34" t="s">
        <v>336</v>
      </c>
      <c r="D97" s="37" t="s">
        <v>397</v>
      </c>
      <c r="E97" s="38">
        <v>0</v>
      </c>
      <c r="F97" s="39"/>
      <c r="G97" s="40"/>
      <c r="H97" s="41"/>
      <c r="I97" s="42"/>
      <c r="J97" s="42"/>
      <c r="K97" s="42"/>
      <c r="L97" s="42"/>
      <c r="M97" s="42"/>
      <c r="N97" s="42"/>
      <c r="O97" s="43"/>
      <c r="Q97" s="56"/>
      <c r="S97" s="34">
        <v>1300</v>
      </c>
      <c r="T97" s="528">
        <v>5.6000000000000001E-2</v>
      </c>
    </row>
    <row r="98" spans="1:20" x14ac:dyDescent="0.25">
      <c r="A98" s="34" t="s">
        <v>324</v>
      </c>
      <c r="B98" s="34" t="s">
        <v>333</v>
      </c>
      <c r="C98" s="34" t="s">
        <v>336</v>
      </c>
      <c r="D98" s="37" t="s">
        <v>398</v>
      </c>
      <c r="E98" s="38">
        <v>975</v>
      </c>
      <c r="F98" s="39"/>
      <c r="G98" s="40"/>
      <c r="H98" s="41"/>
      <c r="I98" s="42"/>
      <c r="J98" s="42"/>
      <c r="K98" s="42"/>
      <c r="L98" s="42"/>
      <c r="M98" s="42"/>
      <c r="N98" s="42"/>
      <c r="O98" s="43"/>
      <c r="Q98" s="56"/>
      <c r="S98" s="34">
        <v>900</v>
      </c>
      <c r="T98" s="528">
        <v>5.6000000000000001E-2</v>
      </c>
    </row>
    <row r="99" spans="1:20" x14ac:dyDescent="0.25">
      <c r="A99" s="34" t="s">
        <v>324</v>
      </c>
      <c r="B99" s="34" t="s">
        <v>333</v>
      </c>
      <c r="C99" s="34" t="s">
        <v>336</v>
      </c>
      <c r="D99" s="37" t="s">
        <v>400</v>
      </c>
      <c r="E99" s="38">
        <v>665</v>
      </c>
      <c r="F99" s="39"/>
      <c r="G99" s="40"/>
      <c r="H99" s="42"/>
      <c r="I99" s="42"/>
      <c r="J99" s="42"/>
      <c r="K99" s="42"/>
      <c r="L99" s="42"/>
      <c r="M99" s="42"/>
      <c r="N99" s="42"/>
      <c r="O99" s="43"/>
      <c r="Q99" s="56"/>
      <c r="S99" s="34">
        <v>600</v>
      </c>
      <c r="T99" s="528">
        <v>3.7999999999999999E-2</v>
      </c>
    </row>
    <row r="100" spans="1:20" x14ac:dyDescent="0.25">
      <c r="A100" s="34" t="s">
        <v>324</v>
      </c>
      <c r="B100" s="34" t="s">
        <v>333</v>
      </c>
      <c r="C100" s="34" t="s">
        <v>336</v>
      </c>
      <c r="D100" s="37" t="s">
        <v>402</v>
      </c>
      <c r="E100" s="44"/>
      <c r="F100" s="39"/>
      <c r="G100" s="40"/>
      <c r="H100" s="41"/>
      <c r="I100" s="42"/>
      <c r="J100" s="42"/>
      <c r="K100" s="42"/>
      <c r="L100" s="42"/>
      <c r="M100" s="42"/>
      <c r="N100" s="42"/>
      <c r="O100" s="43"/>
      <c r="Q100" s="56"/>
      <c r="S100" s="34">
        <v>0</v>
      </c>
      <c r="T100" s="528">
        <v>0</v>
      </c>
    </row>
    <row r="101" spans="1:20" x14ac:dyDescent="0.25">
      <c r="A101" s="34" t="s">
        <v>324</v>
      </c>
      <c r="B101" s="34" t="s">
        <v>333</v>
      </c>
      <c r="C101" s="34" t="s">
        <v>336</v>
      </c>
      <c r="D101" s="37" t="s">
        <v>404</v>
      </c>
      <c r="E101" s="44"/>
      <c r="F101" s="45">
        <v>0.02</v>
      </c>
      <c r="G101" s="40"/>
      <c r="H101" s="41"/>
      <c r="I101" s="42"/>
      <c r="J101" s="42"/>
      <c r="K101" s="42"/>
      <c r="L101" s="42"/>
      <c r="M101" s="42"/>
      <c r="N101" s="42"/>
      <c r="O101" s="43"/>
      <c r="Q101" s="56"/>
      <c r="S101" s="34">
        <v>319</v>
      </c>
      <c r="T101" s="528">
        <v>0.02</v>
      </c>
    </row>
    <row r="102" spans="1:20" x14ac:dyDescent="0.25">
      <c r="A102" s="34" t="s">
        <v>324</v>
      </c>
      <c r="B102" s="34" t="s">
        <v>333</v>
      </c>
      <c r="C102" s="34" t="s">
        <v>336</v>
      </c>
      <c r="D102" s="37" t="s">
        <v>406</v>
      </c>
      <c r="E102" s="44"/>
      <c r="F102" s="530">
        <v>4.2500000000000003E-2</v>
      </c>
      <c r="G102" s="40"/>
      <c r="H102" s="42"/>
      <c r="I102" s="42"/>
      <c r="J102" s="42"/>
      <c r="K102" s="42"/>
      <c r="L102" s="42"/>
      <c r="M102" s="42"/>
      <c r="N102" s="42"/>
      <c r="O102" s="43"/>
      <c r="Q102" s="56"/>
      <c r="S102" s="34">
        <v>718</v>
      </c>
      <c r="T102" s="528">
        <v>4.4999999999999998E-2</v>
      </c>
    </row>
    <row r="103" spans="1:20" x14ac:dyDescent="0.25">
      <c r="A103" s="34" t="s">
        <v>324</v>
      </c>
      <c r="B103" s="34" t="s">
        <v>333</v>
      </c>
      <c r="C103" s="34" t="s">
        <v>336</v>
      </c>
      <c r="D103" s="46" t="s">
        <v>408</v>
      </c>
      <c r="E103" s="47"/>
      <c r="F103" s="48"/>
      <c r="G103" s="40"/>
      <c r="H103" s="42"/>
      <c r="I103" s="42"/>
      <c r="J103" s="42"/>
      <c r="K103" s="42"/>
      <c r="L103" s="42"/>
      <c r="M103" s="42"/>
      <c r="N103" s="42"/>
      <c r="O103" s="43"/>
      <c r="Q103" s="56"/>
      <c r="S103" s="34">
        <v>0</v>
      </c>
      <c r="T103" s="528">
        <v>0</v>
      </c>
    </row>
    <row r="104" spans="1:20" x14ac:dyDescent="0.25">
      <c r="A104" s="34" t="s">
        <v>324</v>
      </c>
      <c r="B104" s="34" t="s">
        <v>333</v>
      </c>
      <c r="C104" s="34" t="s">
        <v>336</v>
      </c>
      <c r="D104" s="49" t="s">
        <v>104</v>
      </c>
      <c r="E104" s="50"/>
      <c r="F104" s="51"/>
      <c r="G104" s="52"/>
      <c r="H104" s="53"/>
      <c r="I104" s="53"/>
      <c r="J104" s="53"/>
      <c r="K104" s="53"/>
      <c r="L104" s="53"/>
      <c r="M104" s="53"/>
      <c r="N104" s="53"/>
      <c r="O104" s="54"/>
      <c r="S104" s="34">
        <v>5737</v>
      </c>
      <c r="T104" s="528">
        <v>0.36</v>
      </c>
    </row>
    <row r="105" spans="1:20" x14ac:dyDescent="0.25">
      <c r="T105" s="528"/>
    </row>
    <row r="106" spans="1:20" x14ac:dyDescent="0.25">
      <c r="D106" s="61" t="s">
        <v>385</v>
      </c>
      <c r="E106" s="71" t="s">
        <v>428</v>
      </c>
      <c r="F106" s="69"/>
      <c r="G106" s="62"/>
      <c r="H106" s="62"/>
      <c r="I106" s="62"/>
      <c r="J106" s="62"/>
      <c r="K106" s="62"/>
      <c r="L106" s="62"/>
      <c r="M106" s="62"/>
      <c r="N106" s="62"/>
      <c r="O106" s="63"/>
      <c r="T106" s="528"/>
    </row>
    <row r="107" spans="1:20" x14ac:dyDescent="0.25">
      <c r="D107" s="64" t="s">
        <v>389</v>
      </c>
      <c r="E107" s="66" t="s">
        <v>390</v>
      </c>
      <c r="F107" s="66" t="s">
        <v>391</v>
      </c>
      <c r="G107" s="60" t="s">
        <v>392</v>
      </c>
      <c r="H107" s="60"/>
      <c r="I107" s="60"/>
      <c r="J107" s="60"/>
      <c r="K107" s="60"/>
      <c r="L107" s="60"/>
      <c r="M107" s="60"/>
      <c r="N107" s="60"/>
      <c r="O107" s="65"/>
      <c r="T107" s="528"/>
    </row>
    <row r="108" spans="1:20" x14ac:dyDescent="0.25">
      <c r="A108" s="34" t="s">
        <v>322</v>
      </c>
      <c r="B108" s="34" t="s">
        <v>332</v>
      </c>
      <c r="C108" s="34" t="s">
        <v>337</v>
      </c>
      <c r="D108" s="37" t="s">
        <v>393</v>
      </c>
      <c r="E108" s="38">
        <v>0</v>
      </c>
      <c r="F108" s="39"/>
      <c r="G108" s="40"/>
      <c r="H108" s="41"/>
      <c r="I108" s="42"/>
      <c r="J108" s="42"/>
      <c r="K108" s="42"/>
      <c r="L108" s="42"/>
      <c r="M108" s="42"/>
      <c r="N108" s="42"/>
      <c r="O108" s="43"/>
      <c r="Q108" s="56"/>
      <c r="S108" s="34">
        <v>1125</v>
      </c>
      <c r="T108" s="528">
        <v>0.11899999999999999</v>
      </c>
    </row>
    <row r="109" spans="1:20" x14ac:dyDescent="0.25">
      <c r="A109" s="34" t="s">
        <v>322</v>
      </c>
      <c r="B109" s="34" t="s">
        <v>332</v>
      </c>
      <c r="C109" s="34" t="s">
        <v>337</v>
      </c>
      <c r="D109" s="37" t="s">
        <v>395</v>
      </c>
      <c r="E109" s="38">
        <v>0</v>
      </c>
      <c r="F109" s="39"/>
      <c r="G109" s="40"/>
      <c r="H109" s="41"/>
      <c r="I109" s="42"/>
      <c r="J109" s="42"/>
      <c r="K109" s="42"/>
      <c r="L109" s="42"/>
      <c r="M109" s="42"/>
      <c r="N109" s="42"/>
      <c r="O109" s="43"/>
      <c r="Q109" s="56"/>
      <c r="S109" s="34">
        <v>415</v>
      </c>
      <c r="T109" s="528">
        <v>4.9000000000000002E-2</v>
      </c>
    </row>
    <row r="110" spans="1:20" x14ac:dyDescent="0.25">
      <c r="A110" s="34" t="s">
        <v>322</v>
      </c>
      <c r="B110" s="34" t="s">
        <v>332</v>
      </c>
      <c r="C110" s="34" t="s">
        <v>337</v>
      </c>
      <c r="D110" s="37" t="s">
        <v>397</v>
      </c>
      <c r="E110" s="38">
        <v>0</v>
      </c>
      <c r="F110" s="39"/>
      <c r="G110" s="40"/>
      <c r="H110" s="41"/>
      <c r="I110" s="42"/>
      <c r="J110" s="42"/>
      <c r="K110" s="42"/>
      <c r="L110" s="42"/>
      <c r="M110" s="42"/>
      <c r="N110" s="42"/>
      <c r="O110" s="43"/>
      <c r="Q110" s="56"/>
      <c r="S110" s="34">
        <v>930</v>
      </c>
      <c r="T110" s="528">
        <v>0.109</v>
      </c>
    </row>
    <row r="111" spans="1:20" x14ac:dyDescent="0.25">
      <c r="A111" s="34" t="s">
        <v>322</v>
      </c>
      <c r="B111" s="34" t="s">
        <v>332</v>
      </c>
      <c r="C111" s="34" t="s">
        <v>337</v>
      </c>
      <c r="D111" s="37" t="s">
        <v>398</v>
      </c>
      <c r="E111" s="38">
        <v>610</v>
      </c>
      <c r="F111" s="39"/>
      <c r="G111" s="40"/>
      <c r="H111" s="41"/>
      <c r="I111" s="42"/>
      <c r="J111" s="42"/>
      <c r="K111" s="42"/>
      <c r="L111" s="42"/>
      <c r="M111" s="42"/>
      <c r="N111" s="42"/>
      <c r="O111" s="43"/>
      <c r="Q111" s="56"/>
      <c r="S111" s="34">
        <v>550</v>
      </c>
      <c r="T111" s="528">
        <v>6.5000000000000002E-2</v>
      </c>
    </row>
    <row r="112" spans="1:20" x14ac:dyDescent="0.25">
      <c r="A112" s="34" t="s">
        <v>322</v>
      </c>
      <c r="B112" s="34" t="s">
        <v>332</v>
      </c>
      <c r="C112" s="34" t="s">
        <v>337</v>
      </c>
      <c r="D112" s="37" t="s">
        <v>400</v>
      </c>
      <c r="E112" s="38">
        <v>215</v>
      </c>
      <c r="F112" s="39"/>
      <c r="G112" s="40"/>
      <c r="H112" s="42"/>
      <c r="I112" s="42"/>
      <c r="J112" s="42"/>
      <c r="K112" s="42"/>
      <c r="L112" s="42"/>
      <c r="M112" s="42"/>
      <c r="N112" s="42"/>
      <c r="O112" s="43"/>
      <c r="Q112" s="56"/>
      <c r="S112" s="34">
        <v>195</v>
      </c>
      <c r="T112" s="528">
        <v>2.3E-2</v>
      </c>
    </row>
    <row r="113" spans="1:20" x14ac:dyDescent="0.25">
      <c r="A113" s="34" t="s">
        <v>322</v>
      </c>
      <c r="B113" s="34" t="s">
        <v>332</v>
      </c>
      <c r="C113" s="34" t="s">
        <v>337</v>
      </c>
      <c r="D113" s="37" t="s">
        <v>402</v>
      </c>
      <c r="E113" s="44"/>
      <c r="F113" s="39"/>
      <c r="G113" s="40"/>
      <c r="H113" s="41"/>
      <c r="I113" s="42"/>
      <c r="J113" s="42"/>
      <c r="K113" s="42"/>
      <c r="L113" s="42"/>
      <c r="M113" s="42"/>
      <c r="N113" s="42"/>
      <c r="O113" s="43"/>
      <c r="Q113" s="56"/>
      <c r="S113" s="34">
        <v>0</v>
      </c>
      <c r="T113" s="528">
        <v>0</v>
      </c>
    </row>
    <row r="114" spans="1:20" x14ac:dyDescent="0.25">
      <c r="A114" s="34" t="s">
        <v>322</v>
      </c>
      <c r="B114" s="34" t="s">
        <v>332</v>
      </c>
      <c r="C114" s="34" t="s">
        <v>337</v>
      </c>
      <c r="D114" s="37" t="s">
        <v>404</v>
      </c>
      <c r="E114" s="44"/>
      <c r="F114" s="39"/>
      <c r="G114" s="40"/>
      <c r="H114" s="41"/>
      <c r="I114" s="42"/>
      <c r="J114" s="42"/>
      <c r="K114" s="42"/>
      <c r="L114" s="42"/>
      <c r="M114" s="42"/>
      <c r="N114" s="42"/>
      <c r="O114" s="43"/>
      <c r="Q114" s="56"/>
      <c r="S114" s="34">
        <v>0</v>
      </c>
      <c r="T114" s="528">
        <v>0</v>
      </c>
    </row>
    <row r="115" spans="1:20" x14ac:dyDescent="0.25">
      <c r="A115" s="34" t="s">
        <v>322</v>
      </c>
      <c r="B115" s="34" t="s">
        <v>332</v>
      </c>
      <c r="C115" s="34" t="s">
        <v>337</v>
      </c>
      <c r="D115" s="37" t="s">
        <v>406</v>
      </c>
      <c r="E115" s="44"/>
      <c r="F115" s="530">
        <v>4.2500000000000003E-2</v>
      </c>
      <c r="G115" s="40"/>
      <c r="H115" s="42"/>
      <c r="I115" s="42"/>
      <c r="J115" s="42"/>
      <c r="K115" s="42"/>
      <c r="L115" s="42"/>
      <c r="M115" s="42"/>
      <c r="N115" s="42"/>
      <c r="O115" s="43"/>
      <c r="Q115" s="56"/>
      <c r="S115" s="34">
        <v>340</v>
      </c>
      <c r="T115" s="528">
        <v>0.04</v>
      </c>
    </row>
    <row r="116" spans="1:20" x14ac:dyDescent="0.25">
      <c r="A116" s="34" t="s">
        <v>322</v>
      </c>
      <c r="B116" s="34" t="s">
        <v>332</v>
      </c>
      <c r="C116" s="34" t="s">
        <v>337</v>
      </c>
      <c r="D116" s="46" t="s">
        <v>408</v>
      </c>
      <c r="E116" s="47"/>
      <c r="F116" s="45"/>
      <c r="G116" s="40"/>
      <c r="H116" s="42"/>
      <c r="I116" s="42"/>
      <c r="J116" s="42"/>
      <c r="K116" s="42"/>
      <c r="L116" s="42"/>
      <c r="M116" s="42"/>
      <c r="N116" s="42"/>
      <c r="O116" s="43"/>
      <c r="Q116" s="56"/>
      <c r="S116" s="34">
        <v>0</v>
      </c>
      <c r="T116" s="528">
        <v>1.4999999999999999E-2</v>
      </c>
    </row>
    <row r="117" spans="1:20" x14ac:dyDescent="0.25">
      <c r="A117" s="34" t="s">
        <v>322</v>
      </c>
      <c r="B117" s="34" t="s">
        <v>332</v>
      </c>
      <c r="C117" s="34" t="s">
        <v>337</v>
      </c>
      <c r="D117" s="49" t="s">
        <v>104</v>
      </c>
      <c r="E117" s="50"/>
      <c r="F117" s="51"/>
      <c r="G117" s="52"/>
      <c r="H117" s="53"/>
      <c r="I117" s="53"/>
      <c r="J117" s="53"/>
      <c r="K117" s="53"/>
      <c r="L117" s="53"/>
      <c r="M117" s="53"/>
      <c r="N117" s="53"/>
      <c r="O117" s="54"/>
      <c r="S117" s="34">
        <v>3555</v>
      </c>
      <c r="T117" s="528">
        <v>0.41799999999999998</v>
      </c>
    </row>
    <row r="118" spans="1:20" x14ac:dyDescent="0.25">
      <c r="T118" s="528"/>
    </row>
    <row r="119" spans="1:20" x14ac:dyDescent="0.25">
      <c r="D119" s="61" t="s">
        <v>385</v>
      </c>
      <c r="E119" s="71" t="s">
        <v>429</v>
      </c>
      <c r="F119" s="69"/>
      <c r="G119" s="62"/>
      <c r="H119" s="62"/>
      <c r="I119" s="62"/>
      <c r="J119" s="62"/>
      <c r="K119" s="62"/>
      <c r="L119" s="62"/>
      <c r="M119" s="62"/>
      <c r="N119" s="62"/>
      <c r="O119" s="63"/>
      <c r="T119" s="528"/>
    </row>
    <row r="120" spans="1:20" x14ac:dyDescent="0.25">
      <c r="D120" s="64" t="s">
        <v>389</v>
      </c>
      <c r="E120" s="66" t="s">
        <v>390</v>
      </c>
      <c r="F120" s="66" t="s">
        <v>391</v>
      </c>
      <c r="G120" s="60" t="s">
        <v>392</v>
      </c>
      <c r="H120" s="60"/>
      <c r="I120" s="60"/>
      <c r="J120" s="60"/>
      <c r="K120" s="60"/>
      <c r="L120" s="60"/>
      <c r="M120" s="60"/>
      <c r="N120" s="60"/>
      <c r="O120" s="65"/>
      <c r="T120" s="528"/>
    </row>
    <row r="121" spans="1:20" x14ac:dyDescent="0.25">
      <c r="A121" s="34" t="s">
        <v>322</v>
      </c>
      <c r="B121" s="34" t="s">
        <v>332</v>
      </c>
      <c r="C121" s="34" t="s">
        <v>338</v>
      </c>
      <c r="D121" s="37" t="s">
        <v>393</v>
      </c>
      <c r="E121" s="38">
        <v>0</v>
      </c>
      <c r="F121" s="39"/>
      <c r="G121" s="40"/>
      <c r="H121" s="41"/>
      <c r="I121" s="42"/>
      <c r="J121" s="42"/>
      <c r="K121" s="42"/>
      <c r="L121" s="42"/>
      <c r="M121" s="42"/>
      <c r="N121" s="42"/>
      <c r="O121" s="43"/>
      <c r="Q121" s="56"/>
      <c r="S121" s="34">
        <v>1081</v>
      </c>
      <c r="T121" s="528">
        <v>0.13500000000000001</v>
      </c>
    </row>
    <row r="122" spans="1:20" x14ac:dyDescent="0.25">
      <c r="A122" s="34" t="s">
        <v>322</v>
      </c>
      <c r="B122" s="34" t="s">
        <v>332</v>
      </c>
      <c r="C122" s="34" t="s">
        <v>338</v>
      </c>
      <c r="D122" s="37" t="s">
        <v>395</v>
      </c>
      <c r="E122" s="38">
        <v>0</v>
      </c>
      <c r="F122" s="39"/>
      <c r="G122" s="40"/>
      <c r="H122" s="41"/>
      <c r="I122" s="42"/>
      <c r="J122" s="42"/>
      <c r="K122" s="42"/>
      <c r="L122" s="42"/>
      <c r="M122" s="42"/>
      <c r="N122" s="42"/>
      <c r="O122" s="43"/>
      <c r="Q122" s="56"/>
      <c r="S122" s="34">
        <v>415</v>
      </c>
      <c r="T122" s="528">
        <v>5.8000000000000003E-2</v>
      </c>
    </row>
    <row r="123" spans="1:20" x14ac:dyDescent="0.25">
      <c r="A123" s="34" t="s">
        <v>322</v>
      </c>
      <c r="B123" s="34" t="s">
        <v>332</v>
      </c>
      <c r="C123" s="34" t="s">
        <v>338</v>
      </c>
      <c r="D123" s="37" t="s">
        <v>397</v>
      </c>
      <c r="E123" s="38">
        <v>0</v>
      </c>
      <c r="F123" s="39"/>
      <c r="G123" s="40"/>
      <c r="H123" s="41"/>
      <c r="I123" s="42"/>
      <c r="J123" s="42"/>
      <c r="K123" s="42"/>
      <c r="L123" s="42"/>
      <c r="M123" s="42"/>
      <c r="N123" s="42"/>
      <c r="O123" s="43"/>
      <c r="Q123" s="56"/>
      <c r="S123" s="34">
        <v>80</v>
      </c>
      <c r="T123" s="528">
        <v>1.0999999999999999E-2</v>
      </c>
    </row>
    <row r="124" spans="1:20" x14ac:dyDescent="0.25">
      <c r="A124" s="34" t="s">
        <v>322</v>
      </c>
      <c r="B124" s="34" t="s">
        <v>332</v>
      </c>
      <c r="C124" s="34" t="s">
        <v>338</v>
      </c>
      <c r="D124" s="37" t="s">
        <v>398</v>
      </c>
      <c r="E124" s="38">
        <v>610</v>
      </c>
      <c r="F124" s="39"/>
      <c r="G124" s="40"/>
      <c r="H124" s="41"/>
      <c r="I124" s="42"/>
      <c r="J124" s="42"/>
      <c r="K124" s="42"/>
      <c r="L124" s="42"/>
      <c r="M124" s="42"/>
      <c r="N124" s="42"/>
      <c r="O124" s="43"/>
      <c r="Q124" s="56"/>
      <c r="S124" s="34">
        <v>550</v>
      </c>
      <c r="T124" s="528">
        <v>7.5999999999999998E-2</v>
      </c>
    </row>
    <row r="125" spans="1:20" x14ac:dyDescent="0.25">
      <c r="A125" s="34" t="s">
        <v>322</v>
      </c>
      <c r="B125" s="34" t="s">
        <v>332</v>
      </c>
      <c r="C125" s="34" t="s">
        <v>338</v>
      </c>
      <c r="D125" s="37" t="s">
        <v>400</v>
      </c>
      <c r="E125" s="38">
        <v>365</v>
      </c>
      <c r="F125" s="39"/>
      <c r="G125" s="40"/>
      <c r="H125" s="42"/>
      <c r="I125" s="42"/>
      <c r="J125" s="42"/>
      <c r="K125" s="42"/>
      <c r="L125" s="42"/>
      <c r="M125" s="42"/>
      <c r="N125" s="42"/>
      <c r="O125" s="43"/>
      <c r="Q125" s="56"/>
      <c r="S125" s="34">
        <v>195</v>
      </c>
      <c r="T125" s="528">
        <v>2.7E-2</v>
      </c>
    </row>
    <row r="126" spans="1:20" x14ac:dyDescent="0.25">
      <c r="A126" s="34" t="s">
        <v>322</v>
      </c>
      <c r="B126" s="34" t="s">
        <v>332</v>
      </c>
      <c r="C126" s="34" t="s">
        <v>338</v>
      </c>
      <c r="D126" s="37" t="s">
        <v>402</v>
      </c>
      <c r="E126" s="44"/>
      <c r="F126" s="39"/>
      <c r="G126" s="40"/>
      <c r="H126" s="41"/>
      <c r="I126" s="42"/>
      <c r="J126" s="42"/>
      <c r="K126" s="42"/>
      <c r="L126" s="42"/>
      <c r="M126" s="42"/>
      <c r="N126" s="42"/>
      <c r="O126" s="43"/>
      <c r="Q126" s="56"/>
      <c r="S126" s="34">
        <v>0</v>
      </c>
      <c r="T126" s="528">
        <v>0</v>
      </c>
    </row>
    <row r="127" spans="1:20" x14ac:dyDescent="0.25">
      <c r="A127" s="34" t="s">
        <v>322</v>
      </c>
      <c r="B127" s="34" t="s">
        <v>332</v>
      </c>
      <c r="C127" s="34" t="s">
        <v>338</v>
      </c>
      <c r="D127" s="37" t="s">
        <v>404</v>
      </c>
      <c r="E127" s="44"/>
      <c r="F127" s="39"/>
      <c r="G127" s="40"/>
      <c r="H127" s="41"/>
      <c r="I127" s="42"/>
      <c r="J127" s="42"/>
      <c r="K127" s="42"/>
      <c r="L127" s="42"/>
      <c r="M127" s="42"/>
      <c r="N127" s="42"/>
      <c r="O127" s="43"/>
      <c r="Q127" s="56"/>
      <c r="S127" s="34">
        <v>0</v>
      </c>
      <c r="T127" s="528">
        <v>0</v>
      </c>
    </row>
    <row r="128" spans="1:20" x14ac:dyDescent="0.25">
      <c r="A128" s="34" t="s">
        <v>322</v>
      </c>
      <c r="B128" s="34" t="s">
        <v>332</v>
      </c>
      <c r="C128" s="34" t="s">
        <v>338</v>
      </c>
      <c r="D128" s="37" t="s">
        <v>406</v>
      </c>
      <c r="E128" s="44"/>
      <c r="F128" s="45">
        <v>0.05</v>
      </c>
      <c r="G128" s="40"/>
      <c r="H128" s="42"/>
      <c r="I128" s="42"/>
      <c r="J128" s="42"/>
      <c r="K128" s="42"/>
      <c r="L128" s="42"/>
      <c r="M128" s="42"/>
      <c r="N128" s="42"/>
      <c r="O128" s="43"/>
      <c r="Q128" s="56"/>
      <c r="S128" s="34">
        <v>311</v>
      </c>
      <c r="T128" s="528">
        <v>0.04</v>
      </c>
    </row>
    <row r="129" spans="1:20" x14ac:dyDescent="0.25">
      <c r="A129" s="34" t="s">
        <v>322</v>
      </c>
      <c r="B129" s="34" t="s">
        <v>332</v>
      </c>
      <c r="C129" s="34" t="s">
        <v>338</v>
      </c>
      <c r="D129" s="46" t="s">
        <v>408</v>
      </c>
      <c r="E129" s="47"/>
      <c r="F129" s="45"/>
      <c r="G129" s="40"/>
      <c r="H129" s="42"/>
      <c r="I129" s="42"/>
      <c r="J129" s="42"/>
      <c r="K129" s="42"/>
      <c r="L129" s="42"/>
      <c r="M129" s="42"/>
      <c r="N129" s="42"/>
      <c r="O129" s="43"/>
      <c r="Q129" s="56"/>
      <c r="S129" s="34">
        <v>0</v>
      </c>
      <c r="T129" s="528">
        <v>1.4999999999999999E-2</v>
      </c>
    </row>
    <row r="130" spans="1:20" x14ac:dyDescent="0.25">
      <c r="A130" s="34" t="s">
        <v>322</v>
      </c>
      <c r="B130" s="34" t="s">
        <v>332</v>
      </c>
      <c r="C130" s="34" t="s">
        <v>338</v>
      </c>
      <c r="D130" s="49" t="s">
        <v>104</v>
      </c>
      <c r="E130" s="50"/>
      <c r="F130" s="51"/>
      <c r="G130" s="52"/>
      <c r="H130" s="53"/>
      <c r="I130" s="53"/>
      <c r="J130" s="53"/>
      <c r="K130" s="53"/>
      <c r="L130" s="53"/>
      <c r="M130" s="53"/>
      <c r="N130" s="53"/>
      <c r="O130" s="54"/>
      <c r="S130" s="34">
        <v>2609</v>
      </c>
      <c r="T130" s="528">
        <v>0.36199999999999999</v>
      </c>
    </row>
    <row r="131" spans="1:20" x14ac:dyDescent="0.25">
      <c r="T131" s="528"/>
    </row>
    <row r="132" spans="1:20" x14ac:dyDescent="0.25">
      <c r="D132" s="61" t="s">
        <v>385</v>
      </c>
      <c r="E132" s="71" t="s">
        <v>430</v>
      </c>
      <c r="F132" s="69"/>
      <c r="G132" s="62"/>
      <c r="H132" s="62"/>
      <c r="I132" s="62"/>
      <c r="J132" s="62"/>
      <c r="K132" s="62"/>
      <c r="L132" s="62"/>
      <c r="M132" s="62"/>
      <c r="N132" s="62"/>
      <c r="O132" s="63"/>
      <c r="T132" s="528"/>
    </row>
    <row r="133" spans="1:20" x14ac:dyDescent="0.25">
      <c r="D133" s="64" t="s">
        <v>389</v>
      </c>
      <c r="E133" s="66" t="s">
        <v>390</v>
      </c>
      <c r="F133" s="66" t="s">
        <v>391</v>
      </c>
      <c r="G133" s="60" t="s">
        <v>392</v>
      </c>
      <c r="H133" s="60"/>
      <c r="I133" s="60"/>
      <c r="J133" s="60"/>
      <c r="K133" s="60"/>
      <c r="L133" s="60"/>
      <c r="M133" s="60"/>
      <c r="N133" s="60"/>
      <c r="O133" s="65"/>
      <c r="T133" s="528"/>
    </row>
    <row r="134" spans="1:20" x14ac:dyDescent="0.25">
      <c r="A134" s="34" t="s">
        <v>322</v>
      </c>
      <c r="B134" s="34" t="s">
        <v>333</v>
      </c>
      <c r="C134" s="34" t="s">
        <v>336</v>
      </c>
      <c r="D134" s="37" t="s">
        <v>393</v>
      </c>
      <c r="E134" s="38">
        <v>0</v>
      </c>
      <c r="F134" s="39"/>
      <c r="G134" s="40"/>
      <c r="H134" s="41"/>
      <c r="I134" s="42"/>
      <c r="J134" s="42"/>
      <c r="K134" s="42"/>
      <c r="L134" s="42"/>
      <c r="M134" s="42"/>
      <c r="N134" s="42"/>
      <c r="O134" s="43"/>
      <c r="Q134" s="56"/>
      <c r="S134" s="34">
        <v>1106</v>
      </c>
      <c r="T134" s="528">
        <v>0.106</v>
      </c>
    </row>
    <row r="135" spans="1:20" x14ac:dyDescent="0.25">
      <c r="A135" s="34" t="s">
        <v>322</v>
      </c>
      <c r="B135" s="34" t="s">
        <v>333</v>
      </c>
      <c r="C135" s="34" t="s">
        <v>336</v>
      </c>
      <c r="D135" s="37" t="s">
        <v>395</v>
      </c>
      <c r="E135" s="38">
        <v>0</v>
      </c>
      <c r="F135" s="39"/>
      <c r="G135" s="40"/>
      <c r="H135" s="41"/>
      <c r="I135" s="42"/>
      <c r="J135" s="42"/>
      <c r="K135" s="42"/>
      <c r="L135" s="42"/>
      <c r="M135" s="42"/>
      <c r="N135" s="42"/>
      <c r="O135" s="43"/>
      <c r="Q135" s="56"/>
      <c r="S135" s="34">
        <v>170</v>
      </c>
      <c r="T135" s="528">
        <v>1.6E-2</v>
      </c>
    </row>
    <row r="136" spans="1:20" x14ac:dyDescent="0.25">
      <c r="A136" s="34" t="s">
        <v>322</v>
      </c>
      <c r="B136" s="34" t="s">
        <v>333</v>
      </c>
      <c r="C136" s="34" t="s">
        <v>336</v>
      </c>
      <c r="D136" s="37" t="s">
        <v>397</v>
      </c>
      <c r="E136" s="38">
        <v>0</v>
      </c>
      <c r="F136" s="39"/>
      <c r="G136" s="40"/>
      <c r="H136" s="41"/>
      <c r="I136" s="42"/>
      <c r="J136" s="42"/>
      <c r="K136" s="42"/>
      <c r="L136" s="42"/>
      <c r="M136" s="42"/>
      <c r="N136" s="42"/>
      <c r="O136" s="43"/>
      <c r="Q136" s="56"/>
      <c r="S136" s="34">
        <v>1265</v>
      </c>
      <c r="T136" s="528">
        <v>0.121</v>
      </c>
    </row>
    <row r="137" spans="1:20" x14ac:dyDescent="0.25">
      <c r="A137" s="34" t="s">
        <v>322</v>
      </c>
      <c r="B137" s="34" t="s">
        <v>333</v>
      </c>
      <c r="C137" s="34" t="s">
        <v>336</v>
      </c>
      <c r="D137" s="37" t="s">
        <v>398</v>
      </c>
      <c r="E137" s="38">
        <v>925</v>
      </c>
      <c r="F137" s="39"/>
      <c r="G137" s="40"/>
      <c r="H137" s="41"/>
      <c r="I137" s="42"/>
      <c r="J137" s="42"/>
      <c r="K137" s="42"/>
      <c r="L137" s="42"/>
      <c r="M137" s="42"/>
      <c r="N137" s="42"/>
      <c r="O137" s="43"/>
      <c r="Q137" s="56"/>
      <c r="S137" s="34">
        <v>850</v>
      </c>
      <c r="T137" s="528">
        <v>8.1000000000000003E-2</v>
      </c>
    </row>
    <row r="138" spans="1:20" x14ac:dyDescent="0.25">
      <c r="A138" s="34" t="s">
        <v>322</v>
      </c>
      <c r="B138" s="34" t="s">
        <v>333</v>
      </c>
      <c r="C138" s="34" t="s">
        <v>336</v>
      </c>
      <c r="D138" s="37" t="s">
        <v>400</v>
      </c>
      <c r="E138" s="38">
        <v>610</v>
      </c>
      <c r="F138" s="39"/>
      <c r="G138" s="40"/>
      <c r="H138" s="42"/>
      <c r="I138" s="42"/>
      <c r="J138" s="42"/>
      <c r="K138" s="42"/>
      <c r="L138" s="42"/>
      <c r="M138" s="42"/>
      <c r="N138" s="42"/>
      <c r="O138" s="43"/>
      <c r="Q138" s="56"/>
      <c r="S138" s="34">
        <v>550</v>
      </c>
      <c r="T138" s="528">
        <v>5.2999999999999999E-2</v>
      </c>
    </row>
    <row r="139" spans="1:20" x14ac:dyDescent="0.25">
      <c r="A139" s="34" t="s">
        <v>322</v>
      </c>
      <c r="B139" s="34" t="s">
        <v>333</v>
      </c>
      <c r="C139" s="34" t="s">
        <v>336</v>
      </c>
      <c r="D139" s="37" t="s">
        <v>402</v>
      </c>
      <c r="E139" s="44"/>
      <c r="F139" s="39"/>
      <c r="G139" s="40"/>
      <c r="H139" s="41"/>
      <c r="I139" s="42"/>
      <c r="J139" s="42"/>
      <c r="K139" s="42"/>
      <c r="L139" s="42"/>
      <c r="M139" s="42"/>
      <c r="N139" s="42"/>
      <c r="O139" s="43"/>
      <c r="Q139" s="56"/>
      <c r="S139" s="34">
        <v>0</v>
      </c>
      <c r="T139" s="528">
        <v>0</v>
      </c>
    </row>
    <row r="140" spans="1:20" x14ac:dyDescent="0.25">
      <c r="A140" s="34" t="s">
        <v>322</v>
      </c>
      <c r="B140" s="34" t="s">
        <v>333</v>
      </c>
      <c r="C140" s="34" t="s">
        <v>336</v>
      </c>
      <c r="D140" s="37" t="s">
        <v>404</v>
      </c>
      <c r="E140" s="44"/>
      <c r="F140" s="39"/>
      <c r="G140" s="40"/>
      <c r="H140" s="41"/>
      <c r="I140" s="42"/>
      <c r="J140" s="42"/>
      <c r="K140" s="42"/>
      <c r="L140" s="42"/>
      <c r="M140" s="42"/>
      <c r="N140" s="42"/>
      <c r="O140" s="43"/>
      <c r="Q140" s="56"/>
      <c r="S140" s="34">
        <v>0</v>
      </c>
      <c r="T140" s="528">
        <v>0</v>
      </c>
    </row>
    <row r="141" spans="1:20" x14ac:dyDescent="0.25">
      <c r="A141" s="34" t="s">
        <v>322</v>
      </c>
      <c r="B141" s="34" t="s">
        <v>333</v>
      </c>
      <c r="C141" s="34" t="s">
        <v>336</v>
      </c>
      <c r="D141" s="37" t="s">
        <v>406</v>
      </c>
      <c r="E141" s="44"/>
      <c r="F141" s="45">
        <v>0.05</v>
      </c>
      <c r="G141" s="40"/>
      <c r="H141" s="42"/>
      <c r="I141" s="42"/>
      <c r="J141" s="42"/>
      <c r="K141" s="42"/>
      <c r="L141" s="42"/>
      <c r="M141" s="42"/>
      <c r="N141" s="42"/>
      <c r="O141" s="43"/>
      <c r="Q141" s="56"/>
      <c r="S141" s="34">
        <v>523</v>
      </c>
      <c r="T141" s="528">
        <v>0.05</v>
      </c>
    </row>
    <row r="142" spans="1:20" x14ac:dyDescent="0.25">
      <c r="A142" s="34" t="s">
        <v>322</v>
      </c>
      <c r="B142" s="34" t="s">
        <v>333</v>
      </c>
      <c r="C142" s="34" t="s">
        <v>336</v>
      </c>
      <c r="D142" s="46" t="s">
        <v>408</v>
      </c>
      <c r="E142" s="47"/>
      <c r="F142" s="45"/>
      <c r="G142" s="40"/>
      <c r="H142" s="42"/>
      <c r="I142" s="42"/>
      <c r="J142" s="42"/>
      <c r="K142" s="42"/>
      <c r="L142" s="42"/>
      <c r="M142" s="42"/>
      <c r="N142" s="42"/>
      <c r="O142" s="43"/>
      <c r="Q142" s="56"/>
      <c r="S142" s="34">
        <v>0</v>
      </c>
      <c r="T142" s="528">
        <v>1.4999999999999999E-2</v>
      </c>
    </row>
    <row r="143" spans="1:20" x14ac:dyDescent="0.25">
      <c r="A143" s="34" t="s">
        <v>322</v>
      </c>
      <c r="B143" s="34" t="s">
        <v>333</v>
      </c>
      <c r="C143" s="34" t="s">
        <v>336</v>
      </c>
      <c r="D143" s="49" t="s">
        <v>104</v>
      </c>
      <c r="E143" s="50"/>
      <c r="F143" s="51"/>
      <c r="G143" s="52"/>
      <c r="H143" s="53"/>
      <c r="I143" s="53"/>
      <c r="J143" s="53"/>
      <c r="K143" s="53"/>
      <c r="L143" s="53"/>
      <c r="M143" s="53"/>
      <c r="N143" s="53"/>
      <c r="O143" s="54"/>
      <c r="S143" s="34">
        <v>4217</v>
      </c>
      <c r="T143" s="528">
        <v>0.40600000000000003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6594-838D-41B0-9B78-CD4FB36E5C5C}">
  <sheetPr codeName="Sheet9"/>
  <dimension ref="B1:X584"/>
  <sheetViews>
    <sheetView showGridLines="0" zoomScaleNormal="100" workbookViewId="0"/>
  </sheetViews>
  <sheetFormatPr defaultColWidth="9" defaultRowHeight="14.25" x14ac:dyDescent="0.25"/>
  <cols>
    <col min="1" max="1" width="2.140625" style="34" customWidth="1"/>
    <col min="2" max="2" width="9" style="56" customWidth="1"/>
    <col min="3" max="3" width="17.140625" style="35" customWidth="1"/>
    <col min="4" max="5" width="7.7109375" style="34" customWidth="1"/>
    <col min="6" max="6" width="8" style="34" customWidth="1"/>
    <col min="7" max="7" width="14.42578125" style="34" customWidth="1"/>
    <col min="8" max="8" width="11.7109375" style="126" customWidth="1"/>
    <col min="9" max="9" width="9.7109375" style="651" customWidth="1"/>
    <col min="10" max="10" width="12.140625" style="34" customWidth="1"/>
    <col min="11" max="11" width="12.28515625" style="34" customWidth="1"/>
    <col min="12" max="12" width="11.140625" style="126" customWidth="1"/>
    <col min="13" max="13" width="12.140625" style="34" customWidth="1"/>
    <col min="14" max="15" width="14.28515625" style="34" customWidth="1"/>
    <col min="16" max="16" width="11.140625" style="34" customWidth="1"/>
    <col min="17" max="17" width="10" style="34" customWidth="1"/>
    <col min="18" max="18" width="5.28515625" style="34" customWidth="1"/>
    <col min="19" max="20" width="11.28515625" style="34" customWidth="1"/>
    <col min="21" max="21" width="9.28515625" style="34" customWidth="1"/>
    <col min="22" max="22" width="6.28515625" style="34" customWidth="1"/>
    <col min="23" max="23" width="7.7109375" style="34" customWidth="1"/>
    <col min="24" max="24" width="5.140625" style="126" customWidth="1"/>
    <col min="25" max="16384" width="9" style="34"/>
  </cols>
  <sheetData>
    <row r="1" spans="3:24" x14ac:dyDescent="0.25">
      <c r="C1" s="34"/>
      <c r="H1" s="34"/>
      <c r="I1" s="34"/>
      <c r="L1" s="34"/>
      <c r="N1" s="521" t="s">
        <v>431</v>
      </c>
      <c r="P1" s="521" t="s">
        <v>432</v>
      </c>
      <c r="X1" s="34"/>
    </row>
    <row r="2" spans="3:24" x14ac:dyDescent="0.25">
      <c r="C2" s="643" t="s">
        <v>433</v>
      </c>
      <c r="D2" s="230"/>
      <c r="E2" s="230"/>
      <c r="F2" s="230"/>
      <c r="G2" s="230" t="s">
        <v>60</v>
      </c>
      <c r="H2" s="230" t="s">
        <v>61</v>
      </c>
      <c r="I2" s="231" t="s">
        <v>62</v>
      </c>
      <c r="J2" s="232" t="s">
        <v>63</v>
      </c>
      <c r="K2" s="232" t="s">
        <v>64</v>
      </c>
      <c r="L2" s="233" t="s">
        <v>65</v>
      </c>
      <c r="N2" s="518" t="s">
        <v>434</v>
      </c>
      <c r="O2" s="519" t="s">
        <v>435</v>
      </c>
      <c r="P2" s="520" t="s">
        <v>436</v>
      </c>
      <c r="Q2" s="520" t="s">
        <v>435</v>
      </c>
      <c r="S2" s="518" t="s">
        <v>437</v>
      </c>
      <c r="T2" s="520" t="s">
        <v>341</v>
      </c>
      <c r="X2" s="34"/>
    </row>
    <row r="3" spans="3:24" x14ac:dyDescent="0.25">
      <c r="C3" s="220" t="s">
        <v>71</v>
      </c>
      <c r="D3" s="234"/>
      <c r="G3" s="495">
        <f>IFERROR(COUNTIFS($C$30:$C$984,$C3,$I$30:$I$984,"Yes",$E$30:$E$984,"No"),"-")</f>
        <v>0</v>
      </c>
      <c r="H3" s="495">
        <f>IFERROR(COUNTIFS($C$30:$C$984,$C3,$I$30:$I$984,"Yes"),"-")</f>
        <v>0</v>
      </c>
      <c r="I3" s="495" t="str">
        <f>IFERROR(AVERAGEIFS($H$30:$H$984,$C$30:$C$984,$C3,$I$30:$I$984,"Yes"),"-")</f>
        <v>-</v>
      </c>
      <c r="J3" s="235">
        <f>IFERROR(SUMIFS($F$30:$F$984,$C$30:$C$984,$C3,$I$30:$I$984,"Yes")*12,0)</f>
        <v>0</v>
      </c>
      <c r="K3" s="498" t="str">
        <f>IFERROR(+J3/H3/12,"-")</f>
        <v>-</v>
      </c>
      <c r="L3" s="351" t="str">
        <f>IFERROR(+K3/I3,"-")</f>
        <v>-</v>
      </c>
      <c r="N3" s="515">
        <f>_xlfn.MAXIFS($F$30:$F$1048576,$C$30:$C$1048576,C3,$E$30:$E$1048576,"=Yes",$I$30:$I$1048576,"=Yes")</f>
        <v>0</v>
      </c>
      <c r="O3" s="517">
        <f>IFERROR(AVERAGEIFS($F$30:$F$1048576,$C$30:$C$1048576,C3,$E$30:$E$1048576,"=Yes",$I$30:$I$1048576,"=Yes"),0)</f>
        <v>0</v>
      </c>
      <c r="P3" s="516">
        <f>_xlfn.MAXIFS($F$30:$F$1048576,$C$30:$C$1048576,C3,$E$30:$E$1048576,"=No",$I$30:$I$1048576,"=Yes")</f>
        <v>0</v>
      </c>
      <c r="Q3" s="517">
        <f>IFERROR(AVERAGEIFS($F$30:$F$1048576,$C$30:$C$1048576,C3,$E$30:$E$1048576,"=No",$I$30:$I$1048576,"=Yes"),0)</f>
        <v>0</v>
      </c>
      <c r="S3" s="853">
        <v>0</v>
      </c>
      <c r="T3" s="855" t="s">
        <v>71</v>
      </c>
      <c r="X3" s="34"/>
    </row>
    <row r="4" spans="3:24" x14ac:dyDescent="0.25">
      <c r="C4" s="18" t="s">
        <v>72</v>
      </c>
      <c r="D4" s="11"/>
      <c r="G4" s="496">
        <f>IFERROR(COUNTIFS($C$30:$C$984,$C4,$I$30:$I$984,"Yes",$E$30:$E$984,"No"),"-")</f>
        <v>0</v>
      </c>
      <c r="H4" s="496">
        <f>IFERROR(COUNTIFS($C$30:$C$984,$C4,$I$30:$I$984,"Yes"),"-")</f>
        <v>0</v>
      </c>
      <c r="I4" s="496" t="str">
        <f>IFERROR(AVERAGEIFS($H$30:$H$984,$C$30:$C$984,$C4,$I$30:$I$984,"Yes"),"-")</f>
        <v>-</v>
      </c>
      <c r="J4" s="19">
        <f>IFERROR(SUMIFS($F$30:$F$984,$C$30:$C$984,$C4,$I$30:$I$984,"Yes")*12,0)</f>
        <v>0</v>
      </c>
      <c r="K4" s="499" t="str">
        <f t="shared" ref="K4:K5" si="0">IFERROR(+J4/H4/12,"-")</f>
        <v>-</v>
      </c>
      <c r="L4" s="334" t="str">
        <f t="shared" ref="L4:L7" si="1">IFERROR(+K4/I4,"-")</f>
        <v>-</v>
      </c>
      <c r="N4" s="515">
        <f>_xlfn.MAXIFS($F$30:$F$1048576,$C$30:$C$1048576,C4,$E$30:$E$1048576,"=Yes",$I$30:$I$1048576,"=Yes")</f>
        <v>0</v>
      </c>
      <c r="O4" s="517">
        <f>IFERROR(AVERAGEIFS($F$30:$F$1048576,$C$30:$C$1048576,C4,$E$30:$E$1048576,"=Yes",$I$30:$I$1048576,"=Yes"),0)</f>
        <v>0</v>
      </c>
      <c r="P4" s="516">
        <f>_xlfn.MAXIFS($F$30:$F$1048576,$C$30:$C$1048576,C4,$E$30:$E$1048576,"=No",$I$30:$I$1048576,"=Yes")</f>
        <v>0</v>
      </c>
      <c r="Q4" s="517">
        <f>IFERROR(AVERAGEIFS($F$30:$F$1048576,$C$30:$C$1048576,C4,$E$30:$E$1048576,"=No",$I$30:$I$1048576,"=Yes"),0)</f>
        <v>0</v>
      </c>
      <c r="S4" s="853">
        <v>1</v>
      </c>
      <c r="T4" s="855" t="s">
        <v>72</v>
      </c>
      <c r="X4" s="34"/>
    </row>
    <row r="5" spans="3:24" x14ac:dyDescent="0.25">
      <c r="C5" s="18" t="s">
        <v>342</v>
      </c>
      <c r="D5" s="11"/>
      <c r="G5" s="496">
        <f>IFERROR(COUNTIFS($C$30:$C$984,$C5,$I$30:$I$984,"Yes",$E$30:$E$984,"No"),"-")</f>
        <v>0</v>
      </c>
      <c r="H5" s="496">
        <f>IFERROR(COUNTIFS($C$30:$C$984,$C5,$I$30:$I$984,"Yes"),"-")</f>
        <v>0</v>
      </c>
      <c r="I5" s="496" t="str">
        <f>IFERROR(AVERAGEIFS($H$30:$H$984,$C$30:$C$984,$C5,$I$30:$I$984,"Yes"),"-")</f>
        <v>-</v>
      </c>
      <c r="J5" s="19">
        <f>IFERROR(SUMIFS($F$30:$F$984,$C$30:$C$984,$C5,$I$30:$I$984,"Yes")*12,0)</f>
        <v>0</v>
      </c>
      <c r="K5" s="499" t="str">
        <f t="shared" si="0"/>
        <v>-</v>
      </c>
      <c r="L5" s="334" t="str">
        <f t="shared" si="1"/>
        <v>-</v>
      </c>
      <c r="N5" s="515">
        <f>_xlfn.MAXIFS($F$30:$F$1048576,$C$30:$C$1048576,C5,$E$30:$E$1048576,"=Yes",$I$30:$I$1048576,"=Yes")</f>
        <v>0</v>
      </c>
      <c r="O5" s="517">
        <f>IFERROR(AVERAGEIFS($F$30:$F$1048576,$C$30:$C$1048576,C5,$E$30:$E$1048576,"=Yes",$I$30:$I$1048576,"=Yes"),0)</f>
        <v>0</v>
      </c>
      <c r="P5" s="516">
        <f>_xlfn.MAXIFS($F$30:$F$1048576,$C$30:$C$1048576,C5,$E$30:$E$1048576,"=No",$I$30:$I$1048576,"=Yes")</f>
        <v>0</v>
      </c>
      <c r="Q5" s="517">
        <f>IFERROR(AVERAGEIFS($F$30:$F$1048576,$C$30:$C$1048576,C5,$E$30:$E$1048576,"=No",$I$30:$I$1048576,"=Yes"),0)</f>
        <v>0</v>
      </c>
      <c r="S5" s="853">
        <v>2</v>
      </c>
      <c r="T5" s="855" t="s">
        <v>342</v>
      </c>
      <c r="X5" s="34"/>
    </row>
    <row r="6" spans="3:24" x14ac:dyDescent="0.25">
      <c r="C6" s="18" t="s">
        <v>343</v>
      </c>
      <c r="D6" s="11"/>
      <c r="G6" s="496">
        <f>IFERROR(COUNTIFS($C$30:$C$984,$C6,$I$30:$I$984,"Yes",$E$30:$E$984,"No"),"-")</f>
        <v>0</v>
      </c>
      <c r="H6" s="496">
        <f>IFERROR(COUNTIFS($C$30:$C$984,$C6,$I$30:$I$984,"Yes"),"-")</f>
        <v>0</v>
      </c>
      <c r="I6" s="496" t="str">
        <f>IFERROR(AVERAGEIFS($H$30:$H$984,$C$30:$C$984,$C6,$I$30:$I$984,"Yes"),"-")</f>
        <v>-</v>
      </c>
      <c r="J6" s="19">
        <f>IFERROR(SUMIFS($F$30:$F$984,$C$30:$C$984,$C6,$I$30:$I$984,"Yes")*12,0)</f>
        <v>0</v>
      </c>
      <c r="K6" s="499" t="str">
        <f t="shared" ref="K6:K7" si="2">IFERROR(+J6/H6/12,"-")</f>
        <v>-</v>
      </c>
      <c r="L6" s="334" t="str">
        <f t="shared" si="1"/>
        <v>-</v>
      </c>
      <c r="N6" s="515">
        <f>_xlfn.MAXIFS($F$30:$F$1048576,$C$30:$C$1048576,C6,$E$30:$E$1048576,"=Yes",$I$30:$I$1048576,"=Yes")</f>
        <v>0</v>
      </c>
      <c r="O6" s="517">
        <f>IFERROR(AVERAGEIFS($F$30:$F$1048576,$C$30:$C$1048576,C6,$E$30:$E$1048576,"=Yes",$I$30:$I$1048576,"=Yes"),0)</f>
        <v>0</v>
      </c>
      <c r="P6" s="516">
        <f>_xlfn.MAXIFS($F$30:$F$1048576,$C$30:$C$1048576,C6,$E$30:$E$1048576,"=No",$I$30:$I$1048576,"=Yes")</f>
        <v>0</v>
      </c>
      <c r="Q6" s="517">
        <f>IFERROR(AVERAGEIFS($F$30:$F$1048576,$C$30:$C$1048576,C6,$E$30:$E$1048576,"=No",$I$30:$I$1048576,"=Yes"),0)</f>
        <v>0</v>
      </c>
      <c r="S6" s="853">
        <v>3</v>
      </c>
      <c r="T6" s="855" t="s">
        <v>343</v>
      </c>
      <c r="X6" s="34"/>
    </row>
    <row r="7" spans="3:24" x14ac:dyDescent="0.25">
      <c r="C7" s="18" t="s">
        <v>344</v>
      </c>
      <c r="D7" s="11"/>
      <c r="G7" s="496">
        <f>IFERROR(COUNTIFS($C$30:$C$984,$C7,$I$30:$I$984,"Yes",$E$30:$E$984,"No"),"-")</f>
        <v>0</v>
      </c>
      <c r="H7" s="496">
        <f>IFERROR(COUNTIFS($C$30:$C$984,$C7,$I$30:$I$984,"Yes"),"-")</f>
        <v>0</v>
      </c>
      <c r="I7" s="496" t="str">
        <f>IFERROR(AVERAGEIFS($H$30:$H$984,$C$30:$C$984,$C7,$I$30:$I$984,"Yes"),"-")</f>
        <v>-</v>
      </c>
      <c r="J7" s="19">
        <f>IFERROR(SUMIFS($F$30:$F$984,$C$30:$C$984,$C7,$I$30:$I$984,"Yes")*12,0)</f>
        <v>0</v>
      </c>
      <c r="K7" s="499" t="str">
        <f t="shared" si="2"/>
        <v>-</v>
      </c>
      <c r="L7" s="334" t="str">
        <f t="shared" si="1"/>
        <v>-</v>
      </c>
      <c r="N7" s="522">
        <f>_xlfn.MAXIFS($F$30:$F$1048576,$C$30:$C$1048576,C7,$E$30:$E$1048576,"=Yes",$I$30:$I$1048576,"=Yes")</f>
        <v>0</v>
      </c>
      <c r="O7" s="523">
        <f>IFERROR(AVERAGEIFS($F$30:$F$1048576,$C$30:$C$1048576,C7,$E$30:$E$1048576,"=Yes",$I$30:$I$1048576,"=Yes"),0)</f>
        <v>0</v>
      </c>
      <c r="P7" s="524">
        <f>_xlfn.MAXIFS($F$30:$F$1048576,$C$30:$C$1048576,C7,$E$30:$E$1048576,"=No",$I$30:$I$1048576,"=Yes")</f>
        <v>0</v>
      </c>
      <c r="Q7" s="523">
        <f>IFERROR(AVERAGEIFS($F$30:$F$1048576,$C$30:$C$1048576,C7,$E$30:$E$1048576,"=No",$I$30:$I$1048576,"=Yes"),0)</f>
        <v>0</v>
      </c>
      <c r="S7" s="854">
        <v>4</v>
      </c>
      <c r="T7" s="856" t="s">
        <v>344</v>
      </c>
      <c r="X7" s="34"/>
    </row>
    <row r="8" spans="3:24" x14ac:dyDescent="0.25">
      <c r="C8" s="18" t="s">
        <v>76</v>
      </c>
      <c r="D8" s="11"/>
      <c r="G8" s="496">
        <f>IFERROR(COUNTIFS($C$30:$C$984,$C3,$I$30:$I$984,"No",$E$30:$E$984,"No"),"-")</f>
        <v>0</v>
      </c>
      <c r="H8" s="496">
        <f>IFERROR(COUNTIFS($C$30:$C$984,$C3,$I$30:$I$984,"No"),"-")</f>
        <v>0</v>
      </c>
      <c r="I8" s="496" t="str">
        <f>IFERROR(AVERAGEIFS($H$30:$H$984,$C$30:$C$984,$C3,$I$30:$I$984,"No"),"-")</f>
        <v>-</v>
      </c>
      <c r="J8" s="19">
        <f>IFERROR(SUMIFS($F$30:$F$984,$C$30:$C$984,$C3,$I$30:$I$984,"No")*12,0)</f>
        <v>0</v>
      </c>
      <c r="K8" s="499" t="str">
        <f>IFERROR(+J8/H8/12,"-")</f>
        <v>-</v>
      </c>
      <c r="L8" s="334" t="str">
        <f>IFERROR(+K8/I8,"-")</f>
        <v>-</v>
      </c>
      <c r="X8" s="34"/>
    </row>
    <row r="9" spans="3:24" x14ac:dyDescent="0.25">
      <c r="C9" s="18" t="s">
        <v>77</v>
      </c>
      <c r="D9" s="11"/>
      <c r="G9" s="496">
        <f>IFERROR(COUNTIFS($C$30:$C$984,$C4,$I$30:$I$984,"No",$E$30:$E$984,"No"),"-")</f>
        <v>0</v>
      </c>
      <c r="H9" s="496">
        <f>IFERROR(COUNTIFS($C$30:$C$984,$C4,$I$30:$I$984,"No"),"-")</f>
        <v>0</v>
      </c>
      <c r="I9" s="496" t="str">
        <f>IFERROR(AVERAGEIFS($H$30:$H$984,$C$30:$C$984,$C4,$I$30:$I$984,"No"),"-")</f>
        <v>-</v>
      </c>
      <c r="J9" s="19">
        <f>IFERROR(SUMIFS($F$30:$F$984,$C$30:$C$984,$C4,$I$30:$I$984,"No")*12,0)</f>
        <v>0</v>
      </c>
      <c r="K9" s="499" t="str">
        <f>IFERROR(+J9/H9/12,"-")</f>
        <v>-</v>
      </c>
      <c r="L9" s="334" t="str">
        <f>IFERROR(+K9/I9,"-")</f>
        <v>-</v>
      </c>
      <c r="X9" s="34"/>
    </row>
    <row r="10" spans="3:24" x14ac:dyDescent="0.25">
      <c r="C10" s="18" t="s">
        <v>438</v>
      </c>
      <c r="D10" s="11"/>
      <c r="G10" s="496">
        <f>IFERROR(COUNTIFS($C$30:$C$984,$C5,$I$30:$I$984,"No",$E$30:$E$984,"No"),"-")</f>
        <v>0</v>
      </c>
      <c r="H10" s="496">
        <f>IFERROR(COUNTIFS($C$30:$C$984,$C5,$I$30:$I$984,"No"),"-")</f>
        <v>0</v>
      </c>
      <c r="I10" s="496" t="str">
        <f>IFERROR(AVERAGEIFS($H$30:$H$984,$C$30:$C$984,$C5,$I$30:$I$984,"No"),"-")</f>
        <v>-</v>
      </c>
      <c r="J10" s="19">
        <f>IFERROR(SUMIFS($F$30:$F$984,$C$30:$C$984,$C5,$I$30:$I$984,"No")*12,0)</f>
        <v>0</v>
      </c>
      <c r="K10" s="499" t="str">
        <f>IFERROR(+J10/H10/12,"-")</f>
        <v>-</v>
      </c>
      <c r="L10" s="334" t="str">
        <f>IFERROR(+K10/I10,"-")</f>
        <v>-</v>
      </c>
      <c r="X10" s="34"/>
    </row>
    <row r="11" spans="3:24" x14ac:dyDescent="0.25">
      <c r="C11" s="18" t="s">
        <v>439</v>
      </c>
      <c r="D11" s="11"/>
      <c r="G11" s="496">
        <f>IFERROR(COUNTIFS($C$30:$C$984,$C6,$I$30:$I$984,"No",$E$30:$E$984,"No"),"-")</f>
        <v>0</v>
      </c>
      <c r="H11" s="496">
        <f>IFERROR(COUNTIFS($C$30:$C$984,$C6,$I$30:$I$984,"No"),"-")</f>
        <v>0</v>
      </c>
      <c r="I11" s="496" t="str">
        <f>IFERROR(AVERAGEIFS($H$30:$H$984,$C$30:$C$984,$C6,$I$30:$I$984,"No"),"-")</f>
        <v>-</v>
      </c>
      <c r="J11" s="19">
        <f>IFERROR(SUMIFS($F$30:$F$984,$C$30:$C$984,$C6,$I$30:$I$984,"No")*12,0)</f>
        <v>0</v>
      </c>
      <c r="K11" s="499" t="str">
        <f>IFERROR(+J11/H11/12,"-")</f>
        <v>-</v>
      </c>
      <c r="L11" s="334" t="str">
        <f>IFERROR(+K11/I11,"-")</f>
        <v>-</v>
      </c>
      <c r="X11" s="34"/>
    </row>
    <row r="12" spans="3:24" x14ac:dyDescent="0.25">
      <c r="C12" s="106" t="s">
        <v>440</v>
      </c>
      <c r="D12" s="103"/>
      <c r="E12" s="335"/>
      <c r="F12" s="335"/>
      <c r="G12" s="497">
        <f>IFERROR(COUNTIFS($C$30:$C$984,$C7,$I$30:$I$984,"No",$E$30:$E$984,"No"),"-")</f>
        <v>0</v>
      </c>
      <c r="H12" s="497">
        <f>IFERROR(COUNTIFS($C$30:$C$984,$C7,$I$30:$I$984,"No"),"-")</f>
        <v>0</v>
      </c>
      <c r="I12" s="497" t="str">
        <f>IFERROR(AVERAGEIFS($H$30:$H$984,$C$30:$C$984,$C7,$I$30:$I$984,"No"),"-")</f>
        <v>-</v>
      </c>
      <c r="J12" s="22">
        <f>IFERROR(SUMIFS($F$30:$F$984,$C$30:$C$984,$C7,$I$30:$I$984,"No")*12,0)</f>
        <v>0</v>
      </c>
      <c r="K12" s="500" t="str">
        <f>IFERROR(+J12/H12/12,"-")</f>
        <v>-</v>
      </c>
      <c r="L12" s="336" t="str">
        <f>IFERROR(+K12/I12,"-")</f>
        <v>-</v>
      </c>
      <c r="X12" s="34"/>
    </row>
    <row r="13" spans="3:24" x14ac:dyDescent="0.25">
      <c r="C13" s="337" t="s">
        <v>81</v>
      </c>
      <c r="D13" s="338"/>
      <c r="E13" s="339"/>
      <c r="F13" s="339"/>
      <c r="G13" s="340">
        <f>SUM(G3:G12)</f>
        <v>0</v>
      </c>
      <c r="H13" s="340">
        <f>SUM(H3:H12)</f>
        <v>0</v>
      </c>
      <c r="I13" s="340" t="str">
        <f>IFERROR(SUMPRODUCT($I$3:$I$12,$H$3:$H$12)/H13,"-")</f>
        <v>-</v>
      </c>
      <c r="J13" s="341">
        <f>SUM(J3:J12)</f>
        <v>0</v>
      </c>
      <c r="K13" s="342" t="str">
        <f>IFERROR(J13/H13/12,"-")</f>
        <v>-</v>
      </c>
      <c r="L13" s="343" t="str">
        <f t="shared" ref="L13" si="3">IFERROR(+K13/I13,"-")</f>
        <v>-</v>
      </c>
      <c r="X13" s="34"/>
    </row>
    <row r="14" spans="3:24" x14ac:dyDescent="0.25">
      <c r="C14" s="34"/>
      <c r="H14" s="34"/>
      <c r="I14" s="34"/>
      <c r="L14" s="34"/>
      <c r="N14" s="521" t="s">
        <v>431</v>
      </c>
      <c r="P14" s="521"/>
      <c r="X14" s="34"/>
    </row>
    <row r="15" spans="3:24" x14ac:dyDescent="0.25">
      <c r="C15" s="643" t="s">
        <v>441</v>
      </c>
      <c r="D15" s="230"/>
      <c r="E15" s="230"/>
      <c r="F15" s="230"/>
      <c r="G15" s="230" t="s">
        <v>60</v>
      </c>
      <c r="H15" s="230" t="s">
        <v>61</v>
      </c>
      <c r="I15" s="231" t="s">
        <v>62</v>
      </c>
      <c r="J15" s="232" t="s">
        <v>63</v>
      </c>
      <c r="K15" s="232" t="s">
        <v>64</v>
      </c>
      <c r="L15" s="233" t="s">
        <v>65</v>
      </c>
      <c r="N15" s="518" t="s">
        <v>434</v>
      </c>
      <c r="O15" s="520" t="s">
        <v>435</v>
      </c>
      <c r="P15" s="645" t="s">
        <v>442</v>
      </c>
      <c r="Q15" s="645"/>
      <c r="R15" s="355"/>
      <c r="S15" s="645"/>
      <c r="T15" s="645"/>
      <c r="X15" s="34"/>
    </row>
    <row r="16" spans="3:24" x14ac:dyDescent="0.25">
      <c r="C16" s="220" t="s">
        <v>71</v>
      </c>
      <c r="D16" s="234"/>
      <c r="G16" s="495">
        <f>IFERROR(COUNTIFS($C$30:$C$984,$C16,$I$30:$I$984,"Yes",$E$30:$E$984,"No"),"-")</f>
        <v>0</v>
      </c>
      <c r="H16" s="495">
        <f>IFERROR(COUNTIFS($C$30:$C$984,$C16,$I$30:$I$984,"Yes"),"-")</f>
        <v>0</v>
      </c>
      <c r="I16" s="495" t="str">
        <f>IFERROR(AVERAGEIFS($H$30:$H$984,$C$30:$C$984,$C16,$I$30:$I$984,"Yes"),"-")</f>
        <v>-</v>
      </c>
      <c r="J16" s="235">
        <f>IFERROR(SUMIFS($G$30:$G$984,$C$30:$C$984,$C16,$I$30:$I$984,"Yes")*12,0)</f>
        <v>0</v>
      </c>
      <c r="K16" s="498" t="str">
        <f>IFERROR(+J16/H16/12,"-")</f>
        <v>-</v>
      </c>
      <c r="L16" s="351" t="str">
        <f>IFERROR(+K16/I16,"-")</f>
        <v>-</v>
      </c>
      <c r="N16" s="515">
        <f>_xlfn.MAXIFS($G$30:$G$1048576,$C$30:$C$1048576,C16,$E$30:$E$1048576,"=Yes",$I$30:$I$1048576,"=Yes")</f>
        <v>0</v>
      </c>
      <c r="O16" s="517">
        <f>IFERROR(AVERAGEIFS($G$30:$G$1048576,$C$30:$C$1048576,C16,$E$30:$E$1048576,"=Yes",$I$30:$I$1048576,"=Yes"),0)</f>
        <v>0</v>
      </c>
      <c r="P16" s="644"/>
      <c r="Q16" s="644"/>
      <c r="R16" s="355"/>
      <c r="S16" s="646"/>
      <c r="T16" s="646"/>
      <c r="X16" s="34"/>
    </row>
    <row r="17" spans="2:24" x14ac:dyDescent="0.25">
      <c r="C17" s="18" t="s">
        <v>72</v>
      </c>
      <c r="D17" s="11"/>
      <c r="G17" s="496">
        <f>IFERROR(COUNTIFS($C$30:$C$984,$C17,$I$30:$I$984,"Yes",$E$30:$E$984,"No"),"-")</f>
        <v>0</v>
      </c>
      <c r="H17" s="496">
        <f>IFERROR(COUNTIFS($C$30:$C$984,$C17,$I$30:$I$984,"Yes"),"-")</f>
        <v>0</v>
      </c>
      <c r="I17" s="496" t="str">
        <f>IFERROR(AVERAGEIFS($H$30:$H$984,$C$30:$C$984,$C17,$I$30:$I$984,"Yes"),"-")</f>
        <v>-</v>
      </c>
      <c r="J17" s="19">
        <f t="shared" ref="J17:J20" si="4">IFERROR(SUMIFS($G$30:$G$984,$C$30:$C$984,$C17,$I$30:$I$984,"Yes")*12,0)</f>
        <v>0</v>
      </c>
      <c r="K17" s="499" t="str">
        <f t="shared" ref="K17:K20" si="5">IFERROR(+J17/H17/12,"-")</f>
        <v>-</v>
      </c>
      <c r="L17" s="334" t="str">
        <f t="shared" ref="L17:L20" si="6">IFERROR(+K17/I17,"-")</f>
        <v>-</v>
      </c>
      <c r="N17" s="515">
        <f t="shared" ref="N17:N20" si="7">_xlfn.MAXIFS($G$30:$G$1048576,$C$30:$C$1048576,C17,$E$30:$E$1048576,"=Yes",$I$30:$I$1048576,"=Yes")</f>
        <v>0</v>
      </c>
      <c r="O17" s="517">
        <f t="shared" ref="O17:O20" si="8">IFERROR(AVERAGEIFS($G$30:$G$1048576,$C$30:$C$1048576,C17,$E$30:$E$1048576,"=Yes",$I$30:$I$1048576,"=Yes"),0)</f>
        <v>0</v>
      </c>
      <c r="P17" s="644"/>
      <c r="Q17" s="644"/>
      <c r="R17" s="355"/>
      <c r="S17" s="646"/>
      <c r="T17" s="646"/>
      <c r="X17" s="34"/>
    </row>
    <row r="18" spans="2:24" x14ac:dyDescent="0.25">
      <c r="C18" s="18" t="s">
        <v>342</v>
      </c>
      <c r="D18" s="11"/>
      <c r="G18" s="496">
        <f>IFERROR(COUNTIFS($C$30:$C$984,$C18,$I$30:$I$984,"Yes",$E$30:$E$984,"No"),"-")</f>
        <v>0</v>
      </c>
      <c r="H18" s="496">
        <f>IFERROR(COUNTIFS($C$30:$C$984,$C18,$I$30:$I$984,"Yes"),"-")</f>
        <v>0</v>
      </c>
      <c r="I18" s="496" t="str">
        <f>IFERROR(AVERAGEIFS($H$30:$H$984,$C$30:$C$984,$C18,$I$30:$I$984,"Yes"),"-")</f>
        <v>-</v>
      </c>
      <c r="J18" s="19">
        <f t="shared" si="4"/>
        <v>0</v>
      </c>
      <c r="K18" s="499" t="str">
        <f t="shared" si="5"/>
        <v>-</v>
      </c>
      <c r="L18" s="334" t="str">
        <f t="shared" si="6"/>
        <v>-</v>
      </c>
      <c r="N18" s="515">
        <f t="shared" si="7"/>
        <v>0</v>
      </c>
      <c r="O18" s="517">
        <f t="shared" si="8"/>
        <v>0</v>
      </c>
      <c r="P18" s="644"/>
      <c r="Q18" s="644"/>
      <c r="R18" s="355"/>
      <c r="S18" s="646"/>
      <c r="T18" s="646"/>
      <c r="X18" s="34"/>
    </row>
    <row r="19" spans="2:24" x14ac:dyDescent="0.25">
      <c r="C19" s="18" t="s">
        <v>343</v>
      </c>
      <c r="D19" s="11"/>
      <c r="G19" s="496">
        <f>IFERROR(COUNTIFS($C$30:$C$984,$C19,$I$30:$I$984,"Yes",$E$30:$E$984,"No"),"-")</f>
        <v>0</v>
      </c>
      <c r="H19" s="496">
        <f>IFERROR(COUNTIFS($C$30:$C$984,$C19,$I$30:$I$984,"Yes"),"-")</f>
        <v>0</v>
      </c>
      <c r="I19" s="496" t="str">
        <f>IFERROR(AVERAGEIFS($H$30:$H$984,$C$30:$C$984,$C19,$I$30:$I$984,"Yes"),"-")</f>
        <v>-</v>
      </c>
      <c r="J19" s="19">
        <f t="shared" si="4"/>
        <v>0</v>
      </c>
      <c r="K19" s="499" t="str">
        <f t="shared" si="5"/>
        <v>-</v>
      </c>
      <c r="L19" s="334" t="str">
        <f t="shared" si="6"/>
        <v>-</v>
      </c>
      <c r="N19" s="515">
        <f t="shared" si="7"/>
        <v>0</v>
      </c>
      <c r="O19" s="517">
        <f t="shared" si="8"/>
        <v>0</v>
      </c>
      <c r="P19" s="644"/>
      <c r="Q19" s="644"/>
      <c r="R19" s="355"/>
      <c r="S19" s="646"/>
      <c r="T19" s="646"/>
      <c r="X19" s="34"/>
    </row>
    <row r="20" spans="2:24" x14ac:dyDescent="0.25">
      <c r="C20" s="18" t="s">
        <v>344</v>
      </c>
      <c r="D20" s="11"/>
      <c r="G20" s="496">
        <f>IFERROR(COUNTIFS($C$30:$C$984,$C20,$I$30:$I$984,"Yes",$E$30:$E$984,"No"),"-")</f>
        <v>0</v>
      </c>
      <c r="H20" s="496">
        <f>IFERROR(COUNTIFS($C$30:$C$984,$C20,$I$30:$I$984,"Yes"),"-")</f>
        <v>0</v>
      </c>
      <c r="I20" s="496" t="str">
        <f>IFERROR(AVERAGEIFS($H$30:$H$984,$C$30:$C$984,$C20,$I$30:$I$984,"Yes"),"-")</f>
        <v>-</v>
      </c>
      <c r="J20" s="19">
        <f t="shared" si="4"/>
        <v>0</v>
      </c>
      <c r="K20" s="499" t="str">
        <f t="shared" si="5"/>
        <v>-</v>
      </c>
      <c r="L20" s="334" t="str">
        <f t="shared" si="6"/>
        <v>-</v>
      </c>
      <c r="N20" s="522">
        <f t="shared" si="7"/>
        <v>0</v>
      </c>
      <c r="O20" s="523">
        <f t="shared" si="8"/>
        <v>0</v>
      </c>
      <c r="P20" s="644"/>
      <c r="Q20" s="644"/>
      <c r="R20" s="355"/>
      <c r="S20" s="646"/>
      <c r="T20" s="646"/>
      <c r="X20" s="34"/>
    </row>
    <row r="21" spans="2:24" x14ac:dyDescent="0.25">
      <c r="C21" s="18" t="s">
        <v>76</v>
      </c>
      <c r="D21" s="11"/>
      <c r="G21" s="496">
        <f>IFERROR(COUNTIFS($C$30:$C$984,$C16,$I$30:$I$984,"No",$E$30:$E$984,"No"),"-")</f>
        <v>0</v>
      </c>
      <c r="H21" s="496">
        <f>IFERROR(COUNTIFS($C$30:$C$984,$C16,$I$30:$I$984,"No"),"-")</f>
        <v>0</v>
      </c>
      <c r="I21" s="496" t="str">
        <f>IFERROR(AVERAGEIFS($H$30:$H$984,$C$30:$C$984,$C16,$I$30:$I$984,"No"),"-")</f>
        <v>-</v>
      </c>
      <c r="J21" s="19">
        <f>IFERROR(SUMIFS($G$30:$G$984,$C$30:$C$984,$C16,$I$30:$I$984,"No")*12,0)</f>
        <v>0</v>
      </c>
      <c r="K21" s="499" t="str">
        <f>IFERROR(+J21/H21/12,"-")</f>
        <v>-</v>
      </c>
      <c r="L21" s="334" t="str">
        <f>IFERROR(+K21/I21,"-")</f>
        <v>-</v>
      </c>
      <c r="X21" s="34"/>
    </row>
    <row r="22" spans="2:24" x14ac:dyDescent="0.25">
      <c r="C22" s="18" t="s">
        <v>77</v>
      </c>
      <c r="D22" s="11"/>
      <c r="G22" s="496">
        <f>IFERROR(COUNTIFS($C$30:$C$984,$C17,$I$30:$I$984,"No",$E$30:$E$984,"No"),"-")</f>
        <v>0</v>
      </c>
      <c r="H22" s="496">
        <f>IFERROR(COUNTIFS($C$30:$C$984,$C17,$I$30:$I$984,"No"),"-")</f>
        <v>0</v>
      </c>
      <c r="I22" s="496" t="str">
        <f>IFERROR(AVERAGEIFS($H$30:$H$984,$C$30:$C$984,$C17,$I$30:$I$984,"No"),"-")</f>
        <v>-</v>
      </c>
      <c r="J22" s="19">
        <f t="shared" ref="J22:J25" si="9">IFERROR(SUMIFS($G$30:$G$984,$C$30:$C$984,$C17,$I$30:$I$984,"No")*12,0)</f>
        <v>0</v>
      </c>
      <c r="K22" s="499" t="str">
        <f>IFERROR(+J22/H22/12,"-")</f>
        <v>-</v>
      </c>
      <c r="L22" s="334" t="str">
        <f>IFERROR(+K22/I22,"-")</f>
        <v>-</v>
      </c>
      <c r="X22" s="34"/>
    </row>
    <row r="23" spans="2:24" x14ac:dyDescent="0.25">
      <c r="C23" s="18" t="s">
        <v>438</v>
      </c>
      <c r="D23" s="11"/>
      <c r="G23" s="496">
        <f>IFERROR(COUNTIFS($C$30:$C$984,$C18,$I$30:$I$984,"No",$E$30:$E$984,"No"),"-")</f>
        <v>0</v>
      </c>
      <c r="H23" s="496">
        <f>IFERROR(COUNTIFS($C$30:$C$984,$C18,$I$30:$I$984,"No"),"-")</f>
        <v>0</v>
      </c>
      <c r="I23" s="496" t="str">
        <f>IFERROR(AVERAGEIFS($H$30:$H$984,$C$30:$C$984,$C18,$I$30:$I$984,"No"),"-")</f>
        <v>-</v>
      </c>
      <c r="J23" s="19">
        <f t="shared" si="9"/>
        <v>0</v>
      </c>
      <c r="K23" s="499" t="str">
        <f>IFERROR(+J23/H23/12,"-")</f>
        <v>-</v>
      </c>
      <c r="L23" s="334" t="str">
        <f>IFERROR(+K23/I23,"-")</f>
        <v>-</v>
      </c>
      <c r="X23" s="34"/>
    </row>
    <row r="24" spans="2:24" x14ac:dyDescent="0.25">
      <c r="C24" s="18" t="s">
        <v>439</v>
      </c>
      <c r="D24" s="11"/>
      <c r="G24" s="496">
        <f>IFERROR(COUNTIFS($C$30:$C$984,$C19,$I$30:$I$984,"No",$E$30:$E$984,"No"),"-")</f>
        <v>0</v>
      </c>
      <c r="H24" s="496">
        <f>IFERROR(COUNTIFS($C$30:$C$984,$C19,$I$30:$I$984,"No"),"-")</f>
        <v>0</v>
      </c>
      <c r="I24" s="496" t="str">
        <f>IFERROR(AVERAGEIFS($H$30:$H$984,$C$30:$C$984,$C19,$I$30:$I$984,"No"),"-")</f>
        <v>-</v>
      </c>
      <c r="J24" s="19">
        <f t="shared" si="9"/>
        <v>0</v>
      </c>
      <c r="K24" s="499" t="str">
        <f>IFERROR(+J24/H24/12,"-")</f>
        <v>-</v>
      </c>
      <c r="L24" s="334" t="str">
        <f>IFERROR(+K24/I24,"-")</f>
        <v>-</v>
      </c>
      <c r="X24" s="34"/>
    </row>
    <row r="25" spans="2:24" x14ac:dyDescent="0.25">
      <c r="C25" s="106" t="s">
        <v>440</v>
      </c>
      <c r="D25" s="103"/>
      <c r="E25" s="335"/>
      <c r="F25" s="335"/>
      <c r="G25" s="497">
        <f>IFERROR(COUNTIFS($C$30:$C$984,$C20,$I$30:$I$984,"No",$E$30:$E$984,"No"),"-")</f>
        <v>0</v>
      </c>
      <c r="H25" s="497">
        <f>IFERROR(COUNTIFS($C$30:$C$984,$C20,$I$30:$I$984,"No"),"-")</f>
        <v>0</v>
      </c>
      <c r="I25" s="497" t="str">
        <f>IFERROR(AVERAGEIFS($H$30:$H$984,$C$30:$C$984,$C20,$I$30:$I$984,"No"),"-")</f>
        <v>-</v>
      </c>
      <c r="J25" s="22">
        <f t="shared" si="9"/>
        <v>0</v>
      </c>
      <c r="K25" s="500" t="str">
        <f>IFERROR(+J25/H25/12,"-")</f>
        <v>-</v>
      </c>
      <c r="L25" s="336" t="str">
        <f>IFERROR(+K25/I25,"-")</f>
        <v>-</v>
      </c>
      <c r="X25" s="34"/>
    </row>
    <row r="26" spans="2:24" x14ac:dyDescent="0.25">
      <c r="C26" s="337" t="s">
        <v>81</v>
      </c>
      <c r="D26" s="338"/>
      <c r="E26" s="339"/>
      <c r="F26" s="339"/>
      <c r="G26" s="340">
        <f>SUM(G16:G25)</f>
        <v>0</v>
      </c>
      <c r="H26" s="340">
        <f>SUM(H16:H25)</f>
        <v>0</v>
      </c>
      <c r="I26" s="340" t="str">
        <f>IFERROR(SUMPRODUCT($I$3:$I$12,$H$3:$H$12)/H26,"-")</f>
        <v>-</v>
      </c>
      <c r="J26" s="341">
        <f>SUM(J16:J25)</f>
        <v>0</v>
      </c>
      <c r="K26" s="342" t="str">
        <f>IFERROR(J26/H26/12,"-")</f>
        <v>-</v>
      </c>
      <c r="L26" s="343" t="str">
        <f t="shared" ref="L26" si="10">IFERROR(+K26/I26,"-")</f>
        <v>-</v>
      </c>
      <c r="X26" s="34"/>
    </row>
    <row r="27" spans="2:24" x14ac:dyDescent="0.25">
      <c r="C27" s="34"/>
      <c r="H27" s="34"/>
      <c r="I27" s="34"/>
      <c r="L27" s="34"/>
      <c r="X27" s="34"/>
    </row>
    <row r="28" spans="2:24" x14ac:dyDescent="0.25">
      <c r="C28" s="1607" t="s">
        <v>443</v>
      </c>
      <c r="D28" s="1608"/>
      <c r="E28" s="1608"/>
      <c r="F28" s="1608"/>
      <c r="G28" s="1608"/>
      <c r="H28" s="1609"/>
      <c r="I28" s="1610" t="s">
        <v>444</v>
      </c>
      <c r="J28" s="1610"/>
      <c r="K28" s="1610"/>
      <c r="L28" s="1611"/>
      <c r="M28" s="1612" t="s">
        <v>445</v>
      </c>
      <c r="N28" s="1612"/>
      <c r="O28" s="1612"/>
      <c r="P28" s="1612"/>
      <c r="Q28" s="1612"/>
      <c r="R28" s="1612"/>
      <c r="S28" s="1612"/>
      <c r="T28" s="1612"/>
      <c r="U28" s="1612"/>
      <c r="V28" s="1612"/>
      <c r="W28" s="1612"/>
      <c r="X28" s="1613"/>
    </row>
    <row r="29" spans="2:24" x14ac:dyDescent="0.25">
      <c r="B29" s="557" t="s">
        <v>437</v>
      </c>
      <c r="C29" s="344" t="s">
        <v>341</v>
      </c>
      <c r="D29" s="345" t="s">
        <v>446</v>
      </c>
      <c r="E29" s="345" t="s">
        <v>447</v>
      </c>
      <c r="F29" s="345" t="s">
        <v>448</v>
      </c>
      <c r="G29" s="345" t="s">
        <v>449</v>
      </c>
      <c r="H29" s="346" t="s">
        <v>450</v>
      </c>
      <c r="I29" s="347" t="s">
        <v>451</v>
      </c>
      <c r="J29" s="347" t="s">
        <v>452</v>
      </c>
      <c r="K29" s="347" t="s">
        <v>453</v>
      </c>
      <c r="L29" s="348" t="s">
        <v>454</v>
      </c>
      <c r="M29" s="349" t="s">
        <v>455</v>
      </c>
      <c r="N29" s="349" t="s">
        <v>456</v>
      </c>
      <c r="O29" s="349" t="s">
        <v>457</v>
      </c>
      <c r="P29" s="349" t="s">
        <v>458</v>
      </c>
      <c r="Q29" s="349" t="s">
        <v>459</v>
      </c>
      <c r="R29" s="349" t="s">
        <v>460</v>
      </c>
      <c r="S29" s="349" t="s">
        <v>461</v>
      </c>
      <c r="T29" s="349" t="s">
        <v>462</v>
      </c>
      <c r="U29" s="349" t="s">
        <v>463</v>
      </c>
      <c r="V29" s="349" t="s">
        <v>464</v>
      </c>
      <c r="W29" s="349" t="s">
        <v>465</v>
      </c>
      <c r="X29" s="350" t="s">
        <v>466</v>
      </c>
    </row>
    <row r="30" spans="2:24" x14ac:dyDescent="0.25">
      <c r="B30" s="569"/>
      <c r="C30" s="764" t="str">
        <f t="shared" ref="C30:C39" si="11">+IF(ISBLANK(B30),"",IFERROR(INDEX($T$3:$T$7,MATCH(B30,$S$3:$S$7,0)),""))</f>
        <v/>
      </c>
      <c r="D30" s="355"/>
      <c r="E30" s="355"/>
      <c r="F30" s="765"/>
      <c r="G30" s="766" t="str">
        <f>+IF(ISBLANK(F30),"",IF(J30="Yes",F30,F30*(1+Economics!$AK$29)))</f>
        <v/>
      </c>
      <c r="I30" s="652"/>
      <c r="J30" s="355" t="str">
        <f t="shared" ref="J30:J39" si="12">+IF(ISBLANK(I30),"",IF(ISNUMBER(FIND("Yes",I30)),"No","Yes"))</f>
        <v/>
      </c>
    </row>
    <row r="31" spans="2:24" x14ac:dyDescent="0.25">
      <c r="B31" s="569"/>
      <c r="C31" s="764" t="str">
        <f t="shared" si="11"/>
        <v/>
      </c>
      <c r="D31" s="355"/>
      <c r="E31" s="355"/>
      <c r="F31" s="765"/>
      <c r="G31" s="766" t="str">
        <f>+IF(ISBLANK(F31),"",IF(J31="Yes",F31,F31*(1+Economics!$AK$29)))</f>
        <v/>
      </c>
      <c r="I31" s="652"/>
      <c r="J31" s="355" t="str">
        <f t="shared" si="12"/>
        <v/>
      </c>
    </row>
    <row r="32" spans="2:24" x14ac:dyDescent="0.25">
      <c r="B32" s="569"/>
      <c r="C32" s="764" t="str">
        <f t="shared" si="11"/>
        <v/>
      </c>
      <c r="D32" s="355"/>
      <c r="E32" s="355"/>
      <c r="F32" s="765"/>
      <c r="G32" s="766" t="str">
        <f>+IF(ISBLANK(F32),"",IF(J32="Yes",F32,F32*(1+Economics!$AK$29)))</f>
        <v/>
      </c>
      <c r="I32" s="652"/>
      <c r="J32" s="355" t="str">
        <f t="shared" si="12"/>
        <v/>
      </c>
    </row>
    <row r="33" spans="2:10" x14ac:dyDescent="0.25">
      <c r="B33" s="569"/>
      <c r="C33" s="764" t="str">
        <f t="shared" si="11"/>
        <v/>
      </c>
      <c r="D33" s="355"/>
      <c r="E33" s="355"/>
      <c r="F33" s="765"/>
      <c r="G33" s="766" t="str">
        <f>+IF(ISBLANK(F33),"",IF(J33="Yes",F33,F33*(1+Economics!$AK$29)))</f>
        <v/>
      </c>
      <c r="I33" s="652"/>
      <c r="J33" s="355" t="str">
        <f t="shared" si="12"/>
        <v/>
      </c>
    </row>
    <row r="34" spans="2:10" x14ac:dyDescent="0.25">
      <c r="B34" s="569"/>
      <c r="C34" s="764" t="str">
        <f t="shared" si="11"/>
        <v/>
      </c>
      <c r="D34" s="355"/>
      <c r="E34" s="355"/>
      <c r="F34" s="765"/>
      <c r="G34" s="766" t="str">
        <f>+IF(ISBLANK(F34),"",IF(J34="Yes",F34,F34*(1+Economics!$AK$29)))</f>
        <v/>
      </c>
      <c r="I34" s="652"/>
      <c r="J34" s="355" t="str">
        <f t="shared" si="12"/>
        <v/>
      </c>
    </row>
    <row r="35" spans="2:10" x14ac:dyDescent="0.25">
      <c r="B35" s="569"/>
      <c r="C35" s="764" t="str">
        <f t="shared" si="11"/>
        <v/>
      </c>
      <c r="D35" s="355"/>
      <c r="E35" s="355"/>
      <c r="F35" s="765"/>
      <c r="G35" s="766" t="str">
        <f>+IF(ISBLANK(F35),"",IF(J35="Yes",F35,F35*(1+Economics!$AK$29)))</f>
        <v/>
      </c>
      <c r="I35" s="652"/>
      <c r="J35" s="355" t="str">
        <f t="shared" si="12"/>
        <v/>
      </c>
    </row>
    <row r="36" spans="2:10" x14ac:dyDescent="0.25">
      <c r="B36" s="569"/>
      <c r="C36" s="764" t="str">
        <f t="shared" si="11"/>
        <v/>
      </c>
      <c r="D36" s="355"/>
      <c r="E36" s="355"/>
      <c r="F36" s="765"/>
      <c r="G36" s="766" t="str">
        <f>+IF(ISBLANK(F36),"",IF(J36="Yes",F36,F36*(1+Economics!$AK$29)))</f>
        <v/>
      </c>
      <c r="I36" s="652"/>
      <c r="J36" s="355" t="str">
        <f t="shared" si="12"/>
        <v/>
      </c>
    </row>
    <row r="37" spans="2:10" x14ac:dyDescent="0.25">
      <c r="B37" s="569"/>
      <c r="C37" s="764" t="str">
        <f t="shared" si="11"/>
        <v/>
      </c>
      <c r="D37" s="355"/>
      <c r="E37" s="355"/>
      <c r="F37" s="765"/>
      <c r="G37" s="766" t="str">
        <f>+IF(ISBLANK(F37),"",IF(J37="Yes",F37,F37*(1+Economics!$AK$29)))</f>
        <v/>
      </c>
      <c r="I37" s="652"/>
      <c r="J37" s="355" t="str">
        <f t="shared" si="12"/>
        <v/>
      </c>
    </row>
    <row r="38" spans="2:10" x14ac:dyDescent="0.25">
      <c r="B38" s="569"/>
      <c r="C38" s="764" t="str">
        <f t="shared" si="11"/>
        <v/>
      </c>
      <c r="D38" s="355"/>
      <c r="E38" s="355"/>
      <c r="F38" s="765"/>
      <c r="G38" s="766" t="str">
        <f>+IF(ISBLANK(F38),"",IF(J38="Yes",F38,F38*(1+Economics!$AK$29)))</f>
        <v/>
      </c>
      <c r="I38" s="652"/>
      <c r="J38" s="355" t="str">
        <f t="shared" si="12"/>
        <v/>
      </c>
    </row>
    <row r="39" spans="2:10" x14ac:dyDescent="0.25">
      <c r="B39" s="569"/>
      <c r="C39" s="764" t="str">
        <f t="shared" si="11"/>
        <v/>
      </c>
      <c r="D39" s="355"/>
      <c r="E39" s="355"/>
      <c r="F39" s="765"/>
      <c r="G39" s="766" t="str">
        <f>+IF(ISBLANK(F39),"",IF(J39="Yes",F39,F39*(1+Economics!$AK$29)))</f>
        <v/>
      </c>
      <c r="I39" s="652"/>
      <c r="J39" s="355" t="str">
        <f t="shared" si="12"/>
        <v/>
      </c>
    </row>
    <row r="40" spans="2:10" x14ac:dyDescent="0.25">
      <c r="B40" s="569"/>
      <c r="C40" s="764" t="str">
        <f t="shared" ref="C40:C93" si="13">+IF(ISBLANK(B40),"",IFERROR(INDEX($T$3:$T$7,MATCH(B40,$S$3:$S$7,0)),""))</f>
        <v/>
      </c>
      <c r="D40" s="355"/>
      <c r="E40" s="355"/>
      <c r="F40" s="765"/>
      <c r="G40" s="766" t="str">
        <f>+IF(ISBLANK(F40),"",IF(J40="Yes",F40,F40*(1+Economics!$AK$29)))</f>
        <v/>
      </c>
      <c r="I40" s="652"/>
      <c r="J40" s="355" t="str">
        <f t="shared" ref="J40:J94" si="14">+IF(ISBLANK(I40),"",IF(ISNUMBER(FIND("Yes",I40)),"No","Yes"))</f>
        <v/>
      </c>
    </row>
    <row r="41" spans="2:10" x14ac:dyDescent="0.25">
      <c r="B41" s="569"/>
      <c r="C41" s="764" t="str">
        <f t="shared" si="13"/>
        <v/>
      </c>
      <c r="D41" s="355"/>
      <c r="E41" s="355"/>
      <c r="F41" s="765"/>
      <c r="G41" s="766" t="str">
        <f>+IF(ISBLANK(F41),"",IF(J41="Yes",F41,F41*(1+Economics!$AK$29)))</f>
        <v/>
      </c>
      <c r="I41" s="652"/>
      <c r="J41" s="355" t="str">
        <f t="shared" si="14"/>
        <v/>
      </c>
    </row>
    <row r="42" spans="2:10" x14ac:dyDescent="0.25">
      <c r="B42" s="569"/>
      <c r="C42" s="764" t="str">
        <f t="shared" si="13"/>
        <v/>
      </c>
      <c r="D42" s="355"/>
      <c r="E42" s="355"/>
      <c r="F42" s="765"/>
      <c r="G42" s="766" t="str">
        <f>+IF(ISBLANK(F42),"",IF(J42="Yes",F42,F42*(1+Economics!$AK$29)))</f>
        <v/>
      </c>
      <c r="I42" s="652"/>
      <c r="J42" s="355" t="str">
        <f t="shared" si="14"/>
        <v/>
      </c>
    </row>
    <row r="43" spans="2:10" x14ac:dyDescent="0.25">
      <c r="B43" s="569"/>
      <c r="C43" s="764" t="str">
        <f t="shared" si="13"/>
        <v/>
      </c>
      <c r="D43" s="355"/>
      <c r="E43" s="355"/>
      <c r="F43" s="765"/>
      <c r="G43" s="766" t="str">
        <f>+IF(ISBLANK(F43),"",IF(J43="Yes",F43,F43*(1+Economics!$AK$29)))</f>
        <v/>
      </c>
      <c r="I43" s="652"/>
      <c r="J43" s="355" t="str">
        <f t="shared" si="14"/>
        <v/>
      </c>
    </row>
    <row r="44" spans="2:10" x14ac:dyDescent="0.25">
      <c r="B44" s="569"/>
      <c r="C44" s="764" t="str">
        <f t="shared" si="13"/>
        <v/>
      </c>
      <c r="D44" s="355"/>
      <c r="E44" s="355"/>
      <c r="F44" s="765"/>
      <c r="G44" s="766" t="str">
        <f>+IF(ISBLANK(F44),"",IF(J44="Yes",F44,F44*(1+Economics!$AK$29)))</f>
        <v/>
      </c>
      <c r="I44" s="652"/>
      <c r="J44" s="355" t="str">
        <f t="shared" si="14"/>
        <v/>
      </c>
    </row>
    <row r="45" spans="2:10" x14ac:dyDescent="0.25">
      <c r="B45" s="569"/>
      <c r="C45" s="764" t="str">
        <f t="shared" si="13"/>
        <v/>
      </c>
      <c r="D45" s="355"/>
      <c r="E45" s="355"/>
      <c r="F45" s="765"/>
      <c r="G45" s="766" t="str">
        <f>+IF(ISBLANK(F45),"",IF(J45="Yes",F45,F45*(1+Economics!$AK$29)))</f>
        <v/>
      </c>
      <c r="I45" s="652"/>
      <c r="J45" s="355" t="str">
        <f t="shared" si="14"/>
        <v/>
      </c>
    </row>
    <row r="46" spans="2:10" x14ac:dyDescent="0.25">
      <c r="B46" s="569"/>
      <c r="C46" s="764" t="str">
        <f t="shared" si="13"/>
        <v/>
      </c>
      <c r="D46" s="355"/>
      <c r="E46" s="355"/>
      <c r="F46" s="765"/>
      <c r="G46" s="766" t="str">
        <f>+IF(ISBLANK(F46),"",IF(J46="Yes",F46,F46*(1+Economics!$AK$29)))</f>
        <v/>
      </c>
      <c r="I46" s="652"/>
      <c r="J46" s="355" t="str">
        <f t="shared" si="14"/>
        <v/>
      </c>
    </row>
    <row r="47" spans="2:10" x14ac:dyDescent="0.25">
      <c r="B47" s="569"/>
      <c r="C47" s="764" t="str">
        <f t="shared" si="13"/>
        <v/>
      </c>
      <c r="D47" s="355"/>
      <c r="E47" s="355"/>
      <c r="F47" s="765"/>
      <c r="G47" s="766" t="str">
        <f>+IF(ISBLANK(F47),"",IF(J47="Yes",F47,F47*(1+Economics!$AK$29)))</f>
        <v/>
      </c>
      <c r="I47" s="652"/>
      <c r="J47" s="355" t="str">
        <f t="shared" si="14"/>
        <v/>
      </c>
    </row>
    <row r="48" spans="2:10" x14ac:dyDescent="0.25">
      <c r="B48" s="569"/>
      <c r="C48" s="764" t="str">
        <f t="shared" si="13"/>
        <v/>
      </c>
      <c r="D48" s="355"/>
      <c r="E48" s="355"/>
      <c r="F48" s="765"/>
      <c r="G48" s="766" t="str">
        <f>+IF(ISBLANK(F48),"",IF(J48="Yes",F48,F48*(1+Economics!$AK$29)))</f>
        <v/>
      </c>
      <c r="I48" s="652"/>
      <c r="J48" s="355" t="str">
        <f t="shared" si="14"/>
        <v/>
      </c>
    </row>
    <row r="49" spans="2:10" x14ac:dyDescent="0.25">
      <c r="B49" s="569"/>
      <c r="C49" s="764" t="str">
        <f t="shared" si="13"/>
        <v/>
      </c>
      <c r="D49" s="355"/>
      <c r="E49" s="355"/>
      <c r="F49" s="765"/>
      <c r="G49" s="766" t="str">
        <f>+IF(ISBLANK(F49),"",IF(J49="Yes",F49,F49*(1+Economics!$AK$29)))</f>
        <v/>
      </c>
      <c r="I49" s="652"/>
      <c r="J49" s="355" t="str">
        <f t="shared" si="14"/>
        <v/>
      </c>
    </row>
    <row r="50" spans="2:10" x14ac:dyDescent="0.25">
      <c r="B50" s="569"/>
      <c r="C50" s="764" t="str">
        <f t="shared" si="13"/>
        <v/>
      </c>
      <c r="D50" s="355"/>
      <c r="E50" s="355"/>
      <c r="F50" s="765"/>
      <c r="G50" s="766" t="str">
        <f>+IF(ISBLANK(F50),"",IF(J50="Yes",F50,F50*(1+Economics!$AK$29)))</f>
        <v/>
      </c>
      <c r="I50" s="652"/>
      <c r="J50" s="355" t="str">
        <f t="shared" si="14"/>
        <v/>
      </c>
    </row>
    <row r="51" spans="2:10" x14ac:dyDescent="0.25">
      <c r="B51" s="569"/>
      <c r="C51" s="764" t="str">
        <f t="shared" si="13"/>
        <v/>
      </c>
      <c r="D51" s="355"/>
      <c r="E51" s="355"/>
      <c r="F51" s="765"/>
      <c r="G51" s="766" t="str">
        <f>+IF(ISBLANK(F51),"",IF(J51="Yes",F51,F51*(1+Economics!$AK$29)))</f>
        <v/>
      </c>
      <c r="I51" s="652"/>
      <c r="J51" s="355" t="str">
        <f t="shared" si="14"/>
        <v/>
      </c>
    </row>
    <row r="52" spans="2:10" x14ac:dyDescent="0.25">
      <c r="B52" s="569"/>
      <c r="C52" s="764" t="str">
        <f t="shared" si="13"/>
        <v/>
      </c>
      <c r="D52" s="355"/>
      <c r="E52" s="355"/>
      <c r="F52" s="765"/>
      <c r="G52" s="766" t="str">
        <f>+IF(ISBLANK(F52),"",IF(J52="Yes",F52,F52*(1+Economics!$AK$29)))</f>
        <v/>
      </c>
      <c r="I52" s="652"/>
      <c r="J52" s="355" t="str">
        <f t="shared" si="14"/>
        <v/>
      </c>
    </row>
    <row r="53" spans="2:10" x14ac:dyDescent="0.25">
      <c r="B53" s="527"/>
      <c r="C53" s="764" t="str">
        <f t="shared" si="13"/>
        <v/>
      </c>
      <c r="D53" s="355"/>
      <c r="E53" s="355"/>
      <c r="F53" s="765"/>
      <c r="G53" s="766" t="str">
        <f>+IF(ISBLANK(F53),"",IF(J53="Yes",F53,F53*(1+Economics!$AK$29)))</f>
        <v/>
      </c>
      <c r="I53" s="652"/>
      <c r="J53" s="355" t="str">
        <f t="shared" si="14"/>
        <v/>
      </c>
    </row>
    <row r="54" spans="2:10" x14ac:dyDescent="0.25">
      <c r="B54" s="569"/>
      <c r="C54" s="764" t="str">
        <f t="shared" si="13"/>
        <v/>
      </c>
      <c r="D54" s="355"/>
      <c r="E54" s="355"/>
      <c r="F54" s="765"/>
      <c r="G54" s="766" t="str">
        <f>+IF(ISBLANK(F54),"",IF(J54="Yes",F54,F54*(1+Economics!$AK$29)))</f>
        <v/>
      </c>
      <c r="I54" s="652"/>
      <c r="J54" s="355" t="str">
        <f t="shared" si="14"/>
        <v/>
      </c>
    </row>
    <row r="55" spans="2:10" x14ac:dyDescent="0.25">
      <c r="B55" s="527"/>
      <c r="C55" s="764" t="str">
        <f t="shared" si="13"/>
        <v/>
      </c>
      <c r="D55" s="355"/>
      <c r="E55" s="355"/>
      <c r="F55" s="765"/>
      <c r="G55" s="766" t="str">
        <f>+IF(ISBLANK(F55),"",IF(J55="Yes",F55,F55*(1+Economics!$AK$29)))</f>
        <v/>
      </c>
      <c r="I55" s="652"/>
      <c r="J55" s="355" t="str">
        <f t="shared" si="14"/>
        <v/>
      </c>
    </row>
    <row r="56" spans="2:10" x14ac:dyDescent="0.25">
      <c r="B56" s="569"/>
      <c r="C56" s="764" t="str">
        <f t="shared" si="13"/>
        <v/>
      </c>
      <c r="D56" s="355"/>
      <c r="E56" s="355"/>
      <c r="F56" s="765"/>
      <c r="G56" s="766" t="str">
        <f>+IF(ISBLANK(F56),"",IF(J56="Yes",F56,F56*(1+Economics!$AK$29)))</f>
        <v/>
      </c>
      <c r="I56" s="652"/>
      <c r="J56" s="355" t="str">
        <f t="shared" si="14"/>
        <v/>
      </c>
    </row>
    <row r="57" spans="2:10" x14ac:dyDescent="0.25">
      <c r="B57" s="569"/>
      <c r="C57" s="764" t="str">
        <f t="shared" si="13"/>
        <v/>
      </c>
      <c r="D57" s="355"/>
      <c r="E57" s="355"/>
      <c r="F57" s="765"/>
      <c r="G57" s="766" t="str">
        <f>+IF(ISBLANK(F57),"",IF(J57="Yes",F57,F57*(1+Economics!$AK$29)))</f>
        <v/>
      </c>
      <c r="I57" s="652"/>
      <c r="J57" s="355" t="str">
        <f t="shared" si="14"/>
        <v/>
      </c>
    </row>
    <row r="58" spans="2:10" x14ac:dyDescent="0.25">
      <c r="B58" s="569"/>
      <c r="C58" s="764" t="str">
        <f t="shared" si="13"/>
        <v/>
      </c>
      <c r="D58" s="355"/>
      <c r="E58" s="355"/>
      <c r="F58" s="765"/>
      <c r="G58" s="766" t="str">
        <f>+IF(ISBLANK(F58),"",IF(J58="Yes",F58,F58*(1+Economics!$AK$29)))</f>
        <v/>
      </c>
      <c r="I58" s="652"/>
      <c r="J58" s="355" t="str">
        <f t="shared" si="14"/>
        <v/>
      </c>
    </row>
    <row r="59" spans="2:10" x14ac:dyDescent="0.25">
      <c r="B59" s="569"/>
      <c r="C59" s="764" t="str">
        <f t="shared" si="13"/>
        <v/>
      </c>
      <c r="D59" s="355"/>
      <c r="E59" s="355"/>
      <c r="F59" s="765"/>
      <c r="G59" s="766" t="str">
        <f>+IF(ISBLANK(F59),"",IF(J59="Yes",F59,F59*(1+Economics!$AK$29)))</f>
        <v/>
      </c>
      <c r="I59" s="652"/>
      <c r="J59" s="355" t="str">
        <f t="shared" si="14"/>
        <v/>
      </c>
    </row>
    <row r="60" spans="2:10" x14ac:dyDescent="0.25">
      <c r="B60" s="569"/>
      <c r="C60" s="764" t="str">
        <f t="shared" si="13"/>
        <v/>
      </c>
      <c r="D60" s="355"/>
      <c r="E60" s="355"/>
      <c r="F60" s="765"/>
      <c r="G60" s="766" t="str">
        <f>+IF(ISBLANK(F60),"",IF(J60="Yes",F60,F60*(1+Economics!$AK$29)))</f>
        <v/>
      </c>
      <c r="I60" s="652"/>
      <c r="J60" s="355" t="str">
        <f t="shared" si="14"/>
        <v/>
      </c>
    </row>
    <row r="61" spans="2:10" x14ac:dyDescent="0.25">
      <c r="B61" s="569"/>
      <c r="C61" s="764" t="str">
        <f t="shared" si="13"/>
        <v/>
      </c>
      <c r="D61" s="355"/>
      <c r="E61" s="355"/>
      <c r="F61" s="765"/>
      <c r="G61" s="766" t="str">
        <f>+IF(ISBLANK(F61),"",IF(J61="Yes",F61,F61*(1+Economics!$AK$29)))</f>
        <v/>
      </c>
      <c r="I61" s="652"/>
      <c r="J61" s="355" t="str">
        <f t="shared" si="14"/>
        <v/>
      </c>
    </row>
    <row r="62" spans="2:10" x14ac:dyDescent="0.25">
      <c r="B62" s="569"/>
      <c r="C62" s="764" t="str">
        <f t="shared" si="13"/>
        <v/>
      </c>
      <c r="D62" s="355"/>
      <c r="E62" s="355"/>
      <c r="F62" s="765"/>
      <c r="G62" s="766" t="str">
        <f>+IF(ISBLANK(F62),"",IF(J62="Yes",F62,F62*(1+Economics!$AK$29)))</f>
        <v/>
      </c>
      <c r="I62" s="652"/>
      <c r="J62" s="355" t="str">
        <f t="shared" si="14"/>
        <v/>
      </c>
    </row>
    <row r="63" spans="2:10" x14ac:dyDescent="0.25">
      <c r="B63" s="569"/>
      <c r="C63" s="764" t="str">
        <f t="shared" si="13"/>
        <v/>
      </c>
      <c r="D63" s="355"/>
      <c r="E63" s="355"/>
      <c r="F63" s="765"/>
      <c r="G63" s="766" t="str">
        <f>+IF(ISBLANK(F63),"",IF(J63="Yes",F63,F63*(1+Economics!$AK$29)))</f>
        <v/>
      </c>
      <c r="I63" s="652"/>
      <c r="J63" s="355" t="str">
        <f t="shared" si="14"/>
        <v/>
      </c>
    </row>
    <row r="64" spans="2:10" x14ac:dyDescent="0.25">
      <c r="B64" s="569"/>
      <c r="C64" s="764" t="str">
        <f t="shared" si="13"/>
        <v/>
      </c>
      <c r="D64" s="355"/>
      <c r="E64" s="355"/>
      <c r="F64" s="765"/>
      <c r="G64" s="766" t="str">
        <f>+IF(ISBLANK(F64),"",IF(J64="Yes",F64,F64*(1+Economics!$AK$29)))</f>
        <v/>
      </c>
      <c r="I64" s="652"/>
      <c r="J64" s="355" t="str">
        <f t="shared" si="14"/>
        <v/>
      </c>
    </row>
    <row r="65" spans="2:10" x14ac:dyDescent="0.25">
      <c r="B65" s="569"/>
      <c r="C65" s="764" t="str">
        <f t="shared" si="13"/>
        <v/>
      </c>
      <c r="D65" s="355"/>
      <c r="E65" s="355"/>
      <c r="F65" s="765"/>
      <c r="G65" s="766" t="str">
        <f>+IF(ISBLANK(F65),"",IF(J65="Yes",F65,F65*(1+Economics!$AK$29)))</f>
        <v/>
      </c>
      <c r="I65" s="652"/>
      <c r="J65" s="355" t="str">
        <f t="shared" si="14"/>
        <v/>
      </c>
    </row>
    <row r="66" spans="2:10" x14ac:dyDescent="0.25">
      <c r="B66" s="569"/>
      <c r="C66" s="764" t="str">
        <f t="shared" si="13"/>
        <v/>
      </c>
      <c r="D66" s="355"/>
      <c r="E66" s="355"/>
      <c r="F66" s="765"/>
      <c r="G66" s="766" t="str">
        <f>+IF(ISBLANK(F66),"",IF(J66="Yes",F66,F66*(1+Economics!$AK$29)))</f>
        <v/>
      </c>
      <c r="I66" s="652"/>
      <c r="J66" s="355" t="str">
        <f t="shared" si="14"/>
        <v/>
      </c>
    </row>
    <row r="67" spans="2:10" x14ac:dyDescent="0.25">
      <c r="B67" s="569"/>
      <c r="C67" s="764" t="str">
        <f t="shared" si="13"/>
        <v/>
      </c>
      <c r="D67" s="355"/>
      <c r="E67" s="355"/>
      <c r="F67" s="765"/>
      <c r="G67" s="766" t="str">
        <f>+IF(ISBLANK(F67),"",IF(J67="Yes",F67,F67*(1+Economics!$AK$29)))</f>
        <v/>
      </c>
      <c r="I67" s="652"/>
      <c r="J67" s="355" t="str">
        <f t="shared" si="14"/>
        <v/>
      </c>
    </row>
    <row r="68" spans="2:10" x14ac:dyDescent="0.25">
      <c r="B68" s="569"/>
      <c r="C68" s="764" t="str">
        <f t="shared" si="13"/>
        <v/>
      </c>
      <c r="D68" s="355"/>
      <c r="E68" s="355"/>
      <c r="F68" s="765"/>
      <c r="G68" s="766" t="str">
        <f>+IF(ISBLANK(F68),"",IF(J68="Yes",F68,F68*(1+Economics!$AK$29)))</f>
        <v/>
      </c>
      <c r="I68" s="652"/>
      <c r="J68" s="355" t="str">
        <f t="shared" si="14"/>
        <v/>
      </c>
    </row>
    <row r="69" spans="2:10" x14ac:dyDescent="0.25">
      <c r="B69" s="569"/>
      <c r="C69" s="764" t="str">
        <f t="shared" si="13"/>
        <v/>
      </c>
      <c r="D69" s="355"/>
      <c r="E69" s="355"/>
      <c r="F69" s="765"/>
      <c r="G69" s="766" t="str">
        <f>+IF(ISBLANK(F69),"",IF(J69="Yes",F69,F69*(1+Economics!$AK$29)))</f>
        <v/>
      </c>
      <c r="I69" s="652"/>
      <c r="J69" s="355" t="str">
        <f t="shared" si="14"/>
        <v/>
      </c>
    </row>
    <row r="70" spans="2:10" x14ac:dyDescent="0.25">
      <c r="B70" s="527"/>
      <c r="C70" s="764" t="str">
        <f t="shared" si="13"/>
        <v/>
      </c>
      <c r="D70" s="355"/>
      <c r="E70" s="355"/>
      <c r="F70" s="765"/>
      <c r="G70" s="766" t="str">
        <f>+IF(ISBLANK(F70),"",IF(J70="Yes",F70,F70*(1+Economics!$AK$29)))</f>
        <v/>
      </c>
      <c r="I70" s="652"/>
      <c r="J70" s="355" t="str">
        <f t="shared" si="14"/>
        <v/>
      </c>
    </row>
    <row r="71" spans="2:10" x14ac:dyDescent="0.25">
      <c r="B71" s="569"/>
      <c r="C71" s="764" t="str">
        <f t="shared" si="13"/>
        <v/>
      </c>
      <c r="D71" s="355"/>
      <c r="E71" s="355"/>
      <c r="F71" s="765"/>
      <c r="G71" s="766" t="str">
        <f>+IF(ISBLANK(F71),"",IF(J71="Yes",F71,F71*(1+Economics!$AK$29)))</f>
        <v/>
      </c>
      <c r="I71" s="652"/>
      <c r="J71" s="355" t="str">
        <f t="shared" si="14"/>
        <v/>
      </c>
    </row>
    <row r="72" spans="2:10" x14ac:dyDescent="0.25">
      <c r="B72" s="527"/>
      <c r="C72" s="764" t="str">
        <f t="shared" si="13"/>
        <v/>
      </c>
      <c r="D72" s="355"/>
      <c r="E72" s="355"/>
      <c r="F72" s="765"/>
      <c r="G72" s="766" t="str">
        <f>+IF(ISBLANK(F72),"",IF(J72="Yes",F72,F72*(1+Economics!$AK$29)))</f>
        <v/>
      </c>
      <c r="I72" s="652"/>
      <c r="J72" s="355" t="str">
        <f t="shared" si="14"/>
        <v/>
      </c>
    </row>
    <row r="73" spans="2:10" x14ac:dyDescent="0.25">
      <c r="B73" s="569"/>
      <c r="C73" s="764" t="str">
        <f t="shared" si="13"/>
        <v/>
      </c>
      <c r="D73" s="355"/>
      <c r="E73" s="355"/>
      <c r="F73" s="765"/>
      <c r="G73" s="766" t="str">
        <f>+IF(ISBLANK(F73),"",IF(J73="Yes",F73,F73*(1+Economics!$AK$29)))</f>
        <v/>
      </c>
      <c r="I73" s="652"/>
      <c r="J73" s="355" t="str">
        <f t="shared" si="14"/>
        <v/>
      </c>
    </row>
    <row r="74" spans="2:10" x14ac:dyDescent="0.25">
      <c r="B74" s="569"/>
      <c r="C74" s="764" t="str">
        <f t="shared" si="13"/>
        <v/>
      </c>
      <c r="D74" s="355"/>
      <c r="E74" s="355"/>
      <c r="F74" s="765"/>
      <c r="G74" s="766" t="str">
        <f>+IF(ISBLANK(F74),"",IF(J74="Yes",F74,F74*(1+Economics!$AK$29)))</f>
        <v/>
      </c>
      <c r="I74" s="652"/>
      <c r="J74" s="355" t="str">
        <f t="shared" si="14"/>
        <v/>
      </c>
    </row>
    <row r="75" spans="2:10" x14ac:dyDescent="0.25">
      <c r="B75" s="569"/>
      <c r="C75" s="764" t="str">
        <f t="shared" si="13"/>
        <v/>
      </c>
      <c r="D75" s="355"/>
      <c r="E75" s="355"/>
      <c r="F75" s="765"/>
      <c r="G75" s="766" t="str">
        <f>+IF(ISBLANK(F75),"",IF(J75="Yes",F75,F75*(1+Economics!$AK$29)))</f>
        <v/>
      </c>
      <c r="I75" s="652"/>
      <c r="J75" s="355" t="str">
        <f t="shared" si="14"/>
        <v/>
      </c>
    </row>
    <row r="76" spans="2:10" x14ac:dyDescent="0.25">
      <c r="B76" s="569"/>
      <c r="C76" s="764" t="str">
        <f t="shared" si="13"/>
        <v/>
      </c>
      <c r="D76" s="355"/>
      <c r="E76" s="355"/>
      <c r="F76" s="765"/>
      <c r="G76" s="766" t="str">
        <f>+IF(ISBLANK(F76),"",IF(J76="Yes",F76,F76*(1+Economics!$AK$29)))</f>
        <v/>
      </c>
      <c r="I76" s="652"/>
      <c r="J76" s="355" t="str">
        <f t="shared" si="14"/>
        <v/>
      </c>
    </row>
    <row r="77" spans="2:10" x14ac:dyDescent="0.25">
      <c r="B77" s="569"/>
      <c r="C77" s="764" t="str">
        <f t="shared" si="13"/>
        <v/>
      </c>
      <c r="D77" s="355"/>
      <c r="E77" s="355"/>
      <c r="F77" s="765"/>
      <c r="G77" s="766" t="str">
        <f>+IF(ISBLANK(F77),"",IF(J77="Yes",F77,F77*(1+Economics!$AK$29)))</f>
        <v/>
      </c>
      <c r="I77" s="652"/>
      <c r="J77" s="355" t="str">
        <f t="shared" si="14"/>
        <v/>
      </c>
    </row>
    <row r="78" spans="2:10" x14ac:dyDescent="0.25">
      <c r="B78" s="569"/>
      <c r="C78" s="764" t="str">
        <f t="shared" si="13"/>
        <v/>
      </c>
      <c r="D78" s="355"/>
      <c r="E78" s="355"/>
      <c r="F78" s="765"/>
      <c r="G78" s="766" t="str">
        <f>+IF(ISBLANK(F78),"",IF(J78="Yes",F78,F78*(1+Economics!$AK$29)))</f>
        <v/>
      </c>
      <c r="I78" s="652"/>
      <c r="J78" s="355" t="str">
        <f t="shared" si="14"/>
        <v/>
      </c>
    </row>
    <row r="79" spans="2:10" x14ac:dyDescent="0.25">
      <c r="B79" s="569"/>
      <c r="C79" s="764" t="str">
        <f t="shared" si="13"/>
        <v/>
      </c>
      <c r="D79" s="355"/>
      <c r="E79" s="355"/>
      <c r="F79" s="765"/>
      <c r="G79" s="766" t="str">
        <f>+IF(ISBLANK(F79),"",IF(J79="Yes",F79,F79*(1+Economics!$AK$29)))</f>
        <v/>
      </c>
      <c r="I79" s="652"/>
      <c r="J79" s="355" t="str">
        <f t="shared" si="14"/>
        <v/>
      </c>
    </row>
    <row r="80" spans="2:10" x14ac:dyDescent="0.25">
      <c r="B80" s="569"/>
      <c r="C80" s="764" t="str">
        <f t="shared" si="13"/>
        <v/>
      </c>
      <c r="D80" s="355"/>
      <c r="E80" s="355"/>
      <c r="F80" s="765"/>
      <c r="G80" s="766" t="str">
        <f>+IF(ISBLANK(F80),"",IF(J80="Yes",F80,F80*(1+Economics!$AK$29)))</f>
        <v/>
      </c>
      <c r="I80" s="652"/>
      <c r="J80" s="355" t="str">
        <f t="shared" si="14"/>
        <v/>
      </c>
    </row>
    <row r="81" spans="2:10" x14ac:dyDescent="0.25">
      <c r="B81" s="569"/>
      <c r="C81" s="764" t="str">
        <f t="shared" si="13"/>
        <v/>
      </c>
      <c r="D81" s="355"/>
      <c r="E81" s="355"/>
      <c r="F81" s="765"/>
      <c r="G81" s="766" t="str">
        <f>+IF(ISBLANK(F81),"",IF(J81="Yes",F81,F81*(1+Economics!$AK$29)))</f>
        <v/>
      </c>
      <c r="I81" s="652"/>
      <c r="J81" s="355" t="str">
        <f t="shared" si="14"/>
        <v/>
      </c>
    </row>
    <row r="82" spans="2:10" x14ac:dyDescent="0.25">
      <c r="B82" s="569"/>
      <c r="C82" s="764" t="str">
        <f t="shared" si="13"/>
        <v/>
      </c>
      <c r="D82" s="355"/>
      <c r="E82" s="355"/>
      <c r="F82" s="765"/>
      <c r="G82" s="766" t="str">
        <f>+IF(ISBLANK(F82),"",IF(J82="Yes",F82,F82*(1+Economics!$AK$29)))</f>
        <v/>
      </c>
      <c r="I82" s="652"/>
      <c r="J82" s="355" t="str">
        <f t="shared" si="14"/>
        <v/>
      </c>
    </row>
    <row r="83" spans="2:10" x14ac:dyDescent="0.25">
      <c r="B83" s="569"/>
      <c r="C83" s="764" t="str">
        <f t="shared" si="13"/>
        <v/>
      </c>
      <c r="D83" s="355"/>
      <c r="E83" s="355"/>
      <c r="F83" s="765"/>
      <c r="G83" s="766" t="str">
        <f>+IF(ISBLANK(F83),"",IF(J83="Yes",F83,F83*(1+Economics!$AK$29)))</f>
        <v/>
      </c>
      <c r="I83" s="652"/>
      <c r="J83" s="355" t="str">
        <f t="shared" si="14"/>
        <v/>
      </c>
    </row>
    <row r="84" spans="2:10" x14ac:dyDescent="0.25">
      <c r="B84" s="569"/>
      <c r="C84" s="764" t="str">
        <f t="shared" si="13"/>
        <v/>
      </c>
      <c r="D84" s="355"/>
      <c r="E84" s="355"/>
      <c r="F84" s="765"/>
      <c r="G84" s="766" t="str">
        <f>+IF(ISBLANK(F84),"",IF(J84="Yes",F84,F84*(1+Economics!$AK$29)))</f>
        <v/>
      </c>
      <c r="I84" s="652"/>
      <c r="J84" s="355" t="str">
        <f t="shared" si="14"/>
        <v/>
      </c>
    </row>
    <row r="85" spans="2:10" x14ac:dyDescent="0.25">
      <c r="B85" s="569"/>
      <c r="C85" s="764" t="str">
        <f t="shared" si="13"/>
        <v/>
      </c>
      <c r="D85" s="355"/>
      <c r="E85" s="355"/>
      <c r="F85" s="765"/>
      <c r="G85" s="766" t="str">
        <f>+IF(ISBLANK(F85),"",IF(J85="Yes",F85,F85*(1+Economics!$AK$29)))</f>
        <v/>
      </c>
      <c r="I85" s="652"/>
      <c r="J85" s="355" t="str">
        <f t="shared" si="14"/>
        <v/>
      </c>
    </row>
    <row r="86" spans="2:10" x14ac:dyDescent="0.25">
      <c r="B86" s="569"/>
      <c r="C86" s="764" t="str">
        <f t="shared" si="13"/>
        <v/>
      </c>
      <c r="D86" s="355"/>
      <c r="E86" s="355"/>
      <c r="F86" s="765"/>
      <c r="G86" s="766" t="str">
        <f>+IF(ISBLANK(F86),"",IF(J86="Yes",F86,F86*(1+Economics!$AK$29)))</f>
        <v/>
      </c>
      <c r="I86" s="652"/>
      <c r="J86" s="355" t="str">
        <f t="shared" si="14"/>
        <v/>
      </c>
    </row>
    <row r="87" spans="2:10" x14ac:dyDescent="0.25">
      <c r="B87" s="527"/>
      <c r="C87" s="764" t="str">
        <f t="shared" si="13"/>
        <v/>
      </c>
      <c r="D87" s="355"/>
      <c r="E87" s="355"/>
      <c r="F87" s="765"/>
      <c r="G87" s="766" t="str">
        <f>+IF(ISBLANK(F87),"",IF(J87="Yes",F87,F87*(1+Economics!$AK$29)))</f>
        <v/>
      </c>
      <c r="I87" s="652"/>
      <c r="J87" s="355" t="str">
        <f t="shared" si="14"/>
        <v/>
      </c>
    </row>
    <row r="88" spans="2:10" x14ac:dyDescent="0.25">
      <c r="B88" s="569"/>
      <c r="C88" s="764" t="str">
        <f t="shared" si="13"/>
        <v/>
      </c>
      <c r="D88" s="355"/>
      <c r="E88" s="355"/>
      <c r="F88" s="765"/>
      <c r="G88" s="766" t="str">
        <f>+IF(ISBLANK(F88),"",IF(J88="Yes",F88,F88*(1+Economics!$AK$29)))</f>
        <v/>
      </c>
      <c r="I88" s="652"/>
      <c r="J88" s="355" t="str">
        <f t="shared" si="14"/>
        <v/>
      </c>
    </row>
    <row r="89" spans="2:10" x14ac:dyDescent="0.25">
      <c r="B89" s="527"/>
      <c r="C89" s="764" t="str">
        <f t="shared" si="13"/>
        <v/>
      </c>
      <c r="D89" s="355"/>
      <c r="E89" s="355"/>
      <c r="F89" s="765"/>
      <c r="G89" s="766" t="str">
        <f>+IF(ISBLANK(F89),"",IF(J89="Yes",F89,F89*(1+Economics!$AK$29)))</f>
        <v/>
      </c>
      <c r="I89" s="652"/>
      <c r="J89" s="355" t="str">
        <f t="shared" si="14"/>
        <v/>
      </c>
    </row>
    <row r="90" spans="2:10" x14ac:dyDescent="0.25">
      <c r="B90" s="569"/>
      <c r="C90" s="764" t="str">
        <f t="shared" si="13"/>
        <v/>
      </c>
      <c r="D90" s="355"/>
      <c r="E90" s="355"/>
      <c r="F90" s="765"/>
      <c r="G90" s="766" t="str">
        <f>+IF(ISBLANK(F90),"",IF(J90="Yes",F90,F90*(1+Economics!$AK$29)))</f>
        <v/>
      </c>
      <c r="I90" s="652"/>
      <c r="J90" s="355" t="str">
        <f t="shared" si="14"/>
        <v/>
      </c>
    </row>
    <row r="91" spans="2:10" x14ac:dyDescent="0.25">
      <c r="B91" s="569"/>
      <c r="C91" s="764" t="str">
        <f t="shared" si="13"/>
        <v/>
      </c>
      <c r="D91" s="355"/>
      <c r="E91" s="355"/>
      <c r="F91" s="765"/>
      <c r="G91" s="766" t="str">
        <f>+IF(ISBLANK(F91),"",IF(J91="Yes",F91,F91*(1+Economics!$AK$29)))</f>
        <v/>
      </c>
      <c r="I91" s="652"/>
      <c r="J91" s="355" t="str">
        <f t="shared" si="14"/>
        <v/>
      </c>
    </row>
    <row r="92" spans="2:10" x14ac:dyDescent="0.25">
      <c r="B92" s="569"/>
      <c r="C92" s="764" t="str">
        <f t="shared" si="13"/>
        <v/>
      </c>
      <c r="D92" s="355"/>
      <c r="E92" s="355"/>
      <c r="F92" s="765"/>
      <c r="G92" s="766" t="str">
        <f>+IF(ISBLANK(F92),"",IF(J92="Yes",F92,F92*(1+Economics!$AK$29)))</f>
        <v/>
      </c>
      <c r="I92" s="652"/>
      <c r="J92" s="355" t="str">
        <f t="shared" si="14"/>
        <v/>
      </c>
    </row>
    <row r="93" spans="2:10" x14ac:dyDescent="0.25">
      <c r="B93" s="569"/>
      <c r="C93" s="764" t="str">
        <f t="shared" si="13"/>
        <v/>
      </c>
      <c r="D93" s="355"/>
      <c r="E93" s="355"/>
      <c r="F93" s="765"/>
      <c r="G93" s="766" t="str">
        <f>+IF(ISBLANK(F93),"",IF(J93="Yes",F93,F93*(1+Economics!$AK$29)))</f>
        <v/>
      </c>
      <c r="I93" s="652"/>
      <c r="J93" s="355" t="str">
        <f t="shared" si="14"/>
        <v/>
      </c>
    </row>
    <row r="94" spans="2:10" x14ac:dyDescent="0.25">
      <c r="B94" s="569"/>
      <c r="C94" s="764" t="str">
        <f t="shared" ref="C94:C157" si="15">+IF(ISBLANK(B94),"",IFERROR(INDEX($T$3:$T$7,MATCH(B94,$S$3:$S$7,0)),""))</f>
        <v/>
      </c>
      <c r="D94" s="355"/>
      <c r="E94" s="355"/>
      <c r="F94" s="765"/>
      <c r="G94" s="766" t="str">
        <f>+IF(ISBLANK(F94),"",IF(J94="Yes",F94,F94*(1+Economics!$AK$29)))</f>
        <v/>
      </c>
      <c r="I94" s="652"/>
      <c r="J94" s="355" t="str">
        <f t="shared" si="14"/>
        <v/>
      </c>
    </row>
    <row r="95" spans="2:10" x14ac:dyDescent="0.25">
      <c r="B95" s="569"/>
      <c r="C95" s="764" t="str">
        <f t="shared" si="15"/>
        <v/>
      </c>
      <c r="D95" s="355"/>
      <c r="E95" s="355"/>
      <c r="F95" s="765"/>
      <c r="G95" s="766" t="str">
        <f>+IF(ISBLANK(F95),"",IF(J95="Yes",F95,F95*(1+Economics!$AK$29)))</f>
        <v/>
      </c>
      <c r="I95" s="652"/>
      <c r="J95" s="355" t="str">
        <f t="shared" ref="J95:J158" si="16">+IF(ISBLANK(I95),"",IF(ISNUMBER(FIND("Yes",I95)),"No","Yes"))</f>
        <v/>
      </c>
    </row>
    <row r="96" spans="2:10" x14ac:dyDescent="0.25">
      <c r="B96" s="569"/>
      <c r="C96" s="764" t="str">
        <f t="shared" si="15"/>
        <v/>
      </c>
      <c r="D96" s="355"/>
      <c r="E96" s="355"/>
      <c r="F96" s="765"/>
      <c r="G96" s="766" t="str">
        <f>+IF(ISBLANK(F96),"",IF(J96="Yes",F96,F96*(1+Economics!$AK$29)))</f>
        <v/>
      </c>
      <c r="I96" s="652"/>
      <c r="J96" s="355" t="str">
        <f t="shared" si="16"/>
        <v/>
      </c>
    </row>
    <row r="97" spans="2:10" x14ac:dyDescent="0.25">
      <c r="B97" s="569"/>
      <c r="C97" s="764" t="str">
        <f t="shared" si="15"/>
        <v/>
      </c>
      <c r="D97" s="355"/>
      <c r="E97" s="355"/>
      <c r="F97" s="765"/>
      <c r="G97" s="766" t="str">
        <f>+IF(ISBLANK(F97),"",IF(J97="Yes",F97,F97*(1+Economics!$AK$29)))</f>
        <v/>
      </c>
      <c r="I97" s="652"/>
      <c r="J97" s="355" t="str">
        <f t="shared" si="16"/>
        <v/>
      </c>
    </row>
    <row r="98" spans="2:10" x14ac:dyDescent="0.25">
      <c r="B98" s="527"/>
      <c r="C98" s="764" t="str">
        <f t="shared" si="15"/>
        <v/>
      </c>
      <c r="D98" s="355"/>
      <c r="E98" s="355"/>
      <c r="F98" s="765"/>
      <c r="G98" s="766" t="str">
        <f>+IF(ISBLANK(F98),"",IF(J98="Yes",F98,F98*(1+Economics!$AK$29)))</f>
        <v/>
      </c>
      <c r="I98" s="652"/>
      <c r="J98" s="355" t="str">
        <f t="shared" si="16"/>
        <v/>
      </c>
    </row>
    <row r="99" spans="2:10" x14ac:dyDescent="0.25">
      <c r="B99" s="569"/>
      <c r="C99" s="764" t="str">
        <f t="shared" si="15"/>
        <v/>
      </c>
      <c r="D99" s="355"/>
      <c r="E99" s="355"/>
      <c r="F99" s="765"/>
      <c r="G99" s="766" t="str">
        <f>+IF(ISBLANK(F99),"",IF(J99="Yes",F99,F99*(1+Economics!$AK$29)))</f>
        <v/>
      </c>
      <c r="I99" s="652"/>
      <c r="J99" s="355" t="str">
        <f t="shared" si="16"/>
        <v/>
      </c>
    </row>
    <row r="100" spans="2:10" x14ac:dyDescent="0.25">
      <c r="B100" s="569"/>
      <c r="C100" s="764" t="str">
        <f t="shared" si="15"/>
        <v/>
      </c>
      <c r="D100" s="355"/>
      <c r="E100" s="355"/>
      <c r="F100" s="765"/>
      <c r="G100" s="766" t="str">
        <f>+IF(ISBLANK(F100),"",IF(J100="Yes",F100,F100*(1+Economics!$AK$29)))</f>
        <v/>
      </c>
      <c r="I100" s="652"/>
      <c r="J100" s="355" t="str">
        <f t="shared" si="16"/>
        <v/>
      </c>
    </row>
    <row r="101" spans="2:10" x14ac:dyDescent="0.25">
      <c r="B101" s="569"/>
      <c r="C101" s="764" t="str">
        <f t="shared" si="15"/>
        <v/>
      </c>
      <c r="D101" s="355"/>
      <c r="E101" s="355"/>
      <c r="F101" s="765"/>
      <c r="G101" s="766" t="str">
        <f>+IF(ISBLANK(F101),"",IF(J101="Yes",F101,F101*(1+Economics!$AK$29)))</f>
        <v/>
      </c>
      <c r="I101" s="652"/>
      <c r="J101" s="355" t="str">
        <f t="shared" si="16"/>
        <v/>
      </c>
    </row>
    <row r="102" spans="2:10" x14ac:dyDescent="0.25">
      <c r="B102" s="569"/>
      <c r="C102" s="764" t="str">
        <f t="shared" si="15"/>
        <v/>
      </c>
      <c r="D102" s="355"/>
      <c r="E102" s="355"/>
      <c r="F102" s="765"/>
      <c r="G102" s="766" t="str">
        <f>+IF(ISBLANK(F102),"",IF(J102="Yes",F102,F102*(1+Economics!$AK$29)))</f>
        <v/>
      </c>
      <c r="I102" s="652"/>
      <c r="J102" s="355" t="str">
        <f t="shared" si="16"/>
        <v/>
      </c>
    </row>
    <row r="103" spans="2:10" x14ac:dyDescent="0.25">
      <c r="B103" s="569"/>
      <c r="C103" s="764" t="str">
        <f t="shared" si="15"/>
        <v/>
      </c>
      <c r="D103" s="355"/>
      <c r="E103" s="355"/>
      <c r="F103" s="765"/>
      <c r="G103" s="766" t="str">
        <f>+IF(ISBLANK(F103),"",IF(J103="Yes",F103,F103*(1+Economics!$AK$29)))</f>
        <v/>
      </c>
      <c r="I103" s="652"/>
      <c r="J103" s="355" t="str">
        <f t="shared" si="16"/>
        <v/>
      </c>
    </row>
    <row r="104" spans="2:10" x14ac:dyDescent="0.25">
      <c r="B104" s="569"/>
      <c r="C104" s="764" t="str">
        <f t="shared" si="15"/>
        <v/>
      </c>
      <c r="D104" s="355"/>
      <c r="E104" s="355"/>
      <c r="F104" s="765"/>
      <c r="G104" s="766" t="str">
        <f>+IF(ISBLANK(F104),"",IF(J104="Yes",F104,F104*(1+Economics!$AK$29)))</f>
        <v/>
      </c>
      <c r="I104" s="652"/>
      <c r="J104" s="355" t="str">
        <f t="shared" si="16"/>
        <v/>
      </c>
    </row>
    <row r="105" spans="2:10" x14ac:dyDescent="0.25">
      <c r="B105" s="569"/>
      <c r="C105" s="764" t="str">
        <f t="shared" si="15"/>
        <v/>
      </c>
      <c r="D105" s="355"/>
      <c r="E105" s="355"/>
      <c r="F105" s="765"/>
      <c r="G105" s="766" t="str">
        <f>+IF(ISBLANK(F105),"",IF(J105="Yes",F105,F105*(1+Economics!$AK$29)))</f>
        <v/>
      </c>
      <c r="I105" s="652"/>
      <c r="J105" s="355" t="str">
        <f t="shared" si="16"/>
        <v/>
      </c>
    </row>
    <row r="106" spans="2:10" x14ac:dyDescent="0.25">
      <c r="B106" s="569"/>
      <c r="C106" s="764" t="str">
        <f t="shared" si="15"/>
        <v/>
      </c>
      <c r="D106" s="355"/>
      <c r="E106" s="355"/>
      <c r="F106" s="765"/>
      <c r="G106" s="766" t="str">
        <f>+IF(ISBLANK(F106),"",IF(J106="Yes",F106,F106*(1+Economics!$AK$29)))</f>
        <v/>
      </c>
      <c r="I106" s="652"/>
      <c r="J106" s="355" t="str">
        <f t="shared" si="16"/>
        <v/>
      </c>
    </row>
    <row r="107" spans="2:10" x14ac:dyDescent="0.25">
      <c r="B107" s="569"/>
      <c r="C107" s="764" t="str">
        <f t="shared" si="15"/>
        <v/>
      </c>
      <c r="D107" s="355"/>
      <c r="E107" s="355"/>
      <c r="F107" s="765"/>
      <c r="G107" s="766" t="str">
        <f>+IF(ISBLANK(F107),"",IF(J107="Yes",F107,F107*(1+Economics!$AK$29)))</f>
        <v/>
      </c>
      <c r="I107" s="652"/>
      <c r="J107" s="355" t="str">
        <f t="shared" si="16"/>
        <v/>
      </c>
    </row>
    <row r="108" spans="2:10" x14ac:dyDescent="0.25">
      <c r="B108" s="569"/>
      <c r="C108" s="764" t="str">
        <f t="shared" si="15"/>
        <v/>
      </c>
      <c r="D108" s="355"/>
      <c r="E108" s="355"/>
      <c r="F108" s="765"/>
      <c r="G108" s="766" t="str">
        <f>+IF(ISBLANK(F108),"",IF(J108="Yes",F108,F108*(1+Economics!$AK$29)))</f>
        <v/>
      </c>
      <c r="I108" s="652"/>
      <c r="J108" s="355" t="str">
        <f t="shared" si="16"/>
        <v/>
      </c>
    </row>
    <row r="109" spans="2:10" x14ac:dyDescent="0.25">
      <c r="B109" s="569"/>
      <c r="C109" s="764" t="str">
        <f t="shared" si="15"/>
        <v/>
      </c>
      <c r="D109" s="355"/>
      <c r="E109" s="355"/>
      <c r="F109" s="765"/>
      <c r="G109" s="766" t="str">
        <f>+IF(ISBLANK(F109),"",IF(J109="Yes",F109,F109*(1+Economics!$AK$29)))</f>
        <v/>
      </c>
      <c r="I109" s="652"/>
      <c r="J109" s="355" t="str">
        <f t="shared" si="16"/>
        <v/>
      </c>
    </row>
    <row r="110" spans="2:10" x14ac:dyDescent="0.25">
      <c r="B110" s="569"/>
      <c r="C110" s="764" t="str">
        <f t="shared" si="15"/>
        <v/>
      </c>
      <c r="D110" s="355"/>
      <c r="E110" s="355"/>
      <c r="F110" s="765"/>
      <c r="G110" s="766" t="str">
        <f>+IF(ISBLANK(F110),"",IF(J110="Yes",F110,F110*(1+Economics!$AK$29)))</f>
        <v/>
      </c>
      <c r="I110" s="652"/>
      <c r="J110" s="355" t="str">
        <f t="shared" si="16"/>
        <v/>
      </c>
    </row>
    <row r="111" spans="2:10" x14ac:dyDescent="0.25">
      <c r="B111" s="569"/>
      <c r="C111" s="764" t="str">
        <f t="shared" si="15"/>
        <v/>
      </c>
      <c r="D111" s="355"/>
      <c r="E111" s="355"/>
      <c r="F111" s="765"/>
      <c r="G111" s="766" t="str">
        <f>+IF(ISBLANK(F111),"",IF(J111="Yes",F111,F111*(1+Economics!$AK$29)))</f>
        <v/>
      </c>
      <c r="I111" s="652"/>
      <c r="J111" s="355" t="str">
        <f t="shared" si="16"/>
        <v/>
      </c>
    </row>
    <row r="112" spans="2:10" x14ac:dyDescent="0.25">
      <c r="B112" s="569"/>
      <c r="C112" s="764" t="str">
        <f t="shared" si="15"/>
        <v/>
      </c>
      <c r="D112" s="355"/>
      <c r="E112" s="355"/>
      <c r="F112" s="765"/>
      <c r="G112" s="766" t="str">
        <f>+IF(ISBLANK(F112),"",IF(J112="Yes",F112,F112*(1+Economics!$AK$29)))</f>
        <v/>
      </c>
      <c r="I112" s="652"/>
      <c r="J112" s="355" t="str">
        <f t="shared" si="16"/>
        <v/>
      </c>
    </row>
    <row r="113" spans="2:10" x14ac:dyDescent="0.25">
      <c r="B113" s="527"/>
      <c r="C113" s="764" t="str">
        <f t="shared" si="15"/>
        <v/>
      </c>
      <c r="D113" s="355"/>
      <c r="E113" s="355"/>
      <c r="F113" s="765"/>
      <c r="G113" s="766" t="str">
        <f>+IF(ISBLANK(F113),"",IF(J113="Yes",F113,F113*(1+Economics!$AK$29)))</f>
        <v/>
      </c>
      <c r="I113" s="652"/>
      <c r="J113" s="355" t="str">
        <f t="shared" si="16"/>
        <v/>
      </c>
    </row>
    <row r="114" spans="2:10" x14ac:dyDescent="0.25">
      <c r="B114" s="569"/>
      <c r="C114" s="764" t="str">
        <f t="shared" si="15"/>
        <v/>
      </c>
      <c r="D114" s="355"/>
      <c r="E114" s="355"/>
      <c r="F114" s="765"/>
      <c r="G114" s="766" t="str">
        <f>+IF(ISBLANK(F114),"",IF(J114="Yes",F114,F114*(1+Economics!$AK$29)))</f>
        <v/>
      </c>
      <c r="I114" s="652"/>
      <c r="J114" s="355" t="str">
        <f t="shared" si="16"/>
        <v/>
      </c>
    </row>
    <row r="115" spans="2:10" x14ac:dyDescent="0.25">
      <c r="B115" s="569"/>
      <c r="C115" s="764" t="str">
        <f t="shared" si="15"/>
        <v/>
      </c>
      <c r="D115" s="355"/>
      <c r="E115" s="355"/>
      <c r="F115" s="765"/>
      <c r="G115" s="766" t="str">
        <f>+IF(ISBLANK(F115),"",IF(J115="Yes",F115,F115*(1+Economics!$AK$29)))</f>
        <v/>
      </c>
      <c r="I115" s="652"/>
      <c r="J115" s="355" t="str">
        <f t="shared" si="16"/>
        <v/>
      </c>
    </row>
    <row r="116" spans="2:10" x14ac:dyDescent="0.25">
      <c r="B116" s="569"/>
      <c r="C116" s="764" t="str">
        <f t="shared" si="15"/>
        <v/>
      </c>
      <c r="D116" s="355"/>
      <c r="E116" s="355"/>
      <c r="F116" s="765"/>
      <c r="G116" s="766" t="str">
        <f>+IF(ISBLANK(F116),"",IF(J116="Yes",F116,F116*(1+Economics!$AK$29)))</f>
        <v/>
      </c>
      <c r="I116" s="652"/>
      <c r="J116" s="355" t="str">
        <f t="shared" si="16"/>
        <v/>
      </c>
    </row>
    <row r="117" spans="2:10" x14ac:dyDescent="0.25">
      <c r="B117" s="569"/>
      <c r="C117" s="764" t="str">
        <f t="shared" si="15"/>
        <v/>
      </c>
      <c r="D117" s="355"/>
      <c r="E117" s="355"/>
      <c r="F117" s="765"/>
      <c r="G117" s="766" t="str">
        <f>+IF(ISBLANK(F117),"",IF(J117="Yes",F117,F117*(1+Economics!$AK$29)))</f>
        <v/>
      </c>
      <c r="I117" s="652"/>
      <c r="J117" s="355" t="str">
        <f t="shared" si="16"/>
        <v/>
      </c>
    </row>
    <row r="118" spans="2:10" x14ac:dyDescent="0.25">
      <c r="B118" s="569"/>
      <c r="C118" s="764" t="str">
        <f t="shared" si="15"/>
        <v/>
      </c>
      <c r="D118" s="355"/>
      <c r="E118" s="355"/>
      <c r="F118" s="765"/>
      <c r="G118" s="766" t="str">
        <f>+IF(ISBLANK(F118),"",IF(J118="Yes",F118,F118*(1+Economics!$AK$29)))</f>
        <v/>
      </c>
      <c r="I118" s="652"/>
      <c r="J118" s="355" t="str">
        <f t="shared" si="16"/>
        <v/>
      </c>
    </row>
    <row r="119" spans="2:10" x14ac:dyDescent="0.25">
      <c r="B119" s="569"/>
      <c r="C119" s="764" t="str">
        <f t="shared" si="15"/>
        <v/>
      </c>
      <c r="D119" s="355"/>
      <c r="E119" s="355"/>
      <c r="F119" s="765"/>
      <c r="G119" s="766" t="str">
        <f>+IF(ISBLANK(F119),"",IF(J119="Yes",F119,F119*(1+Economics!$AK$29)))</f>
        <v/>
      </c>
      <c r="I119" s="652"/>
      <c r="J119" s="355" t="str">
        <f t="shared" si="16"/>
        <v/>
      </c>
    </row>
    <row r="120" spans="2:10" x14ac:dyDescent="0.25">
      <c r="B120" s="569"/>
      <c r="C120" s="764" t="str">
        <f t="shared" si="15"/>
        <v/>
      </c>
      <c r="D120" s="355"/>
      <c r="E120" s="355"/>
      <c r="F120" s="765"/>
      <c r="G120" s="766" t="str">
        <f>+IF(ISBLANK(F120),"",IF(J120="Yes",F120,F120*(1+Economics!$AK$29)))</f>
        <v/>
      </c>
      <c r="I120" s="652"/>
      <c r="J120" s="355" t="str">
        <f t="shared" si="16"/>
        <v/>
      </c>
    </row>
    <row r="121" spans="2:10" x14ac:dyDescent="0.25">
      <c r="B121" s="569"/>
      <c r="C121" s="764" t="str">
        <f t="shared" si="15"/>
        <v/>
      </c>
      <c r="D121" s="355"/>
      <c r="E121" s="355"/>
      <c r="F121" s="765"/>
      <c r="G121" s="766" t="str">
        <f>+IF(ISBLANK(F121),"",IF(J121="Yes",F121,F121*(1+Economics!$AK$29)))</f>
        <v/>
      </c>
      <c r="I121" s="652"/>
      <c r="J121" s="355" t="str">
        <f t="shared" si="16"/>
        <v/>
      </c>
    </row>
    <row r="122" spans="2:10" x14ac:dyDescent="0.25">
      <c r="B122" s="569"/>
      <c r="C122" s="764" t="str">
        <f t="shared" si="15"/>
        <v/>
      </c>
      <c r="D122" s="355"/>
      <c r="E122" s="355"/>
      <c r="F122" s="765"/>
      <c r="G122" s="766" t="str">
        <f>+IF(ISBLANK(F122),"",IF(J122="Yes",F122,F122*(1+Economics!$AK$29)))</f>
        <v/>
      </c>
      <c r="I122" s="652"/>
      <c r="J122" s="355" t="str">
        <f t="shared" si="16"/>
        <v/>
      </c>
    </row>
    <row r="123" spans="2:10" x14ac:dyDescent="0.25">
      <c r="B123" s="569"/>
      <c r="C123" s="764" t="str">
        <f t="shared" si="15"/>
        <v/>
      </c>
      <c r="D123" s="355"/>
      <c r="E123" s="355"/>
      <c r="F123" s="765"/>
      <c r="G123" s="766" t="str">
        <f>+IF(ISBLANK(F123),"",IF(J123="Yes",F123,F123*(1+Economics!$AK$29)))</f>
        <v/>
      </c>
      <c r="I123" s="652"/>
      <c r="J123" s="355" t="str">
        <f t="shared" si="16"/>
        <v/>
      </c>
    </row>
    <row r="124" spans="2:10" x14ac:dyDescent="0.25">
      <c r="B124" s="569"/>
      <c r="C124" s="764" t="str">
        <f t="shared" si="15"/>
        <v/>
      </c>
      <c r="D124" s="355"/>
      <c r="E124" s="355"/>
      <c r="F124" s="765"/>
      <c r="G124" s="766" t="str">
        <f>+IF(ISBLANK(F124),"",IF(J124="Yes",F124,F124*(1+Economics!$AK$29)))</f>
        <v/>
      </c>
      <c r="I124" s="652"/>
      <c r="J124" s="355" t="str">
        <f t="shared" si="16"/>
        <v/>
      </c>
    </row>
    <row r="125" spans="2:10" x14ac:dyDescent="0.25">
      <c r="B125" s="569"/>
      <c r="C125" s="764" t="str">
        <f t="shared" si="15"/>
        <v/>
      </c>
      <c r="D125" s="355"/>
      <c r="E125" s="355"/>
      <c r="F125" s="765"/>
      <c r="G125" s="766" t="str">
        <f>+IF(ISBLANK(F125),"",IF(J125="Yes",F125,F125*(1+Economics!$AK$29)))</f>
        <v/>
      </c>
      <c r="I125" s="652"/>
      <c r="J125" s="355" t="str">
        <f t="shared" si="16"/>
        <v/>
      </c>
    </row>
    <row r="126" spans="2:10" x14ac:dyDescent="0.25">
      <c r="B126" s="569"/>
      <c r="C126" s="764" t="str">
        <f t="shared" si="15"/>
        <v/>
      </c>
      <c r="D126" s="355"/>
      <c r="E126" s="355"/>
      <c r="F126" s="765"/>
      <c r="G126" s="766" t="str">
        <f>+IF(ISBLANK(F126),"",IF(J126="Yes",F126,F126*(1+Economics!$AK$29)))</f>
        <v/>
      </c>
      <c r="I126" s="652"/>
      <c r="J126" s="355" t="str">
        <f t="shared" si="16"/>
        <v/>
      </c>
    </row>
    <row r="127" spans="2:10" x14ac:dyDescent="0.25">
      <c r="B127" s="569"/>
      <c r="C127" s="764" t="str">
        <f t="shared" si="15"/>
        <v/>
      </c>
      <c r="D127" s="355"/>
      <c r="E127" s="355"/>
      <c r="F127" s="765"/>
      <c r="G127" s="766" t="str">
        <f>+IF(ISBLANK(F127),"",IF(J127="Yes",F127,F127*(1+Economics!$AK$29)))</f>
        <v/>
      </c>
      <c r="I127" s="652"/>
      <c r="J127" s="355" t="str">
        <f t="shared" si="16"/>
        <v/>
      </c>
    </row>
    <row r="128" spans="2:10" x14ac:dyDescent="0.25">
      <c r="B128" s="569"/>
      <c r="C128" s="764" t="str">
        <f t="shared" si="15"/>
        <v/>
      </c>
      <c r="D128" s="355"/>
      <c r="E128" s="355"/>
      <c r="F128" s="765"/>
      <c r="G128" s="766" t="str">
        <f>+IF(ISBLANK(F128),"",IF(J128="Yes",F128,F128*(1+Economics!$AK$29)))</f>
        <v/>
      </c>
      <c r="I128" s="652"/>
      <c r="J128" s="355" t="str">
        <f t="shared" si="16"/>
        <v/>
      </c>
    </row>
    <row r="129" spans="2:10" x14ac:dyDescent="0.25">
      <c r="B129" s="569"/>
      <c r="C129" s="764" t="str">
        <f t="shared" si="15"/>
        <v/>
      </c>
      <c r="D129" s="355"/>
      <c r="E129" s="355"/>
      <c r="F129" s="765"/>
      <c r="G129" s="766" t="str">
        <f>+IF(ISBLANK(F129),"",IF(J129="Yes",F129,F129*(1+Economics!$AK$29)))</f>
        <v/>
      </c>
      <c r="I129" s="652"/>
      <c r="J129" s="355" t="str">
        <f t="shared" si="16"/>
        <v/>
      </c>
    </row>
    <row r="130" spans="2:10" x14ac:dyDescent="0.25">
      <c r="B130" s="569"/>
      <c r="C130" s="764" t="str">
        <f t="shared" si="15"/>
        <v/>
      </c>
      <c r="D130" s="355"/>
      <c r="E130" s="355"/>
      <c r="F130" s="765"/>
      <c r="G130" s="766" t="str">
        <f>+IF(ISBLANK(F130),"",IF(J130="Yes",F130,F130*(1+Economics!$AK$29)))</f>
        <v/>
      </c>
      <c r="I130" s="652"/>
      <c r="J130" s="355" t="str">
        <f t="shared" si="16"/>
        <v/>
      </c>
    </row>
    <row r="131" spans="2:10" x14ac:dyDescent="0.25">
      <c r="B131" s="569"/>
      <c r="C131" s="764" t="str">
        <f t="shared" si="15"/>
        <v/>
      </c>
      <c r="D131" s="355"/>
      <c r="E131" s="355"/>
      <c r="F131" s="765"/>
      <c r="G131" s="766" t="str">
        <f>+IF(ISBLANK(F131),"",IF(J131="Yes",F131,F131*(1+Economics!$AK$29)))</f>
        <v/>
      </c>
      <c r="I131" s="652"/>
      <c r="J131" s="355" t="str">
        <f t="shared" si="16"/>
        <v/>
      </c>
    </row>
    <row r="132" spans="2:10" x14ac:dyDescent="0.25">
      <c r="B132" s="569"/>
      <c r="C132" s="764" t="str">
        <f t="shared" si="15"/>
        <v/>
      </c>
      <c r="D132" s="355"/>
      <c r="E132" s="355"/>
      <c r="F132" s="765"/>
      <c r="G132" s="766" t="str">
        <f>+IF(ISBLANK(F132),"",IF(J132="Yes",F132,F132*(1+Economics!$AK$29)))</f>
        <v/>
      </c>
      <c r="I132" s="652"/>
      <c r="J132" s="355" t="str">
        <f t="shared" si="16"/>
        <v/>
      </c>
    </row>
    <row r="133" spans="2:10" x14ac:dyDescent="0.25">
      <c r="B133" s="527"/>
      <c r="C133" s="764" t="str">
        <f t="shared" si="15"/>
        <v/>
      </c>
      <c r="D133" s="355"/>
      <c r="E133" s="355"/>
      <c r="F133" s="765"/>
      <c r="G133" s="766" t="str">
        <f>+IF(ISBLANK(F133),"",IF(J133="Yes",F133,F133*(1+Economics!$AK$29)))</f>
        <v/>
      </c>
      <c r="I133" s="652"/>
      <c r="J133" s="355" t="str">
        <f t="shared" si="16"/>
        <v/>
      </c>
    </row>
    <row r="134" spans="2:10" x14ac:dyDescent="0.25">
      <c r="B134" s="569"/>
      <c r="C134" s="764" t="str">
        <f t="shared" si="15"/>
        <v/>
      </c>
      <c r="D134" s="355"/>
      <c r="E134" s="355"/>
      <c r="F134" s="765"/>
      <c r="G134" s="766" t="str">
        <f>+IF(ISBLANK(F134),"",IF(J134="Yes",F134,F134*(1+Economics!$AK$29)))</f>
        <v/>
      </c>
      <c r="I134" s="652"/>
      <c r="J134" s="355" t="str">
        <f t="shared" si="16"/>
        <v/>
      </c>
    </row>
    <row r="135" spans="2:10" x14ac:dyDescent="0.25">
      <c r="B135" s="569"/>
      <c r="C135" s="764" t="str">
        <f t="shared" si="15"/>
        <v/>
      </c>
      <c r="D135" s="355"/>
      <c r="E135" s="355"/>
      <c r="F135" s="765"/>
      <c r="G135" s="766" t="str">
        <f>+IF(ISBLANK(F135),"",IF(J135="Yes",F135,F135*(1+Economics!$AK$29)))</f>
        <v/>
      </c>
      <c r="I135" s="652"/>
      <c r="J135" s="355" t="str">
        <f t="shared" si="16"/>
        <v/>
      </c>
    </row>
    <row r="136" spans="2:10" x14ac:dyDescent="0.25">
      <c r="B136" s="569"/>
      <c r="C136" s="764" t="str">
        <f t="shared" si="15"/>
        <v/>
      </c>
      <c r="D136" s="355"/>
      <c r="E136" s="355"/>
      <c r="F136" s="765"/>
      <c r="G136" s="766" t="str">
        <f>+IF(ISBLANK(F136),"",IF(J136="Yes",F136,F136*(1+Economics!$AK$29)))</f>
        <v/>
      </c>
      <c r="I136" s="652"/>
      <c r="J136" s="355" t="str">
        <f t="shared" si="16"/>
        <v/>
      </c>
    </row>
    <row r="137" spans="2:10" x14ac:dyDescent="0.25">
      <c r="B137" s="569"/>
      <c r="C137" s="764" t="str">
        <f t="shared" si="15"/>
        <v/>
      </c>
      <c r="D137" s="355"/>
      <c r="E137" s="355"/>
      <c r="F137" s="765"/>
      <c r="G137" s="766" t="str">
        <f>+IF(ISBLANK(F137),"",IF(J137="Yes",F137,F137*(1+Economics!$AK$29)))</f>
        <v/>
      </c>
      <c r="I137" s="652"/>
      <c r="J137" s="355" t="str">
        <f t="shared" si="16"/>
        <v/>
      </c>
    </row>
    <row r="138" spans="2:10" x14ac:dyDescent="0.25">
      <c r="B138" s="569"/>
      <c r="C138" s="764" t="str">
        <f t="shared" si="15"/>
        <v/>
      </c>
      <c r="D138" s="355"/>
      <c r="E138" s="355"/>
      <c r="F138" s="765"/>
      <c r="G138" s="766" t="str">
        <f>+IF(ISBLANK(F138),"",IF(J138="Yes",F138,F138*(1+Economics!$AK$29)))</f>
        <v/>
      </c>
      <c r="I138" s="652"/>
      <c r="J138" s="355" t="str">
        <f t="shared" si="16"/>
        <v/>
      </c>
    </row>
    <row r="139" spans="2:10" x14ac:dyDescent="0.25">
      <c r="B139" s="569"/>
      <c r="C139" s="764" t="str">
        <f t="shared" si="15"/>
        <v/>
      </c>
      <c r="D139" s="355"/>
      <c r="E139" s="355"/>
      <c r="F139" s="765"/>
      <c r="G139" s="766" t="str">
        <f>+IF(ISBLANK(F139),"",IF(J139="Yes",F139,F139*(1+Economics!$AK$29)))</f>
        <v/>
      </c>
      <c r="I139" s="652"/>
      <c r="J139" s="355" t="str">
        <f t="shared" si="16"/>
        <v/>
      </c>
    </row>
    <row r="140" spans="2:10" x14ac:dyDescent="0.25">
      <c r="B140" s="569"/>
      <c r="C140" s="764" t="str">
        <f t="shared" si="15"/>
        <v/>
      </c>
      <c r="D140" s="355"/>
      <c r="E140" s="355"/>
      <c r="F140" s="765"/>
      <c r="G140" s="766" t="str">
        <f>+IF(ISBLANK(F140),"",IF(J140="Yes",F140,F140*(1+Economics!$AK$29)))</f>
        <v/>
      </c>
      <c r="I140" s="652"/>
      <c r="J140" s="355" t="str">
        <f t="shared" si="16"/>
        <v/>
      </c>
    </row>
    <row r="141" spans="2:10" x14ac:dyDescent="0.25">
      <c r="B141" s="569"/>
      <c r="C141" s="764" t="str">
        <f t="shared" si="15"/>
        <v/>
      </c>
      <c r="D141" s="355"/>
      <c r="E141" s="355"/>
      <c r="F141" s="765"/>
      <c r="G141" s="766" t="str">
        <f>+IF(ISBLANK(F141),"",IF(J141="Yes",F141,F141*(1+Economics!$AK$29)))</f>
        <v/>
      </c>
      <c r="I141" s="652"/>
      <c r="J141" s="355" t="str">
        <f t="shared" si="16"/>
        <v/>
      </c>
    </row>
    <row r="142" spans="2:10" x14ac:dyDescent="0.25">
      <c r="B142" s="569"/>
      <c r="C142" s="764" t="str">
        <f t="shared" si="15"/>
        <v/>
      </c>
      <c r="D142" s="355"/>
      <c r="E142" s="355"/>
      <c r="F142" s="765"/>
      <c r="G142" s="766" t="str">
        <f>+IF(ISBLANK(F142),"",IF(J142="Yes",F142,F142*(1+Economics!$AK$29)))</f>
        <v/>
      </c>
      <c r="I142" s="652"/>
      <c r="J142" s="355" t="str">
        <f t="shared" si="16"/>
        <v/>
      </c>
    </row>
    <row r="143" spans="2:10" x14ac:dyDescent="0.25">
      <c r="B143" s="569"/>
      <c r="C143" s="764" t="str">
        <f t="shared" si="15"/>
        <v/>
      </c>
      <c r="D143" s="355"/>
      <c r="E143" s="355"/>
      <c r="F143" s="765"/>
      <c r="G143" s="766" t="str">
        <f>+IF(ISBLANK(F143),"",IF(J143="Yes",F143,F143*(1+Economics!$AK$29)))</f>
        <v/>
      </c>
      <c r="I143" s="652"/>
      <c r="J143" s="355" t="str">
        <f t="shared" si="16"/>
        <v/>
      </c>
    </row>
    <row r="144" spans="2:10" x14ac:dyDescent="0.25">
      <c r="B144" s="569"/>
      <c r="C144" s="764" t="str">
        <f t="shared" si="15"/>
        <v/>
      </c>
      <c r="D144" s="355"/>
      <c r="E144" s="355"/>
      <c r="F144" s="765"/>
      <c r="G144" s="766" t="str">
        <f>+IF(ISBLANK(F144),"",IF(J144="Yes",F144,F144*(1+Economics!$AK$29)))</f>
        <v/>
      </c>
      <c r="I144" s="652"/>
      <c r="J144" s="355" t="str">
        <f t="shared" si="16"/>
        <v/>
      </c>
    </row>
    <row r="145" spans="2:10" x14ac:dyDescent="0.25">
      <c r="B145" s="569"/>
      <c r="C145" s="764" t="str">
        <f t="shared" si="15"/>
        <v/>
      </c>
      <c r="D145" s="355"/>
      <c r="E145" s="355"/>
      <c r="F145" s="765"/>
      <c r="G145" s="766" t="str">
        <f>+IF(ISBLANK(F145),"",IF(J145="Yes",F145,F145*(1+Economics!$AK$29)))</f>
        <v/>
      </c>
      <c r="I145" s="652"/>
      <c r="J145" s="355" t="str">
        <f t="shared" si="16"/>
        <v/>
      </c>
    </row>
    <row r="146" spans="2:10" x14ac:dyDescent="0.25">
      <c r="B146" s="569"/>
      <c r="C146" s="764" t="str">
        <f t="shared" si="15"/>
        <v/>
      </c>
      <c r="D146" s="355"/>
      <c r="E146" s="355"/>
      <c r="F146" s="765"/>
      <c r="G146" s="766" t="str">
        <f>+IF(ISBLANK(F146),"",IF(J146="Yes",F146,F146*(1+Economics!$AK$29)))</f>
        <v/>
      </c>
      <c r="I146" s="652"/>
      <c r="J146" s="355" t="str">
        <f t="shared" si="16"/>
        <v/>
      </c>
    </row>
    <row r="147" spans="2:10" x14ac:dyDescent="0.25">
      <c r="B147" s="569"/>
      <c r="C147" s="764" t="str">
        <f t="shared" si="15"/>
        <v/>
      </c>
      <c r="D147" s="355"/>
      <c r="E147" s="355"/>
      <c r="F147" s="765"/>
      <c r="G147" s="766" t="str">
        <f>+IF(ISBLANK(F147),"",IF(J147="Yes",F147,F147*(1+Economics!$AK$29)))</f>
        <v/>
      </c>
      <c r="I147" s="652"/>
      <c r="J147" s="355" t="str">
        <f t="shared" si="16"/>
        <v/>
      </c>
    </row>
    <row r="148" spans="2:10" x14ac:dyDescent="0.25">
      <c r="B148" s="569"/>
      <c r="C148" s="764" t="str">
        <f t="shared" si="15"/>
        <v/>
      </c>
      <c r="D148" s="355"/>
      <c r="E148" s="355"/>
      <c r="F148" s="765"/>
      <c r="G148" s="766" t="str">
        <f>+IF(ISBLANK(F148),"",IF(J148="Yes",F148,F148*(1+Economics!$AK$29)))</f>
        <v/>
      </c>
      <c r="I148" s="652"/>
      <c r="J148" s="355" t="str">
        <f t="shared" si="16"/>
        <v/>
      </c>
    </row>
    <row r="149" spans="2:10" x14ac:dyDescent="0.25">
      <c r="B149" s="569"/>
      <c r="C149" s="764" t="str">
        <f t="shared" si="15"/>
        <v/>
      </c>
      <c r="D149" s="355"/>
      <c r="E149" s="355"/>
      <c r="F149" s="765"/>
      <c r="G149" s="766" t="str">
        <f>+IF(ISBLANK(F149),"",IF(J149="Yes",F149,F149*(1+Economics!$AK$29)))</f>
        <v/>
      </c>
      <c r="I149" s="652"/>
      <c r="J149" s="355" t="str">
        <f t="shared" si="16"/>
        <v/>
      </c>
    </row>
    <row r="150" spans="2:10" x14ac:dyDescent="0.25">
      <c r="B150" s="569"/>
      <c r="C150" s="764" t="str">
        <f t="shared" si="15"/>
        <v/>
      </c>
      <c r="D150" s="355"/>
      <c r="E150" s="355"/>
      <c r="F150" s="765"/>
      <c r="G150" s="766" t="str">
        <f>+IF(ISBLANK(F150),"",IF(J150="Yes",F150,F150*(1+Economics!$AK$29)))</f>
        <v/>
      </c>
      <c r="I150" s="652"/>
      <c r="J150" s="355" t="str">
        <f t="shared" si="16"/>
        <v/>
      </c>
    </row>
    <row r="151" spans="2:10" x14ac:dyDescent="0.25">
      <c r="B151" s="569"/>
      <c r="C151" s="764" t="str">
        <f t="shared" si="15"/>
        <v/>
      </c>
      <c r="D151" s="355"/>
      <c r="E151" s="355"/>
      <c r="F151" s="765"/>
      <c r="G151" s="766" t="str">
        <f>+IF(ISBLANK(F151),"",IF(J151="Yes",F151,F151*(1+Economics!$AK$29)))</f>
        <v/>
      </c>
      <c r="I151" s="652"/>
      <c r="J151" s="355" t="str">
        <f t="shared" si="16"/>
        <v/>
      </c>
    </row>
    <row r="152" spans="2:10" x14ac:dyDescent="0.25">
      <c r="B152" s="569"/>
      <c r="C152" s="764" t="str">
        <f t="shared" si="15"/>
        <v/>
      </c>
      <c r="D152" s="355"/>
      <c r="E152" s="355"/>
      <c r="F152" s="765"/>
      <c r="G152" s="766" t="str">
        <f>+IF(ISBLANK(F152),"",IF(J152="Yes",F152,F152*(1+Economics!$AK$29)))</f>
        <v/>
      </c>
      <c r="I152" s="652"/>
      <c r="J152" s="355" t="str">
        <f t="shared" si="16"/>
        <v/>
      </c>
    </row>
    <row r="153" spans="2:10" x14ac:dyDescent="0.25">
      <c r="B153" s="527"/>
      <c r="C153" s="764" t="str">
        <f t="shared" si="15"/>
        <v/>
      </c>
      <c r="D153" s="355"/>
      <c r="E153" s="355"/>
      <c r="F153" s="765"/>
      <c r="G153" s="766" t="str">
        <f>+IF(ISBLANK(F153),"",IF(J153="Yes",F153,F153*(1+Economics!$AK$29)))</f>
        <v/>
      </c>
      <c r="I153" s="652"/>
      <c r="J153" s="355" t="str">
        <f t="shared" si="16"/>
        <v/>
      </c>
    </row>
    <row r="154" spans="2:10" x14ac:dyDescent="0.25">
      <c r="B154" s="569"/>
      <c r="C154" s="764" t="str">
        <f t="shared" si="15"/>
        <v/>
      </c>
      <c r="D154" s="355"/>
      <c r="E154" s="355"/>
      <c r="F154" s="765"/>
      <c r="G154" s="766" t="str">
        <f>+IF(ISBLANK(F154),"",IF(J154="Yes",F154,F154*(1+Economics!$AK$29)))</f>
        <v/>
      </c>
      <c r="I154" s="652"/>
      <c r="J154" s="355" t="str">
        <f t="shared" si="16"/>
        <v/>
      </c>
    </row>
    <row r="155" spans="2:10" x14ac:dyDescent="0.25">
      <c r="B155" s="569"/>
      <c r="C155" s="764" t="str">
        <f t="shared" si="15"/>
        <v/>
      </c>
      <c r="D155" s="355"/>
      <c r="E155" s="355"/>
      <c r="F155" s="765"/>
      <c r="G155" s="766" t="str">
        <f>+IF(ISBLANK(F155),"",IF(J155="Yes",F155,F155*(1+Economics!$AK$29)))</f>
        <v/>
      </c>
      <c r="I155" s="652"/>
      <c r="J155" s="355" t="str">
        <f t="shared" si="16"/>
        <v/>
      </c>
    </row>
    <row r="156" spans="2:10" x14ac:dyDescent="0.25">
      <c r="B156" s="569"/>
      <c r="C156" s="764" t="str">
        <f t="shared" si="15"/>
        <v/>
      </c>
      <c r="D156" s="355"/>
      <c r="E156" s="355"/>
      <c r="F156" s="765"/>
      <c r="G156" s="766" t="str">
        <f>+IF(ISBLANK(F156),"",IF(J156="Yes",F156,F156*(1+Economics!$AK$29)))</f>
        <v/>
      </c>
      <c r="I156" s="652"/>
      <c r="J156" s="355" t="str">
        <f t="shared" si="16"/>
        <v/>
      </c>
    </row>
    <row r="157" spans="2:10" x14ac:dyDescent="0.25">
      <c r="B157" s="569"/>
      <c r="C157" s="764" t="str">
        <f t="shared" si="15"/>
        <v/>
      </c>
      <c r="D157" s="355"/>
      <c r="E157" s="355"/>
      <c r="F157" s="765"/>
      <c r="G157" s="766" t="str">
        <f>+IF(ISBLANK(F157),"",IF(J157="Yes",F157,F157*(1+Economics!$AK$29)))</f>
        <v/>
      </c>
      <c r="I157" s="652"/>
      <c r="J157" s="355" t="str">
        <f t="shared" si="16"/>
        <v/>
      </c>
    </row>
    <row r="158" spans="2:10" x14ac:dyDescent="0.25">
      <c r="B158" s="569"/>
      <c r="C158" s="764" t="str">
        <f t="shared" ref="C158:C221" si="17">+IF(ISBLANK(B158),"",IFERROR(INDEX($T$3:$T$7,MATCH(B158,$S$3:$S$7,0)),""))</f>
        <v/>
      </c>
      <c r="D158" s="355"/>
      <c r="E158" s="355"/>
      <c r="F158" s="765"/>
      <c r="G158" s="766" t="str">
        <f>+IF(ISBLANK(F158),"",IF(J158="Yes",F158,F158*(1+Economics!$AK$29)))</f>
        <v/>
      </c>
      <c r="I158" s="652"/>
      <c r="J158" s="355" t="str">
        <f t="shared" si="16"/>
        <v/>
      </c>
    </row>
    <row r="159" spans="2:10" x14ac:dyDescent="0.25">
      <c r="B159" s="569"/>
      <c r="C159" s="764" t="str">
        <f t="shared" si="17"/>
        <v/>
      </c>
      <c r="D159" s="355"/>
      <c r="E159" s="355"/>
      <c r="F159" s="765"/>
      <c r="G159" s="766" t="str">
        <f>+IF(ISBLANK(F159),"",IF(J159="Yes",F159,F159*(1+Economics!$AK$29)))</f>
        <v/>
      </c>
      <c r="I159" s="652"/>
      <c r="J159" s="355" t="str">
        <f t="shared" ref="J159:J222" si="18">+IF(ISBLANK(I159),"",IF(ISNUMBER(FIND("Yes",I159)),"No","Yes"))</f>
        <v/>
      </c>
    </row>
    <row r="160" spans="2:10" x14ac:dyDescent="0.25">
      <c r="B160" s="569"/>
      <c r="C160" s="764" t="str">
        <f t="shared" si="17"/>
        <v/>
      </c>
      <c r="D160" s="355"/>
      <c r="E160" s="355"/>
      <c r="F160" s="765"/>
      <c r="G160" s="766" t="str">
        <f>+IF(ISBLANK(F160),"",IF(J160="Yes",F160,F160*(1+Economics!$AK$29)))</f>
        <v/>
      </c>
      <c r="I160" s="652"/>
      <c r="J160" s="355" t="str">
        <f t="shared" si="18"/>
        <v/>
      </c>
    </row>
    <row r="161" spans="2:10" x14ac:dyDescent="0.25">
      <c r="B161" s="569"/>
      <c r="C161" s="764" t="str">
        <f t="shared" si="17"/>
        <v/>
      </c>
      <c r="D161" s="355"/>
      <c r="E161" s="355"/>
      <c r="F161" s="765"/>
      <c r="G161" s="766" t="str">
        <f>+IF(ISBLANK(F161),"",IF(J161="Yes",F161,F161*(1+Economics!$AK$29)))</f>
        <v/>
      </c>
      <c r="I161" s="652"/>
      <c r="J161" s="355" t="str">
        <f t="shared" si="18"/>
        <v/>
      </c>
    </row>
    <row r="162" spans="2:10" x14ac:dyDescent="0.25">
      <c r="B162" s="569"/>
      <c r="C162" s="764" t="str">
        <f t="shared" si="17"/>
        <v/>
      </c>
      <c r="D162" s="355"/>
      <c r="E162" s="355"/>
      <c r="F162" s="765"/>
      <c r="G162" s="766" t="str">
        <f>+IF(ISBLANK(F162),"",IF(J162="Yes",F162,F162*(1+Economics!$AK$29)))</f>
        <v/>
      </c>
      <c r="I162" s="652"/>
      <c r="J162" s="355" t="str">
        <f t="shared" si="18"/>
        <v/>
      </c>
    </row>
    <row r="163" spans="2:10" x14ac:dyDescent="0.25">
      <c r="B163" s="569"/>
      <c r="C163" s="764" t="str">
        <f t="shared" si="17"/>
        <v/>
      </c>
      <c r="D163" s="355"/>
      <c r="E163" s="355"/>
      <c r="F163" s="765"/>
      <c r="G163" s="766" t="str">
        <f>+IF(ISBLANK(F163),"",IF(J163="Yes",F163,F163*(1+Economics!$AK$29)))</f>
        <v/>
      </c>
      <c r="I163" s="652"/>
      <c r="J163" s="355" t="str">
        <f t="shared" si="18"/>
        <v/>
      </c>
    </row>
    <row r="164" spans="2:10" x14ac:dyDescent="0.25">
      <c r="B164" s="569"/>
      <c r="C164" s="764" t="str">
        <f t="shared" si="17"/>
        <v/>
      </c>
      <c r="D164" s="355"/>
      <c r="E164" s="355"/>
      <c r="F164" s="765"/>
      <c r="G164" s="766" t="str">
        <f>+IF(ISBLANK(F164),"",IF(J164="Yes",F164,F164*(1+Economics!$AK$29)))</f>
        <v/>
      </c>
      <c r="I164" s="652"/>
      <c r="J164" s="355" t="str">
        <f t="shared" si="18"/>
        <v/>
      </c>
    </row>
    <row r="165" spans="2:10" x14ac:dyDescent="0.25">
      <c r="B165" s="569"/>
      <c r="C165" s="764" t="str">
        <f t="shared" si="17"/>
        <v/>
      </c>
      <c r="D165" s="355"/>
      <c r="E165" s="355"/>
      <c r="F165" s="765"/>
      <c r="G165" s="766" t="str">
        <f>+IF(ISBLANK(F165),"",IF(J165="Yes",F165,F165*(1+Economics!$AK$29)))</f>
        <v/>
      </c>
      <c r="I165" s="652"/>
      <c r="J165" s="355" t="str">
        <f t="shared" si="18"/>
        <v/>
      </c>
    </row>
    <row r="166" spans="2:10" x14ac:dyDescent="0.25">
      <c r="B166" s="569"/>
      <c r="C166" s="764" t="str">
        <f t="shared" si="17"/>
        <v/>
      </c>
      <c r="D166" s="355"/>
      <c r="E166" s="355"/>
      <c r="F166" s="765"/>
      <c r="G166" s="766" t="str">
        <f>+IF(ISBLANK(F166),"",IF(J166="Yes",F166,F166*(1+Economics!$AK$29)))</f>
        <v/>
      </c>
      <c r="I166" s="652"/>
      <c r="J166" s="355" t="str">
        <f t="shared" si="18"/>
        <v/>
      </c>
    </row>
    <row r="167" spans="2:10" x14ac:dyDescent="0.25">
      <c r="B167" s="569"/>
      <c r="C167" s="764" t="str">
        <f t="shared" si="17"/>
        <v/>
      </c>
      <c r="D167" s="355"/>
      <c r="E167" s="355"/>
      <c r="F167" s="765"/>
      <c r="G167" s="766" t="str">
        <f>+IF(ISBLANK(F167),"",IF(J167="Yes",F167,F167*(1+Economics!$AK$29)))</f>
        <v/>
      </c>
      <c r="I167" s="652"/>
      <c r="J167" s="355" t="str">
        <f t="shared" si="18"/>
        <v/>
      </c>
    </row>
    <row r="168" spans="2:10" x14ac:dyDescent="0.25">
      <c r="B168" s="569"/>
      <c r="C168" s="764" t="str">
        <f t="shared" si="17"/>
        <v/>
      </c>
      <c r="D168" s="355"/>
      <c r="E168" s="355"/>
      <c r="F168" s="765"/>
      <c r="G168" s="766" t="str">
        <f>+IF(ISBLANK(F168),"",IF(J168="Yes",F168,F168*(1+Economics!$AK$29)))</f>
        <v/>
      </c>
      <c r="I168" s="652"/>
      <c r="J168" s="355" t="str">
        <f t="shared" si="18"/>
        <v/>
      </c>
    </row>
    <row r="169" spans="2:10" x14ac:dyDescent="0.25">
      <c r="B169" s="569"/>
      <c r="C169" s="764" t="str">
        <f t="shared" si="17"/>
        <v/>
      </c>
      <c r="D169" s="355"/>
      <c r="E169" s="355"/>
      <c r="F169" s="765"/>
      <c r="G169" s="766" t="str">
        <f>+IF(ISBLANK(F169),"",IF(J169="Yes",F169,F169*(1+Economics!$AK$29)))</f>
        <v/>
      </c>
      <c r="I169" s="652"/>
      <c r="J169" s="355" t="str">
        <f t="shared" si="18"/>
        <v/>
      </c>
    </row>
    <row r="170" spans="2:10" x14ac:dyDescent="0.25">
      <c r="B170" s="569"/>
      <c r="C170" s="764" t="str">
        <f t="shared" si="17"/>
        <v/>
      </c>
      <c r="D170" s="355"/>
      <c r="E170" s="355"/>
      <c r="F170" s="765"/>
      <c r="G170" s="766" t="str">
        <f>+IF(ISBLANK(F170),"",IF(J170="Yes",F170,F170*(1+Economics!$AK$29)))</f>
        <v/>
      </c>
      <c r="I170" s="652"/>
      <c r="J170" s="355" t="str">
        <f t="shared" si="18"/>
        <v/>
      </c>
    </row>
    <row r="171" spans="2:10" x14ac:dyDescent="0.25">
      <c r="B171" s="569"/>
      <c r="C171" s="764" t="str">
        <f t="shared" si="17"/>
        <v/>
      </c>
      <c r="D171" s="355"/>
      <c r="E171" s="355"/>
      <c r="F171" s="765"/>
      <c r="G171" s="766" t="str">
        <f>+IF(ISBLANK(F171),"",IF(J171="Yes",F171,F171*(1+Economics!$AK$29)))</f>
        <v/>
      </c>
      <c r="I171" s="652"/>
      <c r="J171" s="355" t="str">
        <f t="shared" si="18"/>
        <v/>
      </c>
    </row>
    <row r="172" spans="2:10" x14ac:dyDescent="0.25">
      <c r="B172" s="569"/>
      <c r="C172" s="764" t="str">
        <f t="shared" si="17"/>
        <v/>
      </c>
      <c r="D172" s="355"/>
      <c r="E172" s="355"/>
      <c r="F172" s="765"/>
      <c r="G172" s="766" t="str">
        <f>+IF(ISBLANK(F172),"",IF(J172="Yes",F172,F172*(1+Economics!$AK$29)))</f>
        <v/>
      </c>
      <c r="I172" s="652"/>
      <c r="J172" s="355" t="str">
        <f t="shared" si="18"/>
        <v/>
      </c>
    </row>
    <row r="173" spans="2:10" x14ac:dyDescent="0.25">
      <c r="B173" s="527"/>
      <c r="C173" s="764" t="str">
        <f t="shared" si="17"/>
        <v/>
      </c>
      <c r="D173" s="355"/>
      <c r="E173" s="355"/>
      <c r="F173" s="765"/>
      <c r="G173" s="766" t="str">
        <f>+IF(ISBLANK(F173),"",IF(J173="Yes",F173,F173*(1+Economics!$AK$29)))</f>
        <v/>
      </c>
      <c r="I173" s="652"/>
      <c r="J173" s="355" t="str">
        <f t="shared" si="18"/>
        <v/>
      </c>
    </row>
    <row r="174" spans="2:10" x14ac:dyDescent="0.25">
      <c r="B174" s="569"/>
      <c r="C174" s="764" t="str">
        <f t="shared" si="17"/>
        <v/>
      </c>
      <c r="D174" s="355"/>
      <c r="E174" s="355"/>
      <c r="F174" s="765"/>
      <c r="G174" s="766" t="str">
        <f>+IF(ISBLANK(F174),"",IF(J174="Yes",F174,F174*(1+Economics!$AK$29)))</f>
        <v/>
      </c>
      <c r="I174" s="652"/>
      <c r="J174" s="355" t="str">
        <f t="shared" si="18"/>
        <v/>
      </c>
    </row>
    <row r="175" spans="2:10" x14ac:dyDescent="0.25">
      <c r="B175" s="569"/>
      <c r="C175" s="764" t="str">
        <f t="shared" si="17"/>
        <v/>
      </c>
      <c r="D175" s="355"/>
      <c r="E175" s="355"/>
      <c r="F175" s="765"/>
      <c r="G175" s="766" t="str">
        <f>+IF(ISBLANK(F175),"",IF(J175="Yes",F175,F175*(1+Economics!$AK$29)))</f>
        <v/>
      </c>
      <c r="I175" s="652"/>
      <c r="J175" s="355" t="str">
        <f t="shared" si="18"/>
        <v/>
      </c>
    </row>
    <row r="176" spans="2:10" x14ac:dyDescent="0.25">
      <c r="B176" s="569"/>
      <c r="C176" s="764" t="str">
        <f t="shared" si="17"/>
        <v/>
      </c>
      <c r="D176" s="355"/>
      <c r="E176" s="355"/>
      <c r="F176" s="765"/>
      <c r="G176" s="766" t="str">
        <f>+IF(ISBLANK(F176),"",IF(J176="Yes",F176,F176*(1+Economics!$AK$29)))</f>
        <v/>
      </c>
      <c r="I176" s="652"/>
      <c r="J176" s="355" t="str">
        <f t="shared" si="18"/>
        <v/>
      </c>
    </row>
    <row r="177" spans="2:10" x14ac:dyDescent="0.25">
      <c r="B177" s="569"/>
      <c r="C177" s="764" t="str">
        <f t="shared" si="17"/>
        <v/>
      </c>
      <c r="D177" s="355"/>
      <c r="E177" s="355"/>
      <c r="F177" s="765"/>
      <c r="G177" s="766" t="str">
        <f>+IF(ISBLANK(F177),"",IF(J177="Yes",F177,F177*(1+Economics!$AK$29)))</f>
        <v/>
      </c>
      <c r="I177" s="652"/>
      <c r="J177" s="355" t="str">
        <f t="shared" si="18"/>
        <v/>
      </c>
    </row>
    <row r="178" spans="2:10" x14ac:dyDescent="0.25">
      <c r="B178" s="569"/>
      <c r="C178" s="764" t="str">
        <f t="shared" si="17"/>
        <v/>
      </c>
      <c r="D178" s="355"/>
      <c r="E178" s="355"/>
      <c r="F178" s="765"/>
      <c r="G178" s="766" t="str">
        <f>+IF(ISBLANK(F178),"",IF(J178="Yes",F178,F178*(1+Economics!$AK$29)))</f>
        <v/>
      </c>
      <c r="I178" s="652"/>
      <c r="J178" s="355" t="str">
        <f t="shared" si="18"/>
        <v/>
      </c>
    </row>
    <row r="179" spans="2:10" x14ac:dyDescent="0.25">
      <c r="B179" s="527"/>
      <c r="C179" s="764" t="str">
        <f t="shared" si="17"/>
        <v/>
      </c>
      <c r="D179" s="355"/>
      <c r="E179" s="355"/>
      <c r="F179" s="765"/>
      <c r="G179" s="766" t="str">
        <f>+IF(ISBLANK(F179),"",IF(J179="Yes",F179,F179*(1+Economics!$AK$29)))</f>
        <v/>
      </c>
      <c r="I179" s="652"/>
      <c r="J179" s="355" t="str">
        <f t="shared" si="18"/>
        <v/>
      </c>
    </row>
    <row r="180" spans="2:10" x14ac:dyDescent="0.25">
      <c r="B180" s="527"/>
      <c r="C180" s="764" t="str">
        <f t="shared" si="17"/>
        <v/>
      </c>
      <c r="D180" s="355"/>
      <c r="E180" s="355"/>
      <c r="F180" s="765"/>
      <c r="G180" s="766" t="str">
        <f>+IF(ISBLANK(F180),"",IF(J180="Yes",F180,F180*(1+Economics!$AK$29)))</f>
        <v/>
      </c>
      <c r="I180" s="652"/>
      <c r="J180" s="355" t="str">
        <f t="shared" si="18"/>
        <v/>
      </c>
    </row>
    <row r="181" spans="2:10" x14ac:dyDescent="0.25">
      <c r="B181" s="527"/>
      <c r="C181" s="764" t="str">
        <f t="shared" si="17"/>
        <v/>
      </c>
      <c r="D181" s="355"/>
      <c r="E181" s="355"/>
      <c r="F181" s="765"/>
      <c r="G181" s="766" t="str">
        <f>+IF(ISBLANK(F181),"",IF(J181="Yes",F181,F181*(1+Economics!$AK$29)))</f>
        <v/>
      </c>
      <c r="I181" s="652"/>
      <c r="J181" s="355" t="str">
        <f t="shared" si="18"/>
        <v/>
      </c>
    </row>
    <row r="182" spans="2:10" x14ac:dyDescent="0.25">
      <c r="B182" s="527"/>
      <c r="C182" s="764" t="str">
        <f t="shared" si="17"/>
        <v/>
      </c>
      <c r="D182" s="355"/>
      <c r="E182" s="355"/>
      <c r="F182" s="765"/>
      <c r="G182" s="766" t="str">
        <f>+IF(ISBLANK(F182),"",IF(J182="Yes",F182,F182*(1+Economics!$AK$29)))</f>
        <v/>
      </c>
      <c r="I182" s="652"/>
      <c r="J182" s="355" t="str">
        <f t="shared" si="18"/>
        <v/>
      </c>
    </row>
    <row r="183" spans="2:10" x14ac:dyDescent="0.25">
      <c r="B183" s="527"/>
      <c r="C183" s="764" t="str">
        <f t="shared" si="17"/>
        <v/>
      </c>
      <c r="D183" s="355"/>
      <c r="E183" s="355"/>
      <c r="F183" s="765"/>
      <c r="G183" s="766" t="str">
        <f>+IF(ISBLANK(F183),"",IF(J183="Yes",F183,F183*(1+Economics!$AK$29)))</f>
        <v/>
      </c>
      <c r="I183" s="652"/>
      <c r="J183" s="355" t="str">
        <f t="shared" si="18"/>
        <v/>
      </c>
    </row>
    <row r="184" spans="2:10" x14ac:dyDescent="0.25">
      <c r="B184" s="527"/>
      <c r="C184" s="764" t="str">
        <f t="shared" si="17"/>
        <v/>
      </c>
      <c r="D184" s="355"/>
      <c r="E184" s="355"/>
      <c r="F184" s="765"/>
      <c r="G184" s="766" t="str">
        <f>+IF(ISBLANK(F184),"",IF(J184="Yes",F184,F184*(1+Economics!$AK$29)))</f>
        <v/>
      </c>
      <c r="I184" s="652"/>
      <c r="J184" s="355" t="str">
        <f t="shared" si="18"/>
        <v/>
      </c>
    </row>
    <row r="185" spans="2:10" x14ac:dyDescent="0.25">
      <c r="B185" s="527"/>
      <c r="C185" s="764" t="str">
        <f t="shared" si="17"/>
        <v/>
      </c>
      <c r="D185" s="355"/>
      <c r="E185" s="355"/>
      <c r="F185" s="765"/>
      <c r="G185" s="766" t="str">
        <f>+IF(ISBLANK(F185),"",IF(J185="Yes",F185,F185*(1+Economics!$AK$29)))</f>
        <v/>
      </c>
      <c r="I185" s="652"/>
      <c r="J185" s="355" t="str">
        <f t="shared" si="18"/>
        <v/>
      </c>
    </row>
    <row r="186" spans="2:10" x14ac:dyDescent="0.25">
      <c r="B186" s="527"/>
      <c r="C186" s="764" t="str">
        <f t="shared" si="17"/>
        <v/>
      </c>
      <c r="D186" s="355"/>
      <c r="E186" s="355"/>
      <c r="F186" s="765"/>
      <c r="G186" s="766" t="str">
        <f>+IF(ISBLANK(F186),"",IF(J186="Yes",F186,F186*(1+Economics!$AK$29)))</f>
        <v/>
      </c>
      <c r="I186" s="652"/>
      <c r="J186" s="355" t="str">
        <f t="shared" si="18"/>
        <v/>
      </c>
    </row>
    <row r="187" spans="2:10" x14ac:dyDescent="0.25">
      <c r="B187" s="527"/>
      <c r="C187" s="764" t="str">
        <f t="shared" si="17"/>
        <v/>
      </c>
      <c r="D187" s="355"/>
      <c r="E187" s="355"/>
      <c r="F187" s="765"/>
      <c r="G187" s="766" t="str">
        <f>+IF(ISBLANK(F187),"",IF(J187="Yes",F187,F187*(1+Economics!$AK$29)))</f>
        <v/>
      </c>
      <c r="I187" s="652"/>
      <c r="J187" s="355" t="str">
        <f t="shared" si="18"/>
        <v/>
      </c>
    </row>
    <row r="188" spans="2:10" x14ac:dyDescent="0.25">
      <c r="B188" s="527"/>
      <c r="C188" s="764" t="str">
        <f t="shared" si="17"/>
        <v/>
      </c>
      <c r="D188" s="355"/>
      <c r="E188" s="355"/>
      <c r="F188" s="765"/>
      <c r="G188" s="766" t="str">
        <f>+IF(ISBLANK(F188),"",IF(J188="Yes",F188,F188*(1+Economics!$AK$29)))</f>
        <v/>
      </c>
      <c r="I188" s="652"/>
      <c r="J188" s="355" t="str">
        <f t="shared" si="18"/>
        <v/>
      </c>
    </row>
    <row r="189" spans="2:10" x14ac:dyDescent="0.25">
      <c r="B189" s="527"/>
      <c r="C189" s="764" t="str">
        <f t="shared" si="17"/>
        <v/>
      </c>
      <c r="D189" s="355"/>
      <c r="E189" s="355"/>
      <c r="F189" s="765"/>
      <c r="G189" s="766" t="str">
        <f>+IF(ISBLANK(F189),"",IF(J189="Yes",F189,F189*(1+Economics!$AK$29)))</f>
        <v/>
      </c>
      <c r="I189" s="652"/>
      <c r="J189" s="355" t="str">
        <f t="shared" si="18"/>
        <v/>
      </c>
    </row>
    <row r="190" spans="2:10" x14ac:dyDescent="0.25">
      <c r="B190" s="527"/>
      <c r="C190" s="764" t="str">
        <f t="shared" si="17"/>
        <v/>
      </c>
      <c r="D190" s="355"/>
      <c r="E190" s="355"/>
      <c r="F190" s="765"/>
      <c r="G190" s="766" t="str">
        <f>+IF(ISBLANK(F190),"",IF(J190="Yes",F190,F190*(1+Economics!$AK$29)))</f>
        <v/>
      </c>
      <c r="I190" s="652"/>
      <c r="J190" s="355" t="str">
        <f t="shared" si="18"/>
        <v/>
      </c>
    </row>
    <row r="191" spans="2:10" x14ac:dyDescent="0.25">
      <c r="B191" s="527"/>
      <c r="C191" s="764" t="str">
        <f t="shared" si="17"/>
        <v/>
      </c>
      <c r="D191" s="355"/>
      <c r="E191" s="355"/>
      <c r="F191" s="765"/>
      <c r="G191" s="766" t="str">
        <f>+IF(ISBLANK(F191),"",IF(J191="Yes",F191,F191*(1+Economics!$AK$29)))</f>
        <v/>
      </c>
      <c r="I191" s="652"/>
      <c r="J191" s="355" t="str">
        <f t="shared" si="18"/>
        <v/>
      </c>
    </row>
    <row r="192" spans="2:10" x14ac:dyDescent="0.25">
      <c r="B192" s="527"/>
      <c r="C192" s="764" t="str">
        <f t="shared" si="17"/>
        <v/>
      </c>
      <c r="D192" s="355"/>
      <c r="E192" s="355"/>
      <c r="F192" s="765"/>
      <c r="G192" s="766" t="str">
        <f>+IF(ISBLANK(F192),"",IF(J192="Yes",F192,F192*(1+Economics!$AK$29)))</f>
        <v/>
      </c>
      <c r="I192" s="652"/>
      <c r="J192" s="355" t="str">
        <f t="shared" si="18"/>
        <v/>
      </c>
    </row>
    <row r="193" spans="2:10" x14ac:dyDescent="0.25">
      <c r="B193" s="527"/>
      <c r="C193" s="764" t="str">
        <f t="shared" si="17"/>
        <v/>
      </c>
      <c r="D193" s="355"/>
      <c r="E193" s="355"/>
      <c r="F193" s="765"/>
      <c r="G193" s="766" t="str">
        <f>+IF(ISBLANK(F193),"",IF(J193="Yes",F193,F193*(1+Economics!$AK$29)))</f>
        <v/>
      </c>
      <c r="I193" s="652"/>
      <c r="J193" s="355" t="str">
        <f t="shared" si="18"/>
        <v/>
      </c>
    </row>
    <row r="194" spans="2:10" x14ac:dyDescent="0.25">
      <c r="B194" s="527"/>
      <c r="C194" s="764" t="str">
        <f t="shared" si="17"/>
        <v/>
      </c>
      <c r="D194" s="355"/>
      <c r="E194" s="355"/>
      <c r="F194" s="765"/>
      <c r="G194" s="766" t="str">
        <f>+IF(ISBLANK(F194),"",IF(J194="Yes",F194,F194*(1+Economics!$AK$29)))</f>
        <v/>
      </c>
      <c r="I194" s="652"/>
      <c r="J194" s="355" t="str">
        <f t="shared" si="18"/>
        <v/>
      </c>
    </row>
    <row r="195" spans="2:10" x14ac:dyDescent="0.25">
      <c r="B195" s="527"/>
      <c r="C195" s="764" t="str">
        <f t="shared" si="17"/>
        <v/>
      </c>
      <c r="D195" s="355"/>
      <c r="E195" s="355"/>
      <c r="F195" s="765"/>
      <c r="G195" s="766" t="str">
        <f>+IF(ISBLANK(F195),"",IF(J195="Yes",F195,F195*(1+Economics!$AK$29)))</f>
        <v/>
      </c>
      <c r="I195" s="652"/>
      <c r="J195" s="355" t="str">
        <f t="shared" si="18"/>
        <v/>
      </c>
    </row>
    <row r="196" spans="2:10" x14ac:dyDescent="0.25">
      <c r="B196" s="527"/>
      <c r="C196" s="764" t="str">
        <f t="shared" si="17"/>
        <v/>
      </c>
      <c r="D196" s="355"/>
      <c r="E196" s="355"/>
      <c r="F196" s="765"/>
      <c r="G196" s="766" t="str">
        <f>+IF(ISBLANK(F196),"",IF(J196="Yes",F196,F196*(1+Economics!$AK$29)))</f>
        <v/>
      </c>
      <c r="I196" s="652"/>
      <c r="J196" s="355" t="str">
        <f t="shared" si="18"/>
        <v/>
      </c>
    </row>
    <row r="197" spans="2:10" x14ac:dyDescent="0.25">
      <c r="B197" s="527"/>
      <c r="C197" s="764" t="str">
        <f t="shared" si="17"/>
        <v/>
      </c>
      <c r="D197" s="355"/>
      <c r="E197" s="355"/>
      <c r="F197" s="765"/>
      <c r="G197" s="766" t="str">
        <f>+IF(ISBLANK(F197),"",IF(J197="Yes",F197,F197*(1+Economics!$AK$29)))</f>
        <v/>
      </c>
      <c r="I197" s="652"/>
      <c r="J197" s="355" t="str">
        <f t="shared" si="18"/>
        <v/>
      </c>
    </row>
    <row r="198" spans="2:10" x14ac:dyDescent="0.25">
      <c r="B198" s="527"/>
      <c r="C198" s="764" t="str">
        <f t="shared" si="17"/>
        <v/>
      </c>
      <c r="D198" s="355"/>
      <c r="E198" s="355"/>
      <c r="F198" s="765"/>
      <c r="G198" s="766" t="str">
        <f>+IF(ISBLANK(F198),"",IF(J198="Yes",F198,F198*(1+Economics!$AK$29)))</f>
        <v/>
      </c>
      <c r="I198" s="652"/>
      <c r="J198" s="355" t="str">
        <f t="shared" si="18"/>
        <v/>
      </c>
    </row>
    <row r="199" spans="2:10" x14ac:dyDescent="0.25">
      <c r="B199" s="527"/>
      <c r="C199" s="764" t="str">
        <f t="shared" si="17"/>
        <v/>
      </c>
      <c r="D199" s="355"/>
      <c r="E199" s="355"/>
      <c r="F199" s="765"/>
      <c r="G199" s="766" t="str">
        <f>+IF(ISBLANK(F199),"",IF(J199="Yes",F199,F199*(1+Economics!$AK$29)))</f>
        <v/>
      </c>
      <c r="I199" s="652"/>
      <c r="J199" s="355" t="str">
        <f t="shared" si="18"/>
        <v/>
      </c>
    </row>
    <row r="200" spans="2:10" x14ac:dyDescent="0.25">
      <c r="B200" s="527"/>
      <c r="C200" s="764" t="str">
        <f t="shared" si="17"/>
        <v/>
      </c>
      <c r="D200" s="355"/>
      <c r="E200" s="355"/>
      <c r="F200" s="765"/>
      <c r="G200" s="766" t="str">
        <f>+IF(ISBLANK(F200),"",IF(J200="Yes",F200,F200*(1+Economics!$AK$29)))</f>
        <v/>
      </c>
      <c r="I200" s="652"/>
      <c r="J200" s="355" t="str">
        <f t="shared" si="18"/>
        <v/>
      </c>
    </row>
    <row r="201" spans="2:10" x14ac:dyDescent="0.25">
      <c r="B201" s="527"/>
      <c r="C201" s="764" t="str">
        <f t="shared" si="17"/>
        <v/>
      </c>
      <c r="D201" s="355"/>
      <c r="E201" s="355"/>
      <c r="F201" s="765"/>
      <c r="G201" s="766" t="str">
        <f>+IF(ISBLANK(F201),"",IF(J201="Yes",F201,F201*(1+Economics!$AK$29)))</f>
        <v/>
      </c>
      <c r="I201" s="652"/>
      <c r="J201" s="355" t="str">
        <f t="shared" si="18"/>
        <v/>
      </c>
    </row>
    <row r="202" spans="2:10" x14ac:dyDescent="0.25">
      <c r="B202" s="527"/>
      <c r="C202" s="764" t="str">
        <f t="shared" si="17"/>
        <v/>
      </c>
      <c r="D202" s="355"/>
      <c r="E202" s="355"/>
      <c r="F202" s="765"/>
      <c r="G202" s="766" t="str">
        <f>+IF(ISBLANK(F202),"",IF(J202="Yes",F202,F202*(1+Economics!$AK$29)))</f>
        <v/>
      </c>
      <c r="I202" s="652"/>
      <c r="J202" s="355" t="str">
        <f t="shared" si="18"/>
        <v/>
      </c>
    </row>
    <row r="203" spans="2:10" x14ac:dyDescent="0.25">
      <c r="B203" s="527"/>
      <c r="C203" s="764" t="str">
        <f t="shared" si="17"/>
        <v/>
      </c>
      <c r="D203" s="355"/>
      <c r="E203" s="355"/>
      <c r="F203" s="765"/>
      <c r="G203" s="766" t="str">
        <f>+IF(ISBLANK(F203),"",IF(J203="Yes",F203,F203*(1+Economics!$AK$29)))</f>
        <v/>
      </c>
      <c r="I203" s="652"/>
      <c r="J203" s="355" t="str">
        <f t="shared" si="18"/>
        <v/>
      </c>
    </row>
    <row r="204" spans="2:10" x14ac:dyDescent="0.25">
      <c r="B204" s="527"/>
      <c r="C204" s="764" t="str">
        <f t="shared" si="17"/>
        <v/>
      </c>
      <c r="D204" s="355"/>
      <c r="E204" s="355"/>
      <c r="F204" s="765"/>
      <c r="G204" s="766" t="str">
        <f>+IF(ISBLANK(F204),"",IF(J204="Yes",F204,F204*(1+Economics!$AK$29)))</f>
        <v/>
      </c>
      <c r="I204" s="652"/>
      <c r="J204" s="355" t="str">
        <f t="shared" si="18"/>
        <v/>
      </c>
    </row>
    <row r="205" spans="2:10" x14ac:dyDescent="0.25">
      <c r="B205" s="527"/>
      <c r="C205" s="764" t="str">
        <f t="shared" si="17"/>
        <v/>
      </c>
      <c r="D205" s="355"/>
      <c r="E205" s="355"/>
      <c r="F205" s="765"/>
      <c r="G205" s="766" t="str">
        <f>+IF(ISBLANK(F205),"",IF(J205="Yes",F205,F205*(1+Economics!$AK$29)))</f>
        <v/>
      </c>
      <c r="I205" s="652"/>
      <c r="J205" s="355" t="str">
        <f t="shared" si="18"/>
        <v/>
      </c>
    </row>
    <row r="206" spans="2:10" x14ac:dyDescent="0.25">
      <c r="B206" s="527"/>
      <c r="C206" s="764" t="str">
        <f t="shared" si="17"/>
        <v/>
      </c>
      <c r="D206" s="355"/>
      <c r="E206" s="355"/>
      <c r="F206" s="765"/>
      <c r="G206" s="766" t="str">
        <f>+IF(ISBLANK(F206),"",IF(J206="Yes",F206,F206*(1+Economics!$AK$29)))</f>
        <v/>
      </c>
      <c r="I206" s="652"/>
      <c r="J206" s="355" t="str">
        <f t="shared" si="18"/>
        <v/>
      </c>
    </row>
    <row r="207" spans="2:10" x14ac:dyDescent="0.25">
      <c r="B207" s="527"/>
      <c r="C207" s="764" t="str">
        <f t="shared" si="17"/>
        <v/>
      </c>
      <c r="D207" s="355"/>
      <c r="E207" s="355"/>
      <c r="F207" s="765"/>
      <c r="G207" s="766" t="str">
        <f>+IF(ISBLANK(F207),"",IF(J207="Yes",F207,F207*(1+Economics!$AK$29)))</f>
        <v/>
      </c>
      <c r="I207" s="652"/>
      <c r="J207" s="355" t="str">
        <f t="shared" si="18"/>
        <v/>
      </c>
    </row>
    <row r="208" spans="2:10" x14ac:dyDescent="0.25">
      <c r="B208" s="527"/>
      <c r="C208" s="764" t="str">
        <f t="shared" si="17"/>
        <v/>
      </c>
      <c r="D208" s="355"/>
      <c r="E208" s="355"/>
      <c r="F208" s="765"/>
      <c r="G208" s="766" t="str">
        <f>+IF(ISBLANK(F208),"",IF(J208="Yes",F208,F208*(1+Economics!$AK$29)))</f>
        <v/>
      </c>
      <c r="I208" s="652"/>
      <c r="J208" s="355" t="str">
        <f t="shared" si="18"/>
        <v/>
      </c>
    </row>
    <row r="209" spans="2:10" x14ac:dyDescent="0.25">
      <c r="B209" s="527"/>
      <c r="C209" s="764" t="str">
        <f t="shared" si="17"/>
        <v/>
      </c>
      <c r="D209" s="355"/>
      <c r="E209" s="355"/>
      <c r="F209" s="765"/>
      <c r="G209" s="766" t="str">
        <f>+IF(ISBLANK(F209),"",IF(J209="Yes",F209,F209*(1+Economics!$AK$29)))</f>
        <v/>
      </c>
      <c r="I209" s="652"/>
      <c r="J209" s="355" t="str">
        <f t="shared" si="18"/>
        <v/>
      </c>
    </row>
    <row r="210" spans="2:10" x14ac:dyDescent="0.25">
      <c r="B210" s="527"/>
      <c r="C210" s="764" t="str">
        <f t="shared" si="17"/>
        <v/>
      </c>
      <c r="D210" s="355"/>
      <c r="E210" s="355"/>
      <c r="F210" s="765"/>
      <c r="G210" s="766" t="str">
        <f>+IF(ISBLANK(F210),"",IF(J210="Yes",F210,F210*(1+Economics!$AK$29)))</f>
        <v/>
      </c>
      <c r="I210" s="652"/>
      <c r="J210" s="355" t="str">
        <f t="shared" si="18"/>
        <v/>
      </c>
    </row>
    <row r="211" spans="2:10" x14ac:dyDescent="0.25">
      <c r="B211" s="527"/>
      <c r="C211" s="764" t="str">
        <f t="shared" si="17"/>
        <v/>
      </c>
      <c r="D211" s="355"/>
      <c r="E211" s="355"/>
      <c r="F211" s="765"/>
      <c r="G211" s="766" t="str">
        <f>+IF(ISBLANK(F211),"",IF(J211="Yes",F211,F211*(1+Economics!$AK$29)))</f>
        <v/>
      </c>
      <c r="I211" s="652"/>
      <c r="J211" s="355" t="str">
        <f t="shared" si="18"/>
        <v/>
      </c>
    </row>
    <row r="212" spans="2:10" x14ac:dyDescent="0.25">
      <c r="B212" s="527"/>
      <c r="C212" s="764" t="str">
        <f t="shared" si="17"/>
        <v/>
      </c>
      <c r="D212" s="355"/>
      <c r="E212" s="355"/>
      <c r="F212" s="765"/>
      <c r="G212" s="766" t="str">
        <f>+IF(ISBLANK(F212),"",IF(J212="Yes",F212,F212*(1+Economics!$AK$29)))</f>
        <v/>
      </c>
      <c r="I212" s="652"/>
      <c r="J212" s="355" t="str">
        <f t="shared" si="18"/>
        <v/>
      </c>
    </row>
    <row r="213" spans="2:10" x14ac:dyDescent="0.25">
      <c r="B213" s="527"/>
      <c r="C213" s="764" t="str">
        <f t="shared" si="17"/>
        <v/>
      </c>
      <c r="D213" s="355"/>
      <c r="E213" s="355"/>
      <c r="F213" s="765"/>
      <c r="G213" s="766" t="str">
        <f>+IF(ISBLANK(F213),"",IF(J213="Yes",F213,F213*(1+Economics!$AK$29)))</f>
        <v/>
      </c>
      <c r="I213" s="652"/>
      <c r="J213" s="355" t="str">
        <f t="shared" si="18"/>
        <v/>
      </c>
    </row>
    <row r="214" spans="2:10" x14ac:dyDescent="0.25">
      <c r="B214" s="527"/>
      <c r="C214" s="764" t="str">
        <f t="shared" si="17"/>
        <v/>
      </c>
      <c r="D214" s="355"/>
      <c r="E214" s="355"/>
      <c r="F214" s="765"/>
      <c r="G214" s="766" t="str">
        <f>+IF(ISBLANK(F214),"",IF(J214="Yes",F214,F214*(1+Economics!$AK$29)))</f>
        <v/>
      </c>
      <c r="I214" s="652"/>
      <c r="J214" s="355" t="str">
        <f t="shared" si="18"/>
        <v/>
      </c>
    </row>
    <row r="215" spans="2:10" x14ac:dyDescent="0.25">
      <c r="B215" s="527"/>
      <c r="C215" s="764" t="str">
        <f t="shared" si="17"/>
        <v/>
      </c>
      <c r="D215" s="355"/>
      <c r="E215" s="355"/>
      <c r="F215" s="765"/>
      <c r="G215" s="766" t="str">
        <f>+IF(ISBLANK(F215),"",IF(J215="Yes",F215,F215*(1+Economics!$AK$29)))</f>
        <v/>
      </c>
      <c r="I215" s="652"/>
      <c r="J215" s="355" t="str">
        <f t="shared" si="18"/>
        <v/>
      </c>
    </row>
    <row r="216" spans="2:10" x14ac:dyDescent="0.25">
      <c r="B216" s="527"/>
      <c r="C216" s="764" t="str">
        <f t="shared" si="17"/>
        <v/>
      </c>
      <c r="D216" s="355"/>
      <c r="E216" s="355"/>
      <c r="F216" s="765"/>
      <c r="G216" s="766" t="str">
        <f>+IF(ISBLANK(F216),"",IF(J216="Yes",F216,F216*(1+Economics!$AK$29)))</f>
        <v/>
      </c>
      <c r="I216" s="652"/>
      <c r="J216" s="355" t="str">
        <f t="shared" si="18"/>
        <v/>
      </c>
    </row>
    <row r="217" spans="2:10" x14ac:dyDescent="0.25">
      <c r="B217" s="527"/>
      <c r="C217" s="764" t="str">
        <f t="shared" si="17"/>
        <v/>
      </c>
      <c r="D217" s="355"/>
      <c r="E217" s="355"/>
      <c r="F217" s="765"/>
      <c r="G217" s="766" t="str">
        <f>+IF(ISBLANK(F217),"",IF(J217="Yes",F217,F217*(1+Economics!$AK$29)))</f>
        <v/>
      </c>
      <c r="I217" s="652"/>
      <c r="J217" s="355" t="str">
        <f t="shared" si="18"/>
        <v/>
      </c>
    </row>
    <row r="218" spans="2:10" x14ac:dyDescent="0.25">
      <c r="B218" s="527"/>
      <c r="C218" s="764" t="str">
        <f t="shared" si="17"/>
        <v/>
      </c>
      <c r="D218" s="355"/>
      <c r="E218" s="355"/>
      <c r="F218" s="765"/>
      <c r="G218" s="766" t="str">
        <f>+IF(ISBLANK(F218),"",IF(J218="Yes",F218,F218*(1+Economics!$AK$29)))</f>
        <v/>
      </c>
      <c r="I218" s="652"/>
      <c r="J218" s="355" t="str">
        <f t="shared" si="18"/>
        <v/>
      </c>
    </row>
    <row r="219" spans="2:10" x14ac:dyDescent="0.25">
      <c r="B219" s="527"/>
      <c r="C219" s="764" t="str">
        <f t="shared" si="17"/>
        <v/>
      </c>
      <c r="D219" s="355"/>
      <c r="E219" s="355"/>
      <c r="F219" s="765"/>
      <c r="G219" s="766" t="str">
        <f>+IF(ISBLANK(F219),"",IF(J219="Yes",F219,F219*(1+Economics!$AK$29)))</f>
        <v/>
      </c>
      <c r="I219" s="652"/>
      <c r="J219" s="355" t="str">
        <f t="shared" si="18"/>
        <v/>
      </c>
    </row>
    <row r="220" spans="2:10" x14ac:dyDescent="0.25">
      <c r="B220" s="527"/>
      <c r="C220" s="764" t="str">
        <f t="shared" si="17"/>
        <v/>
      </c>
      <c r="D220" s="355"/>
      <c r="E220" s="355"/>
      <c r="F220" s="765"/>
      <c r="G220" s="766" t="str">
        <f>+IF(ISBLANK(F220),"",IF(J220="Yes",F220,F220*(1+Economics!$AK$29)))</f>
        <v/>
      </c>
      <c r="I220" s="652"/>
      <c r="J220" s="355" t="str">
        <f t="shared" si="18"/>
        <v/>
      </c>
    </row>
    <row r="221" spans="2:10" x14ac:dyDescent="0.25">
      <c r="B221" s="527"/>
      <c r="C221" s="764" t="str">
        <f t="shared" si="17"/>
        <v/>
      </c>
      <c r="D221" s="355"/>
      <c r="E221" s="355"/>
      <c r="F221" s="765"/>
      <c r="G221" s="766" t="str">
        <f>+IF(ISBLANK(F221),"",IF(J221="Yes",F221,F221*(1+Economics!$AK$29)))</f>
        <v/>
      </c>
      <c r="I221" s="652"/>
      <c r="J221" s="355" t="str">
        <f t="shared" si="18"/>
        <v/>
      </c>
    </row>
    <row r="222" spans="2:10" x14ac:dyDescent="0.25">
      <c r="B222" s="527"/>
      <c r="C222" s="764" t="str">
        <f t="shared" ref="C222:C285" si="19">+IF(ISBLANK(B222),"",IFERROR(INDEX($T$3:$T$7,MATCH(B222,$S$3:$S$7,0)),""))</f>
        <v/>
      </c>
      <c r="D222" s="355"/>
      <c r="E222" s="355"/>
      <c r="F222" s="765"/>
      <c r="G222" s="766" t="str">
        <f>+IF(ISBLANK(F222),"",IF(J222="Yes",F222,F222*(1+Economics!$AK$29)))</f>
        <v/>
      </c>
      <c r="I222" s="652"/>
      <c r="J222" s="355" t="str">
        <f t="shared" si="18"/>
        <v/>
      </c>
    </row>
    <row r="223" spans="2:10" x14ac:dyDescent="0.25">
      <c r="B223" s="527"/>
      <c r="C223" s="764" t="str">
        <f t="shared" si="19"/>
        <v/>
      </c>
      <c r="D223" s="355"/>
      <c r="E223" s="355"/>
      <c r="F223" s="765"/>
      <c r="G223" s="766" t="str">
        <f>+IF(ISBLANK(F223),"",IF(J223="Yes",F223,F223*(1+Economics!$AK$29)))</f>
        <v/>
      </c>
      <c r="I223" s="652"/>
      <c r="J223" s="355" t="str">
        <f t="shared" ref="J223:J286" si="20">+IF(ISBLANK(I223),"",IF(ISNUMBER(FIND("Yes",I223)),"No","Yes"))</f>
        <v/>
      </c>
    </row>
    <row r="224" spans="2:10" x14ac:dyDescent="0.25">
      <c r="B224" s="527"/>
      <c r="C224" s="764" t="str">
        <f t="shared" si="19"/>
        <v/>
      </c>
      <c r="D224" s="355"/>
      <c r="E224" s="355"/>
      <c r="F224" s="765"/>
      <c r="G224" s="766" t="str">
        <f>+IF(ISBLANK(F224),"",IF(J224="Yes",F224,F224*(1+Economics!$AK$29)))</f>
        <v/>
      </c>
      <c r="I224" s="652"/>
      <c r="J224" s="355" t="str">
        <f t="shared" si="20"/>
        <v/>
      </c>
    </row>
    <row r="225" spans="2:10" x14ac:dyDescent="0.25">
      <c r="B225" s="527"/>
      <c r="C225" s="764" t="str">
        <f t="shared" si="19"/>
        <v/>
      </c>
      <c r="D225" s="355"/>
      <c r="E225" s="355"/>
      <c r="F225" s="765"/>
      <c r="G225" s="766" t="str">
        <f>+IF(ISBLANK(F225),"",IF(J225="Yes",F225,F225*(1+Economics!$AK$29)))</f>
        <v/>
      </c>
      <c r="I225" s="652"/>
      <c r="J225" s="355" t="str">
        <f t="shared" si="20"/>
        <v/>
      </c>
    </row>
    <row r="226" spans="2:10" x14ac:dyDescent="0.25">
      <c r="B226" s="527"/>
      <c r="C226" s="764" t="str">
        <f t="shared" si="19"/>
        <v/>
      </c>
      <c r="D226" s="355"/>
      <c r="E226" s="355"/>
      <c r="F226" s="765"/>
      <c r="G226" s="766" t="str">
        <f>+IF(ISBLANK(F226),"",IF(J226="Yes",F226,F226*(1+Economics!$AK$29)))</f>
        <v/>
      </c>
      <c r="I226" s="652"/>
      <c r="J226" s="355" t="str">
        <f t="shared" si="20"/>
        <v/>
      </c>
    </row>
    <row r="227" spans="2:10" x14ac:dyDescent="0.25">
      <c r="B227" s="527"/>
      <c r="C227" s="764" t="str">
        <f t="shared" si="19"/>
        <v/>
      </c>
      <c r="D227" s="355"/>
      <c r="E227" s="355"/>
      <c r="F227" s="765"/>
      <c r="G227" s="766" t="str">
        <f>+IF(ISBLANK(F227),"",IF(J227="Yes",F227,F227*(1+Economics!$AK$29)))</f>
        <v/>
      </c>
      <c r="I227" s="652"/>
      <c r="J227" s="355" t="str">
        <f t="shared" si="20"/>
        <v/>
      </c>
    </row>
    <row r="228" spans="2:10" x14ac:dyDescent="0.25">
      <c r="B228" s="527"/>
      <c r="C228" s="764" t="str">
        <f t="shared" si="19"/>
        <v/>
      </c>
      <c r="D228" s="355"/>
      <c r="E228" s="355"/>
      <c r="F228" s="765"/>
      <c r="G228" s="766" t="str">
        <f>+IF(ISBLANK(F228),"",IF(J228="Yes",F228,F228*(1+Economics!$AK$29)))</f>
        <v/>
      </c>
      <c r="I228" s="652"/>
      <c r="J228" s="355" t="str">
        <f t="shared" si="20"/>
        <v/>
      </c>
    </row>
    <row r="229" spans="2:10" x14ac:dyDescent="0.25">
      <c r="B229" s="527"/>
      <c r="C229" s="764" t="str">
        <f t="shared" si="19"/>
        <v/>
      </c>
      <c r="D229" s="355"/>
      <c r="E229" s="355"/>
      <c r="F229" s="765"/>
      <c r="G229" s="766" t="str">
        <f>+IF(ISBLANK(F229),"",IF(J229="Yes",F229,F229*(1+Economics!$AK$29)))</f>
        <v/>
      </c>
      <c r="I229" s="652"/>
      <c r="J229" s="355" t="str">
        <f t="shared" si="20"/>
        <v/>
      </c>
    </row>
    <row r="230" spans="2:10" x14ac:dyDescent="0.25">
      <c r="B230" s="527"/>
      <c r="C230" s="764" t="str">
        <f t="shared" si="19"/>
        <v/>
      </c>
      <c r="D230" s="355"/>
      <c r="E230" s="355"/>
      <c r="F230" s="765"/>
      <c r="G230" s="766" t="str">
        <f>+IF(ISBLANK(F230),"",IF(J230="Yes",F230,F230*(1+Economics!$AK$29)))</f>
        <v/>
      </c>
      <c r="I230" s="652"/>
      <c r="J230" s="355" t="str">
        <f t="shared" si="20"/>
        <v/>
      </c>
    </row>
    <row r="231" spans="2:10" x14ac:dyDescent="0.25">
      <c r="B231" s="527"/>
      <c r="C231" s="764" t="str">
        <f t="shared" si="19"/>
        <v/>
      </c>
      <c r="D231" s="355"/>
      <c r="E231" s="355"/>
      <c r="F231" s="765"/>
      <c r="G231" s="766" t="str">
        <f>+IF(ISBLANK(F231),"",IF(J231="Yes",F231,F231*(1+Economics!$AK$29)))</f>
        <v/>
      </c>
      <c r="I231" s="652"/>
      <c r="J231" s="355" t="str">
        <f t="shared" si="20"/>
        <v/>
      </c>
    </row>
    <row r="232" spans="2:10" x14ac:dyDescent="0.25">
      <c r="B232" s="527"/>
      <c r="C232" s="764" t="str">
        <f t="shared" si="19"/>
        <v/>
      </c>
      <c r="D232" s="355"/>
      <c r="E232" s="355"/>
      <c r="F232" s="765"/>
      <c r="G232" s="766" t="str">
        <f>+IF(ISBLANK(F232),"",IF(J232="Yes",F232,F232*(1+Economics!$AK$29)))</f>
        <v/>
      </c>
      <c r="I232" s="652"/>
      <c r="J232" s="355" t="str">
        <f t="shared" si="20"/>
        <v/>
      </c>
    </row>
    <row r="233" spans="2:10" x14ac:dyDescent="0.25">
      <c r="B233" s="527"/>
      <c r="C233" s="764" t="str">
        <f t="shared" si="19"/>
        <v/>
      </c>
      <c r="D233" s="355"/>
      <c r="E233" s="355"/>
      <c r="F233" s="765"/>
      <c r="G233" s="766" t="str">
        <f>+IF(ISBLANK(F233),"",IF(J233="Yes",F233,F233*(1+Economics!$AK$29)))</f>
        <v/>
      </c>
      <c r="I233" s="652"/>
      <c r="J233" s="355" t="str">
        <f t="shared" si="20"/>
        <v/>
      </c>
    </row>
    <row r="234" spans="2:10" x14ac:dyDescent="0.25">
      <c r="B234" s="527"/>
      <c r="C234" s="764" t="str">
        <f t="shared" si="19"/>
        <v/>
      </c>
      <c r="D234" s="355"/>
      <c r="E234" s="355"/>
      <c r="F234" s="765"/>
      <c r="G234" s="766" t="str">
        <f>+IF(ISBLANK(F234),"",IF(J234="Yes",F234,F234*(1+Economics!$AK$29)))</f>
        <v/>
      </c>
      <c r="I234" s="652"/>
      <c r="J234" s="355" t="str">
        <f t="shared" si="20"/>
        <v/>
      </c>
    </row>
    <row r="235" spans="2:10" x14ac:dyDescent="0.25">
      <c r="B235" s="527"/>
      <c r="C235" s="764" t="str">
        <f t="shared" si="19"/>
        <v/>
      </c>
      <c r="D235" s="355"/>
      <c r="E235" s="355"/>
      <c r="F235" s="765"/>
      <c r="G235" s="766" t="str">
        <f>+IF(ISBLANK(F235),"",IF(J235="Yes",F235,F235*(1+Economics!$AK$29)))</f>
        <v/>
      </c>
      <c r="I235" s="652"/>
      <c r="J235" s="355" t="str">
        <f t="shared" si="20"/>
        <v/>
      </c>
    </row>
    <row r="236" spans="2:10" x14ac:dyDescent="0.25">
      <c r="B236" s="527"/>
      <c r="C236" s="764" t="str">
        <f t="shared" si="19"/>
        <v/>
      </c>
      <c r="D236" s="355"/>
      <c r="E236" s="355"/>
      <c r="F236" s="765"/>
      <c r="G236" s="766" t="str">
        <f>+IF(ISBLANK(F236),"",IF(J236="Yes",F236,F236*(1+Economics!$AK$29)))</f>
        <v/>
      </c>
      <c r="I236" s="652"/>
      <c r="J236" s="355" t="str">
        <f t="shared" si="20"/>
        <v/>
      </c>
    </row>
    <row r="237" spans="2:10" x14ac:dyDescent="0.25">
      <c r="B237" s="527"/>
      <c r="C237" s="764" t="str">
        <f t="shared" si="19"/>
        <v/>
      </c>
      <c r="D237" s="355"/>
      <c r="E237" s="355"/>
      <c r="F237" s="765"/>
      <c r="G237" s="766" t="str">
        <f>+IF(ISBLANK(F237),"",IF(J237="Yes",F237,F237*(1+Economics!$AK$29)))</f>
        <v/>
      </c>
      <c r="I237" s="652"/>
      <c r="J237" s="355" t="str">
        <f t="shared" si="20"/>
        <v/>
      </c>
    </row>
    <row r="238" spans="2:10" x14ac:dyDescent="0.25">
      <c r="B238" s="527"/>
      <c r="C238" s="764" t="str">
        <f t="shared" si="19"/>
        <v/>
      </c>
      <c r="D238" s="355"/>
      <c r="E238" s="355"/>
      <c r="F238" s="765"/>
      <c r="G238" s="766" t="str">
        <f>+IF(ISBLANK(F238),"",IF(J238="Yes",F238,F238*(1+Economics!$AK$29)))</f>
        <v/>
      </c>
      <c r="I238" s="652"/>
      <c r="J238" s="355" t="str">
        <f t="shared" si="20"/>
        <v/>
      </c>
    </row>
    <row r="239" spans="2:10" x14ac:dyDescent="0.25">
      <c r="B239" s="527"/>
      <c r="C239" s="764" t="str">
        <f t="shared" si="19"/>
        <v/>
      </c>
      <c r="D239" s="355"/>
      <c r="E239" s="355"/>
      <c r="F239" s="765"/>
      <c r="G239" s="766" t="str">
        <f>+IF(ISBLANK(F239),"",IF(J239="Yes",F239,F239*(1+Economics!$AK$29)))</f>
        <v/>
      </c>
      <c r="I239" s="652"/>
      <c r="J239" s="355" t="str">
        <f t="shared" si="20"/>
        <v/>
      </c>
    </row>
    <row r="240" spans="2:10" x14ac:dyDescent="0.25">
      <c r="B240" s="527"/>
      <c r="C240" s="764" t="str">
        <f t="shared" si="19"/>
        <v/>
      </c>
      <c r="D240" s="355"/>
      <c r="E240" s="355"/>
      <c r="F240" s="765"/>
      <c r="G240" s="766" t="str">
        <f>+IF(ISBLANK(F240),"",IF(J240="Yes",F240,F240*(1+Economics!$AK$29)))</f>
        <v/>
      </c>
      <c r="I240" s="652"/>
      <c r="J240" s="355" t="str">
        <f t="shared" si="20"/>
        <v/>
      </c>
    </row>
    <row r="241" spans="2:10" x14ac:dyDescent="0.25">
      <c r="B241" s="527"/>
      <c r="C241" s="764" t="str">
        <f t="shared" si="19"/>
        <v/>
      </c>
      <c r="D241" s="355"/>
      <c r="E241" s="355"/>
      <c r="F241" s="765"/>
      <c r="G241" s="766" t="str">
        <f>+IF(ISBLANK(F241),"",IF(J241="Yes",F241,F241*(1+Economics!$AK$29)))</f>
        <v/>
      </c>
      <c r="I241" s="652"/>
      <c r="J241" s="355" t="str">
        <f t="shared" si="20"/>
        <v/>
      </c>
    </row>
    <row r="242" spans="2:10" x14ac:dyDescent="0.25">
      <c r="B242" s="527"/>
      <c r="C242" s="764" t="str">
        <f t="shared" si="19"/>
        <v/>
      </c>
      <c r="D242" s="355"/>
      <c r="E242" s="355"/>
      <c r="F242" s="765"/>
      <c r="G242" s="766" t="str">
        <f>+IF(ISBLANK(F242),"",IF(J242="Yes",F242,F242*(1+Economics!$AK$29)))</f>
        <v/>
      </c>
      <c r="I242" s="652"/>
      <c r="J242" s="355" t="str">
        <f t="shared" si="20"/>
        <v/>
      </c>
    </row>
    <row r="243" spans="2:10" x14ac:dyDescent="0.25">
      <c r="B243" s="527"/>
      <c r="C243" s="764" t="str">
        <f t="shared" si="19"/>
        <v/>
      </c>
      <c r="D243" s="355"/>
      <c r="E243" s="355"/>
      <c r="F243" s="765"/>
      <c r="G243" s="766" t="str">
        <f>+IF(ISBLANK(F243),"",IF(J243="Yes",F243,F243*(1+Economics!$AK$29)))</f>
        <v/>
      </c>
      <c r="I243" s="652"/>
      <c r="J243" s="355" t="str">
        <f t="shared" si="20"/>
        <v/>
      </c>
    </row>
    <row r="244" spans="2:10" x14ac:dyDescent="0.25">
      <c r="B244" s="527"/>
      <c r="C244" s="764" t="str">
        <f t="shared" si="19"/>
        <v/>
      </c>
      <c r="D244" s="355"/>
      <c r="E244" s="355"/>
      <c r="F244" s="765"/>
      <c r="G244" s="766" t="str">
        <f>+IF(ISBLANK(F244),"",IF(J244="Yes",F244,F244*(1+Economics!$AK$29)))</f>
        <v/>
      </c>
      <c r="I244" s="652"/>
      <c r="J244" s="355" t="str">
        <f t="shared" si="20"/>
        <v/>
      </c>
    </row>
    <row r="245" spans="2:10" x14ac:dyDescent="0.25">
      <c r="B245" s="527"/>
      <c r="C245" s="764" t="str">
        <f t="shared" si="19"/>
        <v/>
      </c>
      <c r="D245" s="355"/>
      <c r="E245" s="355"/>
      <c r="F245" s="765"/>
      <c r="G245" s="766" t="str">
        <f>+IF(ISBLANK(F245),"",IF(J245="Yes",F245,F245*(1+Economics!$AK$29)))</f>
        <v/>
      </c>
      <c r="I245" s="652"/>
      <c r="J245" s="355" t="str">
        <f t="shared" si="20"/>
        <v/>
      </c>
    </row>
    <row r="246" spans="2:10" x14ac:dyDescent="0.25">
      <c r="B246" s="527"/>
      <c r="C246" s="764" t="str">
        <f t="shared" si="19"/>
        <v/>
      </c>
      <c r="D246" s="355"/>
      <c r="E246" s="355"/>
      <c r="F246" s="765"/>
      <c r="G246" s="766" t="str">
        <f>+IF(ISBLANK(F246),"",IF(J246="Yes",F246,F246*(1+Economics!$AK$29)))</f>
        <v/>
      </c>
      <c r="I246" s="652"/>
      <c r="J246" s="355" t="str">
        <f t="shared" si="20"/>
        <v/>
      </c>
    </row>
    <row r="247" spans="2:10" x14ac:dyDescent="0.25">
      <c r="B247" s="527"/>
      <c r="C247" s="764" t="str">
        <f t="shared" si="19"/>
        <v/>
      </c>
      <c r="D247" s="355"/>
      <c r="E247" s="355"/>
      <c r="F247" s="765"/>
      <c r="G247" s="766" t="str">
        <f>+IF(ISBLANK(F247),"",IF(J247="Yes",F247,F247*(1+Economics!$AK$29)))</f>
        <v/>
      </c>
      <c r="I247" s="652"/>
      <c r="J247" s="355" t="str">
        <f t="shared" si="20"/>
        <v/>
      </c>
    </row>
    <row r="248" spans="2:10" x14ac:dyDescent="0.25">
      <c r="B248" s="527"/>
      <c r="C248" s="764" t="str">
        <f t="shared" si="19"/>
        <v/>
      </c>
      <c r="D248" s="355"/>
      <c r="E248" s="355"/>
      <c r="F248" s="765"/>
      <c r="G248" s="766" t="str">
        <f>+IF(ISBLANK(F248),"",IF(J248="Yes",F248,F248*(1+Economics!$AK$29)))</f>
        <v/>
      </c>
      <c r="I248" s="652"/>
      <c r="J248" s="355" t="str">
        <f t="shared" si="20"/>
        <v/>
      </c>
    </row>
    <row r="249" spans="2:10" x14ac:dyDescent="0.25">
      <c r="B249" s="527"/>
      <c r="C249" s="764" t="str">
        <f t="shared" si="19"/>
        <v/>
      </c>
      <c r="D249" s="355"/>
      <c r="E249" s="355"/>
      <c r="F249" s="765"/>
      <c r="G249" s="766" t="str">
        <f>+IF(ISBLANK(F249),"",IF(J249="Yes",F249,F249*(1+Economics!$AK$29)))</f>
        <v/>
      </c>
      <c r="I249" s="652"/>
      <c r="J249" s="355" t="str">
        <f t="shared" si="20"/>
        <v/>
      </c>
    </row>
    <row r="250" spans="2:10" x14ac:dyDescent="0.25">
      <c r="B250" s="527"/>
      <c r="C250" s="764" t="str">
        <f t="shared" si="19"/>
        <v/>
      </c>
      <c r="D250" s="355"/>
      <c r="E250" s="355"/>
      <c r="F250" s="765"/>
      <c r="G250" s="766" t="str">
        <f>+IF(ISBLANK(F250),"",IF(J250="Yes",F250,F250*(1+Economics!$AK$29)))</f>
        <v/>
      </c>
      <c r="I250" s="652"/>
      <c r="J250" s="355" t="str">
        <f t="shared" si="20"/>
        <v/>
      </c>
    </row>
    <row r="251" spans="2:10" x14ac:dyDescent="0.25">
      <c r="B251" s="527"/>
      <c r="C251" s="764" t="str">
        <f t="shared" si="19"/>
        <v/>
      </c>
      <c r="D251" s="355"/>
      <c r="E251" s="355"/>
      <c r="F251" s="765"/>
      <c r="G251" s="766" t="str">
        <f>+IF(ISBLANK(F251),"",IF(J251="Yes",F251,F251*(1+Economics!$AK$29)))</f>
        <v/>
      </c>
      <c r="I251" s="652"/>
      <c r="J251" s="355" t="str">
        <f t="shared" si="20"/>
        <v/>
      </c>
    </row>
    <row r="252" spans="2:10" x14ac:dyDescent="0.25">
      <c r="B252" s="527"/>
      <c r="C252" s="764" t="str">
        <f t="shared" si="19"/>
        <v/>
      </c>
      <c r="D252" s="355"/>
      <c r="E252" s="355"/>
      <c r="F252" s="765"/>
      <c r="G252" s="766" t="str">
        <f>+IF(ISBLANK(F252),"",IF(J252="Yes",F252,F252*(1+Economics!$AK$29)))</f>
        <v/>
      </c>
      <c r="I252" s="652"/>
      <c r="J252" s="355" t="str">
        <f t="shared" si="20"/>
        <v/>
      </c>
    </row>
    <row r="253" spans="2:10" x14ac:dyDescent="0.25">
      <c r="B253" s="527"/>
      <c r="C253" s="764" t="str">
        <f t="shared" si="19"/>
        <v/>
      </c>
      <c r="D253" s="355"/>
      <c r="E253" s="355"/>
      <c r="F253" s="765"/>
      <c r="G253" s="766" t="str">
        <f>+IF(ISBLANK(F253),"",IF(J253="Yes",F253,F253*(1+Economics!$AK$29)))</f>
        <v/>
      </c>
      <c r="I253" s="652"/>
      <c r="J253" s="355" t="str">
        <f t="shared" si="20"/>
        <v/>
      </c>
    </row>
    <row r="254" spans="2:10" x14ac:dyDescent="0.25">
      <c r="B254" s="527"/>
      <c r="C254" s="764" t="str">
        <f t="shared" si="19"/>
        <v/>
      </c>
      <c r="D254" s="355"/>
      <c r="E254" s="355"/>
      <c r="F254" s="765"/>
      <c r="G254" s="766" t="str">
        <f>+IF(ISBLANK(F254),"",IF(J254="Yes",F254,F254*(1+Economics!$AK$29)))</f>
        <v/>
      </c>
      <c r="I254" s="652"/>
      <c r="J254" s="355" t="str">
        <f t="shared" si="20"/>
        <v/>
      </c>
    </row>
    <row r="255" spans="2:10" x14ac:dyDescent="0.25">
      <c r="B255" s="527"/>
      <c r="C255" s="764" t="str">
        <f t="shared" si="19"/>
        <v/>
      </c>
      <c r="D255" s="355"/>
      <c r="E255" s="355"/>
      <c r="F255" s="765"/>
      <c r="G255" s="766" t="str">
        <f>+IF(ISBLANK(F255),"",IF(J255="Yes",F255,F255*(1+Economics!$AK$29)))</f>
        <v/>
      </c>
      <c r="I255" s="652"/>
      <c r="J255" s="355" t="str">
        <f t="shared" si="20"/>
        <v/>
      </c>
    </row>
    <row r="256" spans="2:10" x14ac:dyDescent="0.25">
      <c r="B256" s="527"/>
      <c r="C256" s="764" t="str">
        <f t="shared" si="19"/>
        <v/>
      </c>
      <c r="D256" s="355"/>
      <c r="E256" s="355"/>
      <c r="F256" s="765"/>
      <c r="G256" s="766" t="str">
        <f>+IF(ISBLANK(F256),"",IF(J256="Yes",F256,F256*(1+Economics!$AK$29)))</f>
        <v/>
      </c>
      <c r="I256" s="652"/>
      <c r="J256" s="355" t="str">
        <f t="shared" si="20"/>
        <v/>
      </c>
    </row>
    <row r="257" spans="2:10" x14ac:dyDescent="0.25">
      <c r="B257" s="527"/>
      <c r="C257" s="764" t="str">
        <f t="shared" si="19"/>
        <v/>
      </c>
      <c r="D257" s="355"/>
      <c r="E257" s="355"/>
      <c r="F257" s="765"/>
      <c r="G257" s="766" t="str">
        <f>+IF(ISBLANK(F257),"",IF(J257="Yes",F257,F257*(1+Economics!$AK$29)))</f>
        <v/>
      </c>
      <c r="I257" s="652"/>
      <c r="J257" s="355" t="str">
        <f t="shared" si="20"/>
        <v/>
      </c>
    </row>
    <row r="258" spans="2:10" x14ac:dyDescent="0.25">
      <c r="B258" s="527"/>
      <c r="C258" s="764" t="str">
        <f t="shared" si="19"/>
        <v/>
      </c>
      <c r="D258" s="355"/>
      <c r="E258" s="355"/>
      <c r="F258" s="765"/>
      <c r="G258" s="766" t="str">
        <f>+IF(ISBLANK(F258),"",IF(J258="Yes",F258,F258*(1+Economics!$AK$29)))</f>
        <v/>
      </c>
      <c r="I258" s="652"/>
      <c r="J258" s="355" t="str">
        <f t="shared" si="20"/>
        <v/>
      </c>
    </row>
    <row r="259" spans="2:10" x14ac:dyDescent="0.25">
      <c r="B259" s="527"/>
      <c r="C259" s="764" t="str">
        <f t="shared" si="19"/>
        <v/>
      </c>
      <c r="D259" s="355"/>
      <c r="E259" s="355"/>
      <c r="F259" s="765"/>
      <c r="G259" s="766" t="str">
        <f>+IF(ISBLANK(F259),"",IF(J259="Yes",F259,F259*(1+Economics!$AK$29)))</f>
        <v/>
      </c>
      <c r="I259" s="652"/>
      <c r="J259" s="355" t="str">
        <f t="shared" si="20"/>
        <v/>
      </c>
    </row>
    <row r="260" spans="2:10" x14ac:dyDescent="0.25">
      <c r="B260" s="527"/>
      <c r="C260" s="764" t="str">
        <f t="shared" si="19"/>
        <v/>
      </c>
      <c r="D260" s="355"/>
      <c r="E260" s="355"/>
      <c r="F260" s="765"/>
      <c r="G260" s="766" t="str">
        <f>+IF(ISBLANK(F260),"",IF(J260="Yes",F260,F260*(1+Economics!$AK$29)))</f>
        <v/>
      </c>
      <c r="I260" s="652"/>
      <c r="J260" s="355" t="str">
        <f t="shared" si="20"/>
        <v/>
      </c>
    </row>
    <row r="261" spans="2:10" x14ac:dyDescent="0.25">
      <c r="B261" s="527"/>
      <c r="C261" s="764" t="str">
        <f t="shared" si="19"/>
        <v/>
      </c>
      <c r="D261" s="355"/>
      <c r="E261" s="355"/>
      <c r="F261" s="765"/>
      <c r="G261" s="766" t="str">
        <f>+IF(ISBLANK(F261),"",IF(J261="Yes",F261,F261*(1+Economics!$AK$29)))</f>
        <v/>
      </c>
      <c r="I261" s="652"/>
      <c r="J261" s="355" t="str">
        <f t="shared" si="20"/>
        <v/>
      </c>
    </row>
    <row r="262" spans="2:10" x14ac:dyDescent="0.25">
      <c r="B262" s="527"/>
      <c r="C262" s="764" t="str">
        <f t="shared" si="19"/>
        <v/>
      </c>
      <c r="D262" s="355"/>
      <c r="E262" s="355"/>
      <c r="F262" s="765"/>
      <c r="G262" s="766" t="str">
        <f>+IF(ISBLANK(F262),"",IF(J262="Yes",F262,F262*(1+Economics!$AK$29)))</f>
        <v/>
      </c>
      <c r="I262" s="652"/>
      <c r="J262" s="355" t="str">
        <f t="shared" si="20"/>
        <v/>
      </c>
    </row>
    <row r="263" spans="2:10" x14ac:dyDescent="0.25">
      <c r="B263" s="527"/>
      <c r="C263" s="764" t="str">
        <f t="shared" si="19"/>
        <v/>
      </c>
      <c r="D263" s="355"/>
      <c r="E263" s="355"/>
      <c r="F263" s="765"/>
      <c r="G263" s="766" t="str">
        <f>+IF(ISBLANK(F263),"",IF(J263="Yes",F263,F263*(1+Economics!$AK$29)))</f>
        <v/>
      </c>
      <c r="I263" s="652"/>
      <c r="J263" s="355" t="str">
        <f t="shared" si="20"/>
        <v/>
      </c>
    </row>
    <row r="264" spans="2:10" x14ac:dyDescent="0.25">
      <c r="B264" s="527"/>
      <c r="C264" s="764" t="str">
        <f t="shared" si="19"/>
        <v/>
      </c>
      <c r="D264" s="355"/>
      <c r="E264" s="355"/>
      <c r="F264" s="765"/>
      <c r="G264" s="766" t="str">
        <f>+IF(ISBLANK(F264),"",IF(J264="Yes",F264,F264*(1+Economics!$AK$29)))</f>
        <v/>
      </c>
      <c r="I264" s="652"/>
      <c r="J264" s="355" t="str">
        <f t="shared" si="20"/>
        <v/>
      </c>
    </row>
    <row r="265" spans="2:10" x14ac:dyDescent="0.25">
      <c r="B265" s="527"/>
      <c r="C265" s="764" t="str">
        <f t="shared" si="19"/>
        <v/>
      </c>
      <c r="D265" s="355"/>
      <c r="E265" s="355"/>
      <c r="F265" s="765"/>
      <c r="G265" s="766" t="str">
        <f>+IF(ISBLANK(F265),"",IF(J265="Yes",F265,F265*(1+Economics!$AK$29)))</f>
        <v/>
      </c>
      <c r="I265" s="652"/>
      <c r="J265" s="355" t="str">
        <f t="shared" si="20"/>
        <v/>
      </c>
    </row>
    <row r="266" spans="2:10" x14ac:dyDescent="0.25">
      <c r="B266" s="527"/>
      <c r="C266" s="764" t="str">
        <f t="shared" si="19"/>
        <v/>
      </c>
      <c r="D266" s="355"/>
      <c r="E266" s="355"/>
      <c r="F266" s="765"/>
      <c r="G266" s="766" t="str">
        <f>+IF(ISBLANK(F266),"",IF(J266="Yes",F266,F266*(1+Economics!$AK$29)))</f>
        <v/>
      </c>
      <c r="I266" s="652"/>
      <c r="J266" s="355" t="str">
        <f t="shared" si="20"/>
        <v/>
      </c>
    </row>
    <row r="267" spans="2:10" x14ac:dyDescent="0.25">
      <c r="B267" s="527"/>
      <c r="C267" s="764" t="str">
        <f t="shared" si="19"/>
        <v/>
      </c>
      <c r="D267" s="355"/>
      <c r="E267" s="355"/>
      <c r="F267" s="765"/>
      <c r="G267" s="766" t="str">
        <f>+IF(ISBLANK(F267),"",IF(J267="Yes",F267,F267*(1+Economics!$AK$29)))</f>
        <v/>
      </c>
      <c r="I267" s="652"/>
      <c r="J267" s="355" t="str">
        <f t="shared" si="20"/>
        <v/>
      </c>
    </row>
    <row r="268" spans="2:10" x14ac:dyDescent="0.25">
      <c r="B268" s="527"/>
      <c r="C268" s="764" t="str">
        <f t="shared" si="19"/>
        <v/>
      </c>
      <c r="D268" s="355"/>
      <c r="E268" s="355"/>
      <c r="F268" s="765"/>
      <c r="G268" s="766" t="str">
        <f>+IF(ISBLANK(F268),"",IF(J268="Yes",F268,F268*(1+Economics!$AK$29)))</f>
        <v/>
      </c>
      <c r="I268" s="652"/>
      <c r="J268" s="355" t="str">
        <f t="shared" si="20"/>
        <v/>
      </c>
    </row>
    <row r="269" spans="2:10" x14ac:dyDescent="0.25">
      <c r="B269" s="527"/>
      <c r="C269" s="764" t="str">
        <f t="shared" si="19"/>
        <v/>
      </c>
      <c r="D269" s="355"/>
      <c r="E269" s="355"/>
      <c r="F269" s="765"/>
      <c r="G269" s="766" t="str">
        <f>+IF(ISBLANK(F269),"",IF(J269="Yes",F269,F269*(1+Economics!$AK$29)))</f>
        <v/>
      </c>
      <c r="I269" s="652"/>
      <c r="J269" s="355" t="str">
        <f t="shared" si="20"/>
        <v/>
      </c>
    </row>
    <row r="270" spans="2:10" x14ac:dyDescent="0.25">
      <c r="B270" s="527"/>
      <c r="C270" s="764" t="str">
        <f t="shared" si="19"/>
        <v/>
      </c>
      <c r="D270" s="355"/>
      <c r="E270" s="355"/>
      <c r="F270" s="765"/>
      <c r="G270" s="766" t="str">
        <f>+IF(ISBLANK(F270),"",IF(J270="Yes",F270,F270*(1+Economics!$AK$29)))</f>
        <v/>
      </c>
      <c r="I270" s="652"/>
      <c r="J270" s="355" t="str">
        <f t="shared" si="20"/>
        <v/>
      </c>
    </row>
    <row r="271" spans="2:10" x14ac:dyDescent="0.25">
      <c r="B271" s="527"/>
      <c r="C271" s="764" t="str">
        <f t="shared" si="19"/>
        <v/>
      </c>
      <c r="D271" s="355"/>
      <c r="E271" s="355"/>
      <c r="F271" s="765"/>
      <c r="G271" s="766" t="str">
        <f>+IF(ISBLANK(F271),"",IF(J271="Yes",F271,F271*(1+Economics!$AK$29)))</f>
        <v/>
      </c>
      <c r="I271" s="652"/>
      <c r="J271" s="355" t="str">
        <f t="shared" si="20"/>
        <v/>
      </c>
    </row>
    <row r="272" spans="2:10" x14ac:dyDescent="0.25">
      <c r="B272" s="527"/>
      <c r="C272" s="764" t="str">
        <f t="shared" si="19"/>
        <v/>
      </c>
      <c r="D272" s="355"/>
      <c r="E272" s="355"/>
      <c r="F272" s="765"/>
      <c r="G272" s="766" t="str">
        <f>+IF(ISBLANK(F272),"",IF(J272="Yes",F272,F272*(1+Economics!$AK$29)))</f>
        <v/>
      </c>
      <c r="I272" s="652"/>
      <c r="J272" s="355" t="str">
        <f t="shared" si="20"/>
        <v/>
      </c>
    </row>
    <row r="273" spans="2:10" x14ac:dyDescent="0.25">
      <c r="B273" s="527"/>
      <c r="C273" s="764" t="str">
        <f t="shared" si="19"/>
        <v/>
      </c>
      <c r="D273" s="355"/>
      <c r="E273" s="355"/>
      <c r="F273" s="765"/>
      <c r="G273" s="766" t="str">
        <f>+IF(ISBLANK(F273),"",IF(J273="Yes",F273,F273*(1+Economics!$AK$29)))</f>
        <v/>
      </c>
      <c r="I273" s="652"/>
      <c r="J273" s="355" t="str">
        <f t="shared" si="20"/>
        <v/>
      </c>
    </row>
    <row r="274" spans="2:10" x14ac:dyDescent="0.25">
      <c r="B274" s="527"/>
      <c r="C274" s="764" t="str">
        <f t="shared" si="19"/>
        <v/>
      </c>
      <c r="D274" s="355"/>
      <c r="E274" s="355"/>
      <c r="F274" s="765"/>
      <c r="G274" s="766" t="str">
        <f>+IF(ISBLANK(F274),"",IF(J274="Yes",F274,F274*(1+Economics!$AK$29)))</f>
        <v/>
      </c>
      <c r="I274" s="652"/>
      <c r="J274" s="355" t="str">
        <f t="shared" si="20"/>
        <v/>
      </c>
    </row>
    <row r="275" spans="2:10" x14ac:dyDescent="0.25">
      <c r="B275" s="527"/>
      <c r="C275" s="764" t="str">
        <f t="shared" si="19"/>
        <v/>
      </c>
      <c r="D275" s="355"/>
      <c r="E275" s="355"/>
      <c r="F275" s="765"/>
      <c r="G275" s="766" t="str">
        <f>+IF(ISBLANK(F275),"",IF(J275="Yes",F275,F275*(1+Economics!$AK$29)))</f>
        <v/>
      </c>
      <c r="I275" s="652"/>
      <c r="J275" s="355" t="str">
        <f t="shared" si="20"/>
        <v/>
      </c>
    </row>
    <row r="276" spans="2:10" x14ac:dyDescent="0.25">
      <c r="B276" s="527"/>
      <c r="C276" s="764" t="str">
        <f t="shared" si="19"/>
        <v/>
      </c>
      <c r="D276" s="355"/>
      <c r="E276" s="355"/>
      <c r="F276" s="765"/>
      <c r="G276" s="766" t="str">
        <f>+IF(ISBLANK(F276),"",IF(J276="Yes",F276,F276*(1+Economics!$AK$29)))</f>
        <v/>
      </c>
      <c r="I276" s="652"/>
      <c r="J276" s="355" t="str">
        <f t="shared" si="20"/>
        <v/>
      </c>
    </row>
    <row r="277" spans="2:10" x14ac:dyDescent="0.25">
      <c r="B277" s="527"/>
      <c r="C277" s="764" t="str">
        <f t="shared" si="19"/>
        <v/>
      </c>
      <c r="D277" s="355"/>
      <c r="E277" s="355"/>
      <c r="F277" s="765"/>
      <c r="G277" s="766" t="str">
        <f>+IF(ISBLANK(F277),"",IF(J277="Yes",F277,F277*(1+Economics!$AK$29)))</f>
        <v/>
      </c>
      <c r="I277" s="652"/>
      <c r="J277" s="355" t="str">
        <f t="shared" si="20"/>
        <v/>
      </c>
    </row>
    <row r="278" spans="2:10" x14ac:dyDescent="0.25">
      <c r="B278" s="527"/>
      <c r="C278" s="764" t="str">
        <f t="shared" si="19"/>
        <v/>
      </c>
      <c r="D278" s="355"/>
      <c r="E278" s="355"/>
      <c r="F278" s="765"/>
      <c r="G278" s="766" t="str">
        <f>+IF(ISBLANK(F278),"",IF(J278="Yes",F278,F278*(1+Economics!$AK$29)))</f>
        <v/>
      </c>
      <c r="I278" s="652"/>
      <c r="J278" s="355" t="str">
        <f t="shared" si="20"/>
        <v/>
      </c>
    </row>
    <row r="279" spans="2:10" x14ac:dyDescent="0.25">
      <c r="B279" s="527"/>
      <c r="C279" s="764" t="str">
        <f t="shared" si="19"/>
        <v/>
      </c>
      <c r="D279" s="355"/>
      <c r="E279" s="355"/>
      <c r="F279" s="765"/>
      <c r="G279" s="766" t="str">
        <f>+IF(ISBLANK(F279),"",IF(J279="Yes",F279,F279*(1+Economics!$AK$29)))</f>
        <v/>
      </c>
      <c r="I279" s="652"/>
      <c r="J279" s="355" t="str">
        <f t="shared" si="20"/>
        <v/>
      </c>
    </row>
    <row r="280" spans="2:10" x14ac:dyDescent="0.25">
      <c r="B280" s="527"/>
      <c r="C280" s="764" t="str">
        <f t="shared" si="19"/>
        <v/>
      </c>
      <c r="D280" s="355"/>
      <c r="E280" s="355"/>
      <c r="F280" s="765"/>
      <c r="G280" s="766" t="str">
        <f>+IF(ISBLANK(F280),"",IF(J280="Yes",F280,F280*(1+Economics!$AK$29)))</f>
        <v/>
      </c>
      <c r="I280" s="652"/>
      <c r="J280" s="355" t="str">
        <f t="shared" si="20"/>
        <v/>
      </c>
    </row>
    <row r="281" spans="2:10" x14ac:dyDescent="0.25">
      <c r="B281" s="527"/>
      <c r="C281" s="764" t="str">
        <f t="shared" si="19"/>
        <v/>
      </c>
      <c r="D281" s="355"/>
      <c r="E281" s="355"/>
      <c r="F281" s="765"/>
      <c r="G281" s="766" t="str">
        <f>+IF(ISBLANK(F281),"",IF(J281="Yes",F281,F281*(1+Economics!$AK$29)))</f>
        <v/>
      </c>
      <c r="I281" s="652"/>
      <c r="J281" s="355" t="str">
        <f t="shared" si="20"/>
        <v/>
      </c>
    </row>
    <row r="282" spans="2:10" x14ac:dyDescent="0.25">
      <c r="B282" s="527"/>
      <c r="C282" s="764" t="str">
        <f t="shared" si="19"/>
        <v/>
      </c>
      <c r="D282" s="355"/>
      <c r="E282" s="355"/>
      <c r="F282" s="765"/>
      <c r="G282" s="766" t="str">
        <f>+IF(ISBLANK(F282),"",IF(J282="Yes",F282,F282*(1+Economics!$AK$29)))</f>
        <v/>
      </c>
      <c r="I282" s="652"/>
      <c r="J282" s="355" t="str">
        <f t="shared" si="20"/>
        <v/>
      </c>
    </row>
    <row r="283" spans="2:10" x14ac:dyDescent="0.25">
      <c r="B283" s="527"/>
      <c r="C283" s="764" t="str">
        <f t="shared" si="19"/>
        <v/>
      </c>
      <c r="D283" s="355"/>
      <c r="E283" s="355"/>
      <c r="F283" s="765"/>
      <c r="G283" s="766" t="str">
        <f>+IF(ISBLANK(F283),"",IF(J283="Yes",F283,F283*(1+Economics!$AK$29)))</f>
        <v/>
      </c>
      <c r="I283" s="652"/>
      <c r="J283" s="355" t="str">
        <f t="shared" si="20"/>
        <v/>
      </c>
    </row>
    <row r="284" spans="2:10" x14ac:dyDescent="0.25">
      <c r="B284" s="527"/>
      <c r="C284" s="764" t="str">
        <f t="shared" si="19"/>
        <v/>
      </c>
      <c r="D284" s="355"/>
      <c r="E284" s="355"/>
      <c r="F284" s="765"/>
      <c r="G284" s="766" t="str">
        <f>+IF(ISBLANK(F284),"",IF(J284="Yes",F284,F284*(1+Economics!$AK$29)))</f>
        <v/>
      </c>
      <c r="I284" s="652"/>
      <c r="J284" s="355" t="str">
        <f t="shared" si="20"/>
        <v/>
      </c>
    </row>
    <row r="285" spans="2:10" x14ac:dyDescent="0.25">
      <c r="B285" s="527"/>
      <c r="C285" s="764" t="str">
        <f t="shared" si="19"/>
        <v/>
      </c>
      <c r="D285" s="355"/>
      <c r="E285" s="355"/>
      <c r="F285" s="765"/>
      <c r="G285" s="766" t="str">
        <f>+IF(ISBLANK(F285),"",IF(J285="Yes",F285,F285*(1+Economics!$AK$29)))</f>
        <v/>
      </c>
      <c r="I285" s="652"/>
      <c r="J285" s="355" t="str">
        <f t="shared" si="20"/>
        <v/>
      </c>
    </row>
    <row r="286" spans="2:10" x14ac:dyDescent="0.25">
      <c r="B286" s="527"/>
      <c r="C286" s="764" t="str">
        <f t="shared" ref="C286:C349" si="21">+IF(ISBLANK(B286),"",IFERROR(INDEX($T$3:$T$7,MATCH(B286,$S$3:$S$7,0)),""))</f>
        <v/>
      </c>
      <c r="D286" s="355"/>
      <c r="E286" s="355"/>
      <c r="F286" s="765"/>
      <c r="G286" s="766" t="str">
        <f>+IF(ISBLANK(F286),"",IF(J286="Yes",F286,F286*(1+Economics!$AK$29)))</f>
        <v/>
      </c>
      <c r="I286" s="652"/>
      <c r="J286" s="355" t="str">
        <f t="shared" si="20"/>
        <v/>
      </c>
    </row>
    <row r="287" spans="2:10" x14ac:dyDescent="0.25">
      <c r="B287" s="527"/>
      <c r="C287" s="764" t="str">
        <f t="shared" si="21"/>
        <v/>
      </c>
      <c r="D287" s="355"/>
      <c r="E287" s="355"/>
      <c r="F287" s="765"/>
      <c r="G287" s="766" t="str">
        <f>+IF(ISBLANK(F287),"",IF(J287="Yes",F287,F287*(1+Economics!$AK$29)))</f>
        <v/>
      </c>
      <c r="I287" s="652"/>
      <c r="J287" s="355" t="str">
        <f t="shared" ref="J287:J350" si="22">+IF(ISBLANK(I287),"",IF(ISNUMBER(FIND("Yes",I287)),"No","Yes"))</f>
        <v/>
      </c>
    </row>
    <row r="288" spans="2:10" x14ac:dyDescent="0.25">
      <c r="B288" s="527"/>
      <c r="C288" s="764" t="str">
        <f t="shared" si="21"/>
        <v/>
      </c>
      <c r="D288" s="355"/>
      <c r="E288" s="355"/>
      <c r="F288" s="765"/>
      <c r="G288" s="766" t="str">
        <f>+IF(ISBLANK(F288),"",IF(J288="Yes",F288,F288*(1+Economics!$AK$29)))</f>
        <v/>
      </c>
      <c r="I288" s="652"/>
      <c r="J288" s="355" t="str">
        <f t="shared" si="22"/>
        <v/>
      </c>
    </row>
    <row r="289" spans="2:10" x14ac:dyDescent="0.25">
      <c r="B289" s="527"/>
      <c r="C289" s="764" t="str">
        <f t="shared" si="21"/>
        <v/>
      </c>
      <c r="D289" s="355"/>
      <c r="E289" s="355"/>
      <c r="F289" s="765"/>
      <c r="G289" s="766" t="str">
        <f>+IF(ISBLANK(F289),"",IF(J289="Yes",F289,F289*(1+Economics!$AK$29)))</f>
        <v/>
      </c>
      <c r="I289" s="652"/>
      <c r="J289" s="355" t="str">
        <f t="shared" si="22"/>
        <v/>
      </c>
    </row>
    <row r="290" spans="2:10" x14ac:dyDescent="0.25">
      <c r="B290" s="527"/>
      <c r="C290" s="764" t="str">
        <f t="shared" si="21"/>
        <v/>
      </c>
      <c r="D290" s="355"/>
      <c r="E290" s="355"/>
      <c r="F290" s="765"/>
      <c r="G290" s="766" t="str">
        <f>+IF(ISBLANK(F290),"",IF(J290="Yes",F290,F290*(1+Economics!$AK$29)))</f>
        <v/>
      </c>
      <c r="I290" s="652"/>
      <c r="J290" s="355" t="str">
        <f t="shared" si="22"/>
        <v/>
      </c>
    </row>
    <row r="291" spans="2:10" x14ac:dyDescent="0.25">
      <c r="B291" s="527"/>
      <c r="C291" s="764" t="str">
        <f t="shared" si="21"/>
        <v/>
      </c>
      <c r="D291" s="355"/>
      <c r="E291" s="355"/>
      <c r="F291" s="765"/>
      <c r="G291" s="766" t="str">
        <f>+IF(ISBLANK(F291),"",IF(J291="Yes",F291,F291*(1+Economics!$AK$29)))</f>
        <v/>
      </c>
      <c r="I291" s="652"/>
      <c r="J291" s="355" t="str">
        <f t="shared" si="22"/>
        <v/>
      </c>
    </row>
    <row r="292" spans="2:10" x14ac:dyDescent="0.25">
      <c r="B292" s="527"/>
      <c r="C292" s="764" t="str">
        <f t="shared" si="21"/>
        <v/>
      </c>
      <c r="D292" s="355"/>
      <c r="E292" s="355"/>
      <c r="F292" s="765"/>
      <c r="G292" s="766" t="str">
        <f>+IF(ISBLANK(F292),"",IF(J292="Yes",F292,F292*(1+Economics!$AK$29)))</f>
        <v/>
      </c>
      <c r="I292" s="652"/>
      <c r="J292" s="355" t="str">
        <f t="shared" si="22"/>
        <v/>
      </c>
    </row>
    <row r="293" spans="2:10" x14ac:dyDescent="0.25">
      <c r="B293" s="527"/>
      <c r="C293" s="764" t="str">
        <f t="shared" si="21"/>
        <v/>
      </c>
      <c r="D293" s="355"/>
      <c r="E293" s="355"/>
      <c r="F293" s="765"/>
      <c r="G293" s="766" t="str">
        <f>+IF(ISBLANK(F293),"",IF(J293="Yes",F293,F293*(1+Economics!$AK$29)))</f>
        <v/>
      </c>
      <c r="I293" s="652"/>
      <c r="J293" s="355" t="str">
        <f t="shared" si="22"/>
        <v/>
      </c>
    </row>
    <row r="294" spans="2:10" x14ac:dyDescent="0.25">
      <c r="B294" s="527"/>
      <c r="C294" s="764" t="str">
        <f t="shared" si="21"/>
        <v/>
      </c>
      <c r="D294" s="355"/>
      <c r="E294" s="355"/>
      <c r="F294" s="765"/>
      <c r="G294" s="766" t="str">
        <f>+IF(ISBLANK(F294),"",IF(J294="Yes",F294,F294*(1+Economics!$AK$29)))</f>
        <v/>
      </c>
      <c r="I294" s="652"/>
      <c r="J294" s="355" t="str">
        <f t="shared" si="22"/>
        <v/>
      </c>
    </row>
    <row r="295" spans="2:10" x14ac:dyDescent="0.25">
      <c r="B295" s="527"/>
      <c r="C295" s="764" t="str">
        <f t="shared" si="21"/>
        <v/>
      </c>
      <c r="D295" s="355"/>
      <c r="E295" s="355"/>
      <c r="F295" s="765"/>
      <c r="G295" s="766" t="str">
        <f>+IF(ISBLANK(F295),"",IF(J295="Yes",F295,F295*(1+Economics!$AK$29)))</f>
        <v/>
      </c>
      <c r="I295" s="652"/>
      <c r="J295" s="355" t="str">
        <f t="shared" si="22"/>
        <v/>
      </c>
    </row>
    <row r="296" spans="2:10" x14ac:dyDescent="0.25">
      <c r="B296" s="527"/>
      <c r="C296" s="764" t="str">
        <f t="shared" si="21"/>
        <v/>
      </c>
      <c r="D296" s="355"/>
      <c r="E296" s="355"/>
      <c r="F296" s="765"/>
      <c r="G296" s="766" t="str">
        <f>+IF(ISBLANK(F296),"",IF(J296="Yes",F296,F296*(1+Economics!$AK$29)))</f>
        <v/>
      </c>
      <c r="I296" s="652"/>
      <c r="J296" s="355" t="str">
        <f t="shared" si="22"/>
        <v/>
      </c>
    </row>
    <row r="297" spans="2:10" x14ac:dyDescent="0.25">
      <c r="B297" s="527"/>
      <c r="C297" s="764" t="str">
        <f t="shared" si="21"/>
        <v/>
      </c>
      <c r="D297" s="355"/>
      <c r="E297" s="355"/>
      <c r="F297" s="765"/>
      <c r="G297" s="766" t="str">
        <f>+IF(ISBLANK(F297),"",IF(J297="Yes",F297,F297*(1+Economics!$AK$29)))</f>
        <v/>
      </c>
      <c r="I297" s="652"/>
      <c r="J297" s="355" t="str">
        <f t="shared" si="22"/>
        <v/>
      </c>
    </row>
    <row r="298" spans="2:10" x14ac:dyDescent="0.25">
      <c r="B298" s="527"/>
      <c r="C298" s="764" t="str">
        <f t="shared" si="21"/>
        <v/>
      </c>
      <c r="D298" s="355"/>
      <c r="E298" s="355"/>
      <c r="F298" s="765"/>
      <c r="G298" s="766" t="str">
        <f>+IF(ISBLANK(F298),"",IF(J298="Yes",F298,F298*(1+Economics!$AK$29)))</f>
        <v/>
      </c>
      <c r="I298" s="652"/>
      <c r="J298" s="355" t="str">
        <f t="shared" si="22"/>
        <v/>
      </c>
    </row>
    <row r="299" spans="2:10" x14ac:dyDescent="0.25">
      <c r="B299" s="527"/>
      <c r="C299" s="764" t="str">
        <f t="shared" si="21"/>
        <v/>
      </c>
      <c r="D299" s="355"/>
      <c r="E299" s="355"/>
      <c r="F299" s="765"/>
      <c r="G299" s="766" t="str">
        <f>+IF(ISBLANK(F299),"",IF(J299="Yes",F299,F299*(1+Economics!$AK$29)))</f>
        <v/>
      </c>
      <c r="I299" s="652"/>
      <c r="J299" s="355" t="str">
        <f t="shared" si="22"/>
        <v/>
      </c>
    </row>
    <row r="300" spans="2:10" x14ac:dyDescent="0.25">
      <c r="B300" s="527"/>
      <c r="C300" s="764" t="str">
        <f t="shared" si="21"/>
        <v/>
      </c>
      <c r="D300" s="355"/>
      <c r="E300" s="355"/>
      <c r="F300" s="765"/>
      <c r="G300" s="766" t="str">
        <f>+IF(ISBLANK(F300),"",IF(J300="Yes",F300,F300*(1+Economics!$AK$29)))</f>
        <v/>
      </c>
      <c r="I300" s="652"/>
      <c r="J300" s="355" t="str">
        <f t="shared" si="22"/>
        <v/>
      </c>
    </row>
    <row r="301" spans="2:10" x14ac:dyDescent="0.25">
      <c r="B301" s="527"/>
      <c r="C301" s="764" t="str">
        <f t="shared" si="21"/>
        <v/>
      </c>
      <c r="D301" s="355"/>
      <c r="E301" s="355"/>
      <c r="F301" s="765"/>
      <c r="G301" s="766" t="str">
        <f>+IF(ISBLANK(F301),"",IF(J301="Yes",F301,F301*(1+Economics!$AK$29)))</f>
        <v/>
      </c>
      <c r="I301" s="652"/>
      <c r="J301" s="355" t="str">
        <f t="shared" si="22"/>
        <v/>
      </c>
    </row>
    <row r="302" spans="2:10" x14ac:dyDescent="0.25">
      <c r="B302" s="527"/>
      <c r="C302" s="764" t="str">
        <f t="shared" si="21"/>
        <v/>
      </c>
      <c r="D302" s="355"/>
      <c r="E302" s="355"/>
      <c r="F302" s="765"/>
      <c r="G302" s="766" t="str">
        <f>+IF(ISBLANK(F302),"",IF(J302="Yes",F302,F302*(1+Economics!$AK$29)))</f>
        <v/>
      </c>
      <c r="I302" s="652"/>
      <c r="J302" s="355" t="str">
        <f t="shared" si="22"/>
        <v/>
      </c>
    </row>
    <row r="303" spans="2:10" x14ac:dyDescent="0.25">
      <c r="B303" s="527"/>
      <c r="C303" s="764" t="str">
        <f t="shared" si="21"/>
        <v/>
      </c>
      <c r="D303" s="355"/>
      <c r="E303" s="355"/>
      <c r="F303" s="765"/>
      <c r="G303" s="766" t="str">
        <f>+IF(ISBLANK(F303),"",IF(J303="Yes",F303,F303*(1+Economics!$AK$29)))</f>
        <v/>
      </c>
      <c r="I303" s="652"/>
      <c r="J303" s="355" t="str">
        <f t="shared" si="22"/>
        <v/>
      </c>
    </row>
    <row r="304" spans="2:10" x14ac:dyDescent="0.25">
      <c r="B304" s="527"/>
      <c r="C304" s="764" t="str">
        <f t="shared" si="21"/>
        <v/>
      </c>
      <c r="D304" s="355"/>
      <c r="E304" s="355"/>
      <c r="F304" s="765"/>
      <c r="G304" s="766" t="str">
        <f>+IF(ISBLANK(F304),"",IF(J304="Yes",F304,F304*(1+Economics!$AK$29)))</f>
        <v/>
      </c>
      <c r="I304" s="652"/>
      <c r="J304" s="355" t="str">
        <f t="shared" si="22"/>
        <v/>
      </c>
    </row>
    <row r="305" spans="2:10" x14ac:dyDescent="0.25">
      <c r="B305" s="527"/>
      <c r="C305" s="764" t="str">
        <f t="shared" si="21"/>
        <v/>
      </c>
      <c r="D305" s="355"/>
      <c r="E305" s="355"/>
      <c r="F305" s="765"/>
      <c r="G305" s="766" t="str">
        <f>+IF(ISBLANK(F305),"",IF(J305="Yes",F305,F305*(1+Economics!$AK$29)))</f>
        <v/>
      </c>
      <c r="I305" s="652"/>
      <c r="J305" s="355" t="str">
        <f t="shared" si="22"/>
        <v/>
      </c>
    </row>
    <row r="306" spans="2:10" x14ac:dyDescent="0.25">
      <c r="B306" s="527"/>
      <c r="C306" s="764" t="str">
        <f t="shared" si="21"/>
        <v/>
      </c>
      <c r="D306" s="355"/>
      <c r="E306" s="355"/>
      <c r="F306" s="765"/>
      <c r="G306" s="766" t="str">
        <f>+IF(ISBLANK(F306),"",IF(J306="Yes",F306,F306*(1+Economics!$AK$29)))</f>
        <v/>
      </c>
      <c r="I306" s="652"/>
      <c r="J306" s="355" t="str">
        <f t="shared" si="22"/>
        <v/>
      </c>
    </row>
    <row r="307" spans="2:10" x14ac:dyDescent="0.25">
      <c r="B307" s="527"/>
      <c r="C307" s="764" t="str">
        <f t="shared" si="21"/>
        <v/>
      </c>
      <c r="D307" s="355"/>
      <c r="E307" s="355"/>
      <c r="F307" s="765"/>
      <c r="G307" s="766" t="str">
        <f>+IF(ISBLANK(F307),"",IF(J307="Yes",F307,F307*(1+Economics!$AK$29)))</f>
        <v/>
      </c>
      <c r="I307" s="652"/>
      <c r="J307" s="355" t="str">
        <f t="shared" si="22"/>
        <v/>
      </c>
    </row>
    <row r="308" spans="2:10" x14ac:dyDescent="0.25">
      <c r="B308" s="527"/>
      <c r="C308" s="764" t="str">
        <f t="shared" si="21"/>
        <v/>
      </c>
      <c r="D308" s="355"/>
      <c r="E308" s="355"/>
      <c r="F308" s="765"/>
      <c r="G308" s="766" t="str">
        <f>+IF(ISBLANK(F308),"",IF(J308="Yes",F308,F308*(1+Economics!$AK$29)))</f>
        <v/>
      </c>
      <c r="I308" s="652"/>
      <c r="J308" s="355" t="str">
        <f t="shared" si="22"/>
        <v/>
      </c>
    </row>
    <row r="309" spans="2:10" x14ac:dyDescent="0.25">
      <c r="B309" s="527"/>
      <c r="C309" s="764" t="str">
        <f t="shared" si="21"/>
        <v/>
      </c>
      <c r="D309" s="355"/>
      <c r="E309" s="355"/>
      <c r="F309" s="765"/>
      <c r="G309" s="766" t="str">
        <f>+IF(ISBLANK(F309),"",IF(J309="Yes",F309,F309*(1+Economics!$AK$29)))</f>
        <v/>
      </c>
      <c r="I309" s="652"/>
      <c r="J309" s="355" t="str">
        <f t="shared" si="22"/>
        <v/>
      </c>
    </row>
    <row r="310" spans="2:10" x14ac:dyDescent="0.25">
      <c r="B310" s="527"/>
      <c r="C310" s="764" t="str">
        <f t="shared" si="21"/>
        <v/>
      </c>
      <c r="D310" s="355"/>
      <c r="E310" s="355"/>
      <c r="F310" s="765"/>
      <c r="G310" s="766" t="str">
        <f>+IF(ISBLANK(F310),"",IF(J310="Yes",F310,F310*(1+Economics!$AK$29)))</f>
        <v/>
      </c>
      <c r="I310" s="652"/>
      <c r="J310" s="355" t="str">
        <f t="shared" si="22"/>
        <v/>
      </c>
    </row>
    <row r="311" spans="2:10" x14ac:dyDescent="0.25">
      <c r="B311" s="527"/>
      <c r="C311" s="764" t="str">
        <f t="shared" si="21"/>
        <v/>
      </c>
      <c r="D311" s="355"/>
      <c r="E311" s="355"/>
      <c r="F311" s="765"/>
      <c r="G311" s="766" t="str">
        <f>+IF(ISBLANK(F311),"",IF(J311="Yes",F311,F311*(1+Economics!$AK$29)))</f>
        <v/>
      </c>
      <c r="I311" s="652"/>
      <c r="J311" s="355" t="str">
        <f t="shared" si="22"/>
        <v/>
      </c>
    </row>
    <row r="312" spans="2:10" x14ac:dyDescent="0.25">
      <c r="B312" s="527"/>
      <c r="C312" s="764" t="str">
        <f t="shared" si="21"/>
        <v/>
      </c>
      <c r="D312" s="355"/>
      <c r="E312" s="355"/>
      <c r="F312" s="765"/>
      <c r="G312" s="766" t="str">
        <f>+IF(ISBLANK(F312),"",IF(J312="Yes",F312,F312*(1+Economics!$AK$29)))</f>
        <v/>
      </c>
      <c r="I312" s="652"/>
      <c r="J312" s="355" t="str">
        <f t="shared" si="22"/>
        <v/>
      </c>
    </row>
    <row r="313" spans="2:10" x14ac:dyDescent="0.25">
      <c r="B313" s="527"/>
      <c r="C313" s="764" t="str">
        <f t="shared" si="21"/>
        <v/>
      </c>
      <c r="D313" s="355"/>
      <c r="E313" s="355"/>
      <c r="F313" s="765"/>
      <c r="G313" s="766" t="str">
        <f>+IF(ISBLANK(F313),"",IF(J313="Yes",F313,F313*(1+Economics!$AK$29)))</f>
        <v/>
      </c>
      <c r="I313" s="652"/>
      <c r="J313" s="355" t="str">
        <f t="shared" si="22"/>
        <v/>
      </c>
    </row>
    <row r="314" spans="2:10" x14ac:dyDescent="0.25">
      <c r="B314" s="527"/>
      <c r="C314" s="764" t="str">
        <f t="shared" si="21"/>
        <v/>
      </c>
      <c r="D314" s="355"/>
      <c r="E314" s="355"/>
      <c r="F314" s="765"/>
      <c r="G314" s="766" t="str">
        <f>+IF(ISBLANK(F314),"",IF(J314="Yes",F314,F314*(1+Economics!$AK$29)))</f>
        <v/>
      </c>
      <c r="I314" s="652"/>
      <c r="J314" s="355" t="str">
        <f t="shared" si="22"/>
        <v/>
      </c>
    </row>
    <row r="315" spans="2:10" x14ac:dyDescent="0.25">
      <c r="B315" s="527"/>
      <c r="C315" s="764" t="str">
        <f t="shared" si="21"/>
        <v/>
      </c>
      <c r="D315" s="355"/>
      <c r="E315" s="355"/>
      <c r="F315" s="765"/>
      <c r="G315" s="766" t="str">
        <f>+IF(ISBLANK(F315),"",IF(J315="Yes",F315,F315*(1+Economics!$AK$29)))</f>
        <v/>
      </c>
      <c r="I315" s="652"/>
      <c r="J315" s="355" t="str">
        <f t="shared" si="22"/>
        <v/>
      </c>
    </row>
    <row r="316" spans="2:10" x14ac:dyDescent="0.25">
      <c r="B316" s="527"/>
      <c r="C316" s="764" t="str">
        <f t="shared" si="21"/>
        <v/>
      </c>
      <c r="D316" s="355"/>
      <c r="E316" s="355"/>
      <c r="F316" s="765"/>
      <c r="G316" s="766" t="str">
        <f>+IF(ISBLANK(F316),"",IF(J316="Yes",F316,F316*(1+Economics!$AK$29)))</f>
        <v/>
      </c>
      <c r="I316" s="652"/>
      <c r="J316" s="355" t="str">
        <f t="shared" si="22"/>
        <v/>
      </c>
    </row>
    <row r="317" spans="2:10" x14ac:dyDescent="0.25">
      <c r="B317" s="527"/>
      <c r="C317" s="764" t="str">
        <f t="shared" si="21"/>
        <v/>
      </c>
      <c r="D317" s="355"/>
      <c r="E317" s="355"/>
      <c r="F317" s="765"/>
      <c r="G317" s="766" t="str">
        <f>+IF(ISBLANK(F317),"",IF(J317="Yes",F317,F317*(1+Economics!$AK$29)))</f>
        <v/>
      </c>
      <c r="I317" s="652"/>
      <c r="J317" s="355" t="str">
        <f t="shared" si="22"/>
        <v/>
      </c>
    </row>
    <row r="318" spans="2:10" x14ac:dyDescent="0.25">
      <c r="B318" s="527"/>
      <c r="C318" s="764" t="str">
        <f t="shared" si="21"/>
        <v/>
      </c>
      <c r="D318" s="355"/>
      <c r="E318" s="355"/>
      <c r="F318" s="765"/>
      <c r="G318" s="766" t="str">
        <f>+IF(ISBLANK(F318),"",IF(J318="Yes",F318,F318*(1+Economics!$AK$29)))</f>
        <v/>
      </c>
      <c r="I318" s="652"/>
      <c r="J318" s="355" t="str">
        <f t="shared" si="22"/>
        <v/>
      </c>
    </row>
    <row r="319" spans="2:10" x14ac:dyDescent="0.25">
      <c r="B319" s="527"/>
      <c r="C319" s="764" t="str">
        <f t="shared" si="21"/>
        <v/>
      </c>
      <c r="D319" s="355"/>
      <c r="E319" s="355"/>
      <c r="F319" s="765"/>
      <c r="G319" s="766" t="str">
        <f>+IF(ISBLANK(F319),"",IF(J319="Yes",F319,F319*(1+Economics!$AK$29)))</f>
        <v/>
      </c>
      <c r="I319" s="652"/>
      <c r="J319" s="355" t="str">
        <f t="shared" si="22"/>
        <v/>
      </c>
    </row>
    <row r="320" spans="2:10" x14ac:dyDescent="0.25">
      <c r="B320" s="527"/>
      <c r="C320" s="764" t="str">
        <f t="shared" si="21"/>
        <v/>
      </c>
      <c r="D320" s="355"/>
      <c r="E320" s="355"/>
      <c r="F320" s="765"/>
      <c r="G320" s="766" t="str">
        <f>+IF(ISBLANK(F320),"",IF(J320="Yes",F320,F320*(1+Economics!$AK$29)))</f>
        <v/>
      </c>
      <c r="I320" s="652"/>
      <c r="J320" s="355" t="str">
        <f t="shared" si="22"/>
        <v/>
      </c>
    </row>
    <row r="321" spans="2:10" x14ac:dyDescent="0.25">
      <c r="B321" s="527"/>
      <c r="C321" s="764" t="str">
        <f t="shared" si="21"/>
        <v/>
      </c>
      <c r="D321" s="355"/>
      <c r="E321" s="355"/>
      <c r="F321" s="765"/>
      <c r="G321" s="766" t="str">
        <f>+IF(ISBLANK(F321),"",IF(J321="Yes",F321,F321*(1+Economics!$AK$29)))</f>
        <v/>
      </c>
      <c r="I321" s="652"/>
      <c r="J321" s="355" t="str">
        <f t="shared" si="22"/>
        <v/>
      </c>
    </row>
    <row r="322" spans="2:10" x14ac:dyDescent="0.25">
      <c r="B322" s="527"/>
      <c r="C322" s="764" t="str">
        <f t="shared" si="21"/>
        <v/>
      </c>
      <c r="D322" s="355"/>
      <c r="E322" s="355"/>
      <c r="F322" s="765"/>
      <c r="G322" s="766" t="str">
        <f>+IF(ISBLANK(F322),"",IF(J322="Yes",F322,F322*(1+Economics!$AK$29)))</f>
        <v/>
      </c>
      <c r="I322" s="652"/>
      <c r="J322" s="355" t="str">
        <f t="shared" si="22"/>
        <v/>
      </c>
    </row>
    <row r="323" spans="2:10" x14ac:dyDescent="0.25">
      <c r="B323" s="527"/>
      <c r="C323" s="764" t="str">
        <f t="shared" si="21"/>
        <v/>
      </c>
      <c r="D323" s="355"/>
      <c r="E323" s="355"/>
      <c r="F323" s="765"/>
      <c r="G323" s="766" t="str">
        <f>+IF(ISBLANK(F323),"",IF(J323="Yes",F323,F323*(1+Economics!$AK$29)))</f>
        <v/>
      </c>
      <c r="I323" s="652"/>
      <c r="J323" s="355" t="str">
        <f t="shared" si="22"/>
        <v/>
      </c>
    </row>
    <row r="324" spans="2:10" x14ac:dyDescent="0.25">
      <c r="B324" s="527"/>
      <c r="C324" s="764" t="str">
        <f t="shared" si="21"/>
        <v/>
      </c>
      <c r="D324" s="355"/>
      <c r="E324" s="355"/>
      <c r="F324" s="765"/>
      <c r="G324" s="766" t="str">
        <f>+IF(ISBLANK(F324),"",IF(J324="Yes",F324,F324*(1+Economics!$AK$29)))</f>
        <v/>
      </c>
      <c r="I324" s="652"/>
      <c r="J324" s="355" t="str">
        <f t="shared" si="22"/>
        <v/>
      </c>
    </row>
    <row r="325" spans="2:10" x14ac:dyDescent="0.25">
      <c r="B325" s="527"/>
      <c r="C325" s="764" t="str">
        <f t="shared" si="21"/>
        <v/>
      </c>
      <c r="D325" s="355"/>
      <c r="E325" s="355"/>
      <c r="F325" s="765"/>
      <c r="G325" s="766" t="str">
        <f>+IF(ISBLANK(F325),"",IF(J325="Yes",F325,F325*(1+Economics!$AK$29)))</f>
        <v/>
      </c>
      <c r="I325" s="652"/>
      <c r="J325" s="355" t="str">
        <f t="shared" si="22"/>
        <v/>
      </c>
    </row>
    <row r="326" spans="2:10" x14ac:dyDescent="0.25">
      <c r="B326" s="527"/>
      <c r="C326" s="764" t="str">
        <f t="shared" si="21"/>
        <v/>
      </c>
      <c r="D326" s="355"/>
      <c r="E326" s="355"/>
      <c r="F326" s="765"/>
      <c r="G326" s="766" t="str">
        <f>+IF(ISBLANK(F326),"",IF(J326="Yes",F326,F326*(1+Economics!$AK$29)))</f>
        <v/>
      </c>
      <c r="I326" s="652"/>
      <c r="J326" s="355" t="str">
        <f t="shared" si="22"/>
        <v/>
      </c>
    </row>
    <row r="327" spans="2:10" x14ac:dyDescent="0.25">
      <c r="B327" s="527"/>
      <c r="C327" s="764" t="str">
        <f t="shared" si="21"/>
        <v/>
      </c>
      <c r="D327" s="355"/>
      <c r="E327" s="355"/>
      <c r="F327" s="765"/>
      <c r="G327" s="766" t="str">
        <f>+IF(ISBLANK(F327),"",IF(J327="Yes",F327,F327*(1+Economics!$AK$29)))</f>
        <v/>
      </c>
      <c r="I327" s="652"/>
      <c r="J327" s="355" t="str">
        <f t="shared" si="22"/>
        <v/>
      </c>
    </row>
    <row r="328" spans="2:10" x14ac:dyDescent="0.25">
      <c r="B328" s="527"/>
      <c r="C328" s="764" t="str">
        <f t="shared" si="21"/>
        <v/>
      </c>
      <c r="D328" s="355"/>
      <c r="E328" s="355"/>
      <c r="F328" s="765"/>
      <c r="G328" s="766" t="str">
        <f>+IF(ISBLANK(F328),"",IF(J328="Yes",F328,F328*(1+Economics!$AK$29)))</f>
        <v/>
      </c>
      <c r="I328" s="652"/>
      <c r="J328" s="355" t="str">
        <f t="shared" si="22"/>
        <v/>
      </c>
    </row>
    <row r="329" spans="2:10" x14ac:dyDescent="0.25">
      <c r="B329" s="527"/>
      <c r="C329" s="764" t="str">
        <f t="shared" si="21"/>
        <v/>
      </c>
      <c r="D329" s="355"/>
      <c r="E329" s="355"/>
      <c r="F329" s="765"/>
      <c r="G329" s="766" t="str">
        <f>+IF(ISBLANK(F329),"",IF(J329="Yes",F329,F329*(1+Economics!$AK$29)))</f>
        <v/>
      </c>
      <c r="I329" s="652"/>
      <c r="J329" s="355" t="str">
        <f t="shared" si="22"/>
        <v/>
      </c>
    </row>
    <row r="330" spans="2:10" x14ac:dyDescent="0.25">
      <c r="B330" s="527"/>
      <c r="C330" s="764" t="str">
        <f t="shared" si="21"/>
        <v/>
      </c>
      <c r="D330" s="355"/>
      <c r="E330" s="355"/>
      <c r="F330" s="765"/>
      <c r="G330" s="766" t="str">
        <f>+IF(ISBLANK(F330),"",IF(J330="Yes",F330,F330*(1+Economics!$AK$29)))</f>
        <v/>
      </c>
      <c r="I330" s="652"/>
      <c r="J330" s="355" t="str">
        <f t="shared" si="22"/>
        <v/>
      </c>
    </row>
    <row r="331" spans="2:10" x14ac:dyDescent="0.25">
      <c r="B331" s="527"/>
      <c r="C331" s="764" t="str">
        <f t="shared" si="21"/>
        <v/>
      </c>
      <c r="D331" s="355"/>
      <c r="E331" s="355"/>
      <c r="F331" s="765"/>
      <c r="G331" s="766" t="str">
        <f>+IF(ISBLANK(F331),"",IF(J331="Yes",F331,F331*(1+Economics!$AK$29)))</f>
        <v/>
      </c>
      <c r="I331" s="652"/>
      <c r="J331" s="355" t="str">
        <f t="shared" si="22"/>
        <v/>
      </c>
    </row>
    <row r="332" spans="2:10" x14ac:dyDescent="0.25">
      <c r="B332" s="527"/>
      <c r="C332" s="764" t="str">
        <f t="shared" si="21"/>
        <v/>
      </c>
      <c r="D332" s="355"/>
      <c r="E332" s="355"/>
      <c r="F332" s="765"/>
      <c r="G332" s="766" t="str">
        <f>+IF(ISBLANK(F332),"",IF(J332="Yes",F332,F332*(1+Economics!$AK$29)))</f>
        <v/>
      </c>
      <c r="I332" s="652"/>
      <c r="J332" s="355" t="str">
        <f t="shared" si="22"/>
        <v/>
      </c>
    </row>
    <row r="333" spans="2:10" x14ac:dyDescent="0.25">
      <c r="B333" s="527"/>
      <c r="C333" s="764" t="str">
        <f t="shared" si="21"/>
        <v/>
      </c>
      <c r="D333" s="355"/>
      <c r="E333" s="355"/>
      <c r="F333" s="765"/>
      <c r="G333" s="766" t="str">
        <f>+IF(ISBLANK(F333),"",IF(J333="Yes",F333,F333*(1+Economics!$AK$29)))</f>
        <v/>
      </c>
      <c r="I333" s="652"/>
      <c r="J333" s="355" t="str">
        <f t="shared" si="22"/>
        <v/>
      </c>
    </row>
    <row r="334" spans="2:10" x14ac:dyDescent="0.25">
      <c r="B334" s="527"/>
      <c r="C334" s="764" t="str">
        <f t="shared" si="21"/>
        <v/>
      </c>
      <c r="D334" s="355"/>
      <c r="E334" s="355"/>
      <c r="F334" s="765"/>
      <c r="G334" s="766" t="str">
        <f>+IF(ISBLANK(F334),"",IF(J334="Yes",F334,F334*(1+Economics!$AK$29)))</f>
        <v/>
      </c>
      <c r="I334" s="652"/>
      <c r="J334" s="355" t="str">
        <f t="shared" si="22"/>
        <v/>
      </c>
    </row>
    <row r="335" spans="2:10" x14ac:dyDescent="0.25">
      <c r="B335" s="527"/>
      <c r="C335" s="764" t="str">
        <f t="shared" si="21"/>
        <v/>
      </c>
      <c r="D335" s="355"/>
      <c r="E335" s="355"/>
      <c r="F335" s="765"/>
      <c r="G335" s="766" t="str">
        <f>+IF(ISBLANK(F335),"",IF(J335="Yes",F335,F335*(1+Economics!$AK$29)))</f>
        <v/>
      </c>
      <c r="I335" s="652"/>
      <c r="J335" s="355" t="str">
        <f t="shared" si="22"/>
        <v/>
      </c>
    </row>
    <row r="336" spans="2:10" x14ac:dyDescent="0.25">
      <c r="B336" s="527"/>
      <c r="C336" s="764" t="str">
        <f t="shared" si="21"/>
        <v/>
      </c>
      <c r="D336" s="355"/>
      <c r="E336" s="355"/>
      <c r="F336" s="765"/>
      <c r="G336" s="766" t="str">
        <f>+IF(ISBLANK(F336),"",IF(J336="Yes",F336,F336*(1+Economics!$AK$29)))</f>
        <v/>
      </c>
      <c r="I336" s="652"/>
      <c r="J336" s="355" t="str">
        <f t="shared" si="22"/>
        <v/>
      </c>
    </row>
    <row r="337" spans="2:10" x14ac:dyDescent="0.25">
      <c r="B337" s="527"/>
      <c r="C337" s="764" t="str">
        <f t="shared" si="21"/>
        <v/>
      </c>
      <c r="D337" s="355"/>
      <c r="E337" s="355"/>
      <c r="F337" s="765"/>
      <c r="G337" s="766" t="str">
        <f>+IF(ISBLANK(F337),"",IF(J337="Yes",F337,F337*(1+Economics!$AK$29)))</f>
        <v/>
      </c>
      <c r="I337" s="652"/>
      <c r="J337" s="355" t="str">
        <f t="shared" si="22"/>
        <v/>
      </c>
    </row>
    <row r="338" spans="2:10" x14ac:dyDescent="0.25">
      <c r="B338" s="527"/>
      <c r="C338" s="764" t="str">
        <f t="shared" si="21"/>
        <v/>
      </c>
      <c r="D338" s="355"/>
      <c r="E338" s="355"/>
      <c r="F338" s="765"/>
      <c r="G338" s="766" t="str">
        <f>+IF(ISBLANK(F338),"",IF(J338="Yes",F338,F338*(1+Economics!$AK$29)))</f>
        <v/>
      </c>
      <c r="I338" s="652"/>
      <c r="J338" s="355" t="str">
        <f t="shared" si="22"/>
        <v/>
      </c>
    </row>
    <row r="339" spans="2:10" x14ac:dyDescent="0.25">
      <c r="B339" s="527"/>
      <c r="C339" s="764" t="str">
        <f t="shared" si="21"/>
        <v/>
      </c>
      <c r="D339" s="355"/>
      <c r="E339" s="355"/>
      <c r="F339" s="765"/>
      <c r="G339" s="766" t="str">
        <f>+IF(ISBLANK(F339),"",IF(J339="Yes",F339,F339*(1+Economics!$AK$29)))</f>
        <v/>
      </c>
      <c r="I339" s="652"/>
      <c r="J339" s="355" t="str">
        <f t="shared" si="22"/>
        <v/>
      </c>
    </row>
    <row r="340" spans="2:10" x14ac:dyDescent="0.25">
      <c r="B340" s="527"/>
      <c r="C340" s="764" t="str">
        <f t="shared" si="21"/>
        <v/>
      </c>
      <c r="D340" s="355"/>
      <c r="E340" s="355"/>
      <c r="F340" s="765"/>
      <c r="G340" s="766" t="str">
        <f>+IF(ISBLANK(F340),"",IF(J340="Yes",F340,F340*(1+Economics!$AK$29)))</f>
        <v/>
      </c>
      <c r="I340" s="652"/>
      <c r="J340" s="355" t="str">
        <f t="shared" si="22"/>
        <v/>
      </c>
    </row>
    <row r="341" spans="2:10" x14ac:dyDescent="0.25">
      <c r="B341" s="527"/>
      <c r="C341" s="764" t="str">
        <f t="shared" si="21"/>
        <v/>
      </c>
      <c r="D341" s="355"/>
      <c r="E341" s="355"/>
      <c r="F341" s="765"/>
      <c r="G341" s="766" t="str">
        <f>+IF(ISBLANK(F341),"",IF(J341="Yes",F341,F341*(1+Economics!$AK$29)))</f>
        <v/>
      </c>
      <c r="I341" s="652"/>
      <c r="J341" s="355" t="str">
        <f t="shared" si="22"/>
        <v/>
      </c>
    </row>
    <row r="342" spans="2:10" x14ac:dyDescent="0.25">
      <c r="B342" s="527"/>
      <c r="C342" s="764" t="str">
        <f t="shared" si="21"/>
        <v/>
      </c>
      <c r="D342" s="355"/>
      <c r="E342" s="355"/>
      <c r="F342" s="765"/>
      <c r="G342" s="766" t="str">
        <f>+IF(ISBLANK(F342),"",IF(J342="Yes",F342,F342*(1+Economics!$AK$29)))</f>
        <v/>
      </c>
      <c r="I342" s="652"/>
      <c r="J342" s="355" t="str">
        <f t="shared" si="22"/>
        <v/>
      </c>
    </row>
    <row r="343" spans="2:10" x14ac:dyDescent="0.25">
      <c r="B343" s="527"/>
      <c r="C343" s="764" t="str">
        <f t="shared" si="21"/>
        <v/>
      </c>
      <c r="D343" s="355"/>
      <c r="E343" s="355"/>
      <c r="F343" s="765"/>
      <c r="G343" s="766" t="str">
        <f>+IF(ISBLANK(F343),"",IF(J343="Yes",F343,F343*(1+Economics!$AK$29)))</f>
        <v/>
      </c>
      <c r="I343" s="652"/>
      <c r="J343" s="355" t="str">
        <f t="shared" si="22"/>
        <v/>
      </c>
    </row>
    <row r="344" spans="2:10" x14ac:dyDescent="0.25">
      <c r="B344" s="527"/>
      <c r="C344" s="764" t="str">
        <f t="shared" si="21"/>
        <v/>
      </c>
      <c r="D344" s="355"/>
      <c r="E344" s="355"/>
      <c r="F344" s="765"/>
      <c r="G344" s="766" t="str">
        <f>+IF(ISBLANK(F344),"",IF(J344="Yes",F344,F344*(1+Economics!$AK$29)))</f>
        <v/>
      </c>
      <c r="I344" s="652"/>
      <c r="J344" s="355" t="str">
        <f t="shared" si="22"/>
        <v/>
      </c>
    </row>
    <row r="345" spans="2:10" x14ac:dyDescent="0.25">
      <c r="B345" s="527"/>
      <c r="C345" s="764" t="str">
        <f t="shared" si="21"/>
        <v/>
      </c>
      <c r="D345" s="355"/>
      <c r="E345" s="355"/>
      <c r="F345" s="765"/>
      <c r="G345" s="766" t="str">
        <f>+IF(ISBLANK(F345),"",IF(J345="Yes",F345,F345*(1+Economics!$AK$29)))</f>
        <v/>
      </c>
      <c r="I345" s="652"/>
      <c r="J345" s="355" t="str">
        <f t="shared" si="22"/>
        <v/>
      </c>
    </row>
    <row r="346" spans="2:10" x14ac:dyDescent="0.25">
      <c r="B346" s="527"/>
      <c r="C346" s="764" t="str">
        <f t="shared" si="21"/>
        <v/>
      </c>
      <c r="D346" s="355"/>
      <c r="E346" s="355"/>
      <c r="F346" s="765"/>
      <c r="G346" s="766" t="str">
        <f>+IF(ISBLANK(F346),"",IF(J346="Yes",F346,F346*(1+Economics!$AK$29)))</f>
        <v/>
      </c>
      <c r="I346" s="652"/>
      <c r="J346" s="355" t="str">
        <f t="shared" si="22"/>
        <v/>
      </c>
    </row>
    <row r="347" spans="2:10" x14ac:dyDescent="0.25">
      <c r="B347" s="527"/>
      <c r="C347" s="764" t="str">
        <f t="shared" si="21"/>
        <v/>
      </c>
      <c r="D347" s="355"/>
      <c r="E347" s="355"/>
      <c r="F347" s="765"/>
      <c r="G347" s="766" t="str">
        <f>+IF(ISBLANK(F347),"",IF(J347="Yes",F347,F347*(1+Economics!$AK$29)))</f>
        <v/>
      </c>
      <c r="I347" s="652"/>
      <c r="J347" s="355" t="str">
        <f t="shared" si="22"/>
        <v/>
      </c>
    </row>
    <row r="348" spans="2:10" x14ac:dyDescent="0.25">
      <c r="B348" s="527"/>
      <c r="C348" s="764" t="str">
        <f t="shared" si="21"/>
        <v/>
      </c>
      <c r="D348" s="355"/>
      <c r="E348" s="355"/>
      <c r="F348" s="765"/>
      <c r="G348" s="766" t="str">
        <f>+IF(ISBLANK(F348),"",IF(J348="Yes",F348,F348*(1+Economics!$AK$29)))</f>
        <v/>
      </c>
      <c r="I348" s="652"/>
      <c r="J348" s="355" t="str">
        <f t="shared" si="22"/>
        <v/>
      </c>
    </row>
    <row r="349" spans="2:10" x14ac:dyDescent="0.25">
      <c r="B349" s="527"/>
      <c r="C349" s="764" t="str">
        <f t="shared" si="21"/>
        <v/>
      </c>
      <c r="D349" s="355"/>
      <c r="E349" s="355"/>
      <c r="F349" s="765"/>
      <c r="G349" s="766" t="str">
        <f>+IF(ISBLANK(F349),"",IF(J349="Yes",F349,F349*(1+Economics!$AK$29)))</f>
        <v/>
      </c>
      <c r="I349" s="652"/>
      <c r="J349" s="355" t="str">
        <f t="shared" si="22"/>
        <v/>
      </c>
    </row>
    <row r="350" spans="2:10" x14ac:dyDescent="0.25">
      <c r="B350" s="527"/>
      <c r="C350" s="764" t="str">
        <f t="shared" ref="C350:C413" si="23">+IF(ISBLANK(B350),"",IFERROR(INDEX($T$3:$T$7,MATCH(B350,$S$3:$S$7,0)),""))</f>
        <v/>
      </c>
      <c r="D350" s="355"/>
      <c r="E350" s="355"/>
      <c r="F350" s="765"/>
      <c r="G350" s="766" t="str">
        <f>+IF(ISBLANK(F350),"",IF(J350="Yes",F350,F350*(1+Economics!$AK$29)))</f>
        <v/>
      </c>
      <c r="I350" s="652"/>
      <c r="J350" s="355" t="str">
        <f t="shared" si="22"/>
        <v/>
      </c>
    </row>
    <row r="351" spans="2:10" x14ac:dyDescent="0.25">
      <c r="B351" s="527"/>
      <c r="C351" s="764" t="str">
        <f t="shared" si="23"/>
        <v/>
      </c>
      <c r="D351" s="355"/>
      <c r="E351" s="355"/>
      <c r="F351" s="765"/>
      <c r="G351" s="766" t="str">
        <f>+IF(ISBLANK(F351),"",IF(J351="Yes",F351,F351*(1+Economics!$AK$29)))</f>
        <v/>
      </c>
      <c r="I351" s="652"/>
      <c r="J351" s="355" t="str">
        <f t="shared" ref="J351:J414" si="24">+IF(ISBLANK(I351),"",IF(ISNUMBER(FIND("Yes",I351)),"No","Yes"))</f>
        <v/>
      </c>
    </row>
    <row r="352" spans="2:10" x14ac:dyDescent="0.25">
      <c r="B352" s="527"/>
      <c r="C352" s="764" t="str">
        <f t="shared" si="23"/>
        <v/>
      </c>
      <c r="D352" s="355"/>
      <c r="E352" s="355"/>
      <c r="F352" s="765"/>
      <c r="G352" s="766" t="str">
        <f>+IF(ISBLANK(F352),"",IF(J352="Yes",F352,F352*(1+Economics!$AK$29)))</f>
        <v/>
      </c>
      <c r="I352" s="652"/>
      <c r="J352" s="355" t="str">
        <f t="shared" si="24"/>
        <v/>
      </c>
    </row>
    <row r="353" spans="2:10" x14ac:dyDescent="0.25">
      <c r="B353" s="527"/>
      <c r="C353" s="764" t="str">
        <f t="shared" si="23"/>
        <v/>
      </c>
      <c r="D353" s="355"/>
      <c r="E353" s="355"/>
      <c r="F353" s="765"/>
      <c r="G353" s="766" t="str">
        <f>+IF(ISBLANK(F353),"",IF(J353="Yes",F353,F353*(1+Economics!$AK$29)))</f>
        <v/>
      </c>
      <c r="I353" s="652"/>
      <c r="J353" s="355" t="str">
        <f t="shared" si="24"/>
        <v/>
      </c>
    </row>
    <row r="354" spans="2:10" x14ac:dyDescent="0.25">
      <c r="B354" s="527"/>
      <c r="C354" s="764" t="str">
        <f t="shared" si="23"/>
        <v/>
      </c>
      <c r="D354" s="355"/>
      <c r="E354" s="355"/>
      <c r="F354" s="765"/>
      <c r="G354" s="766" t="str">
        <f>+IF(ISBLANK(F354),"",IF(J354="Yes",F354,F354*(1+Economics!$AK$29)))</f>
        <v/>
      </c>
      <c r="I354" s="652"/>
      <c r="J354" s="355" t="str">
        <f t="shared" si="24"/>
        <v/>
      </c>
    </row>
    <row r="355" spans="2:10" x14ac:dyDescent="0.25">
      <c r="B355" s="527"/>
      <c r="C355" s="764" t="str">
        <f t="shared" si="23"/>
        <v/>
      </c>
      <c r="D355" s="355"/>
      <c r="E355" s="355"/>
      <c r="F355" s="765"/>
      <c r="G355" s="766" t="str">
        <f>+IF(ISBLANK(F355),"",IF(J355="Yes",F355,F355*(1+Economics!$AK$29)))</f>
        <v/>
      </c>
      <c r="I355" s="652"/>
      <c r="J355" s="355" t="str">
        <f t="shared" si="24"/>
        <v/>
      </c>
    </row>
    <row r="356" spans="2:10" x14ac:dyDescent="0.25">
      <c r="B356" s="527"/>
      <c r="C356" s="764" t="str">
        <f t="shared" si="23"/>
        <v/>
      </c>
      <c r="D356" s="355"/>
      <c r="E356" s="355"/>
      <c r="F356" s="765"/>
      <c r="G356" s="766" t="str">
        <f>+IF(ISBLANK(F356),"",IF(J356="Yes",F356,F356*(1+Economics!$AK$29)))</f>
        <v/>
      </c>
      <c r="I356" s="652"/>
      <c r="J356" s="355" t="str">
        <f t="shared" si="24"/>
        <v/>
      </c>
    </row>
    <row r="357" spans="2:10" x14ac:dyDescent="0.25">
      <c r="B357" s="527"/>
      <c r="C357" s="764" t="str">
        <f t="shared" si="23"/>
        <v/>
      </c>
      <c r="D357" s="355"/>
      <c r="E357" s="355"/>
      <c r="F357" s="765"/>
      <c r="G357" s="766" t="str">
        <f>+IF(ISBLANK(F357),"",IF(J357="Yes",F357,F357*(1+Economics!$AK$29)))</f>
        <v/>
      </c>
      <c r="I357" s="652"/>
      <c r="J357" s="355" t="str">
        <f t="shared" si="24"/>
        <v/>
      </c>
    </row>
    <row r="358" spans="2:10" x14ac:dyDescent="0.25">
      <c r="B358" s="527"/>
      <c r="C358" s="764" t="str">
        <f t="shared" si="23"/>
        <v/>
      </c>
      <c r="D358" s="355"/>
      <c r="E358" s="355"/>
      <c r="F358" s="765"/>
      <c r="G358" s="766" t="str">
        <f>+IF(ISBLANK(F358),"",IF(J358="Yes",F358,F358*(1+Economics!$AK$29)))</f>
        <v/>
      </c>
      <c r="I358" s="652"/>
      <c r="J358" s="355" t="str">
        <f t="shared" si="24"/>
        <v/>
      </c>
    </row>
    <row r="359" spans="2:10" x14ac:dyDescent="0.25">
      <c r="B359" s="527"/>
      <c r="C359" s="764" t="str">
        <f t="shared" si="23"/>
        <v/>
      </c>
      <c r="D359" s="355"/>
      <c r="E359" s="355"/>
      <c r="F359" s="765"/>
      <c r="G359" s="766" t="str">
        <f>+IF(ISBLANK(F359),"",IF(J359="Yes",F359,F359*(1+Economics!$AK$29)))</f>
        <v/>
      </c>
      <c r="I359" s="652"/>
      <c r="J359" s="355" t="str">
        <f t="shared" si="24"/>
        <v/>
      </c>
    </row>
    <row r="360" spans="2:10" x14ac:dyDescent="0.25">
      <c r="B360" s="527"/>
      <c r="C360" s="764" t="str">
        <f t="shared" si="23"/>
        <v/>
      </c>
      <c r="D360" s="355"/>
      <c r="E360" s="355"/>
      <c r="F360" s="765"/>
      <c r="G360" s="766" t="str">
        <f>+IF(ISBLANK(F360),"",IF(J360="Yes",F360,F360*(1+Economics!$AK$29)))</f>
        <v/>
      </c>
      <c r="I360" s="652"/>
      <c r="J360" s="355" t="str">
        <f t="shared" si="24"/>
        <v/>
      </c>
    </row>
    <row r="361" spans="2:10" x14ac:dyDescent="0.25">
      <c r="B361" s="527"/>
      <c r="C361" s="764" t="str">
        <f t="shared" si="23"/>
        <v/>
      </c>
      <c r="D361" s="355"/>
      <c r="E361" s="355"/>
      <c r="F361" s="765"/>
      <c r="G361" s="766" t="str">
        <f>+IF(ISBLANK(F361),"",IF(J361="Yes",F361,F361*(1+Economics!$AK$29)))</f>
        <v/>
      </c>
      <c r="I361" s="652"/>
      <c r="J361" s="355" t="str">
        <f t="shared" si="24"/>
        <v/>
      </c>
    </row>
    <row r="362" spans="2:10" x14ac:dyDescent="0.25">
      <c r="B362" s="527"/>
      <c r="C362" s="764" t="str">
        <f t="shared" si="23"/>
        <v/>
      </c>
      <c r="D362" s="355"/>
      <c r="E362" s="355"/>
      <c r="F362" s="765"/>
      <c r="G362" s="766" t="str">
        <f>+IF(ISBLANK(F362),"",IF(J362="Yes",F362,F362*(1+Economics!$AK$29)))</f>
        <v/>
      </c>
      <c r="I362" s="652"/>
      <c r="J362" s="355" t="str">
        <f t="shared" si="24"/>
        <v/>
      </c>
    </row>
    <row r="363" spans="2:10" x14ac:dyDescent="0.25">
      <c r="B363" s="527"/>
      <c r="C363" s="764" t="str">
        <f t="shared" si="23"/>
        <v/>
      </c>
      <c r="D363" s="355"/>
      <c r="E363" s="355"/>
      <c r="F363" s="765"/>
      <c r="G363" s="766" t="str">
        <f>+IF(ISBLANK(F363),"",IF(J363="Yes",F363,F363*(1+Economics!$AK$29)))</f>
        <v/>
      </c>
      <c r="I363" s="652"/>
      <c r="J363" s="355" t="str">
        <f t="shared" si="24"/>
        <v/>
      </c>
    </row>
    <row r="364" spans="2:10" x14ac:dyDescent="0.25">
      <c r="B364" s="527"/>
      <c r="C364" s="764" t="str">
        <f t="shared" si="23"/>
        <v/>
      </c>
      <c r="D364" s="355"/>
      <c r="E364" s="355"/>
      <c r="F364" s="765"/>
      <c r="G364" s="766" t="str">
        <f>+IF(ISBLANK(F364),"",IF(J364="Yes",F364,F364*(1+Economics!$AK$29)))</f>
        <v/>
      </c>
      <c r="I364" s="652"/>
      <c r="J364" s="355" t="str">
        <f t="shared" si="24"/>
        <v/>
      </c>
    </row>
    <row r="365" spans="2:10" x14ac:dyDescent="0.25">
      <c r="B365" s="527"/>
      <c r="C365" s="764" t="str">
        <f t="shared" si="23"/>
        <v/>
      </c>
      <c r="D365" s="355"/>
      <c r="E365" s="355"/>
      <c r="F365" s="765"/>
      <c r="G365" s="766" t="str">
        <f>+IF(ISBLANK(F365),"",IF(J365="Yes",F365,F365*(1+Economics!$AK$29)))</f>
        <v/>
      </c>
      <c r="I365" s="652"/>
      <c r="J365" s="355" t="str">
        <f t="shared" si="24"/>
        <v/>
      </c>
    </row>
    <row r="366" spans="2:10" x14ac:dyDescent="0.25">
      <c r="B366" s="527"/>
      <c r="C366" s="764" t="str">
        <f t="shared" si="23"/>
        <v/>
      </c>
      <c r="D366" s="355"/>
      <c r="E366" s="355"/>
      <c r="F366" s="765"/>
      <c r="G366" s="766" t="str">
        <f>+IF(ISBLANK(F366),"",IF(J366="Yes",F366,F366*(1+Economics!$AK$29)))</f>
        <v/>
      </c>
      <c r="I366" s="652"/>
      <c r="J366" s="355" t="str">
        <f t="shared" si="24"/>
        <v/>
      </c>
    </row>
    <row r="367" spans="2:10" x14ac:dyDescent="0.25">
      <c r="B367" s="527"/>
      <c r="C367" s="764" t="str">
        <f t="shared" si="23"/>
        <v/>
      </c>
      <c r="D367" s="355"/>
      <c r="E367" s="355"/>
      <c r="F367" s="765"/>
      <c r="G367" s="766" t="str">
        <f>+IF(ISBLANK(F367),"",IF(J367="Yes",F367,F367*(1+Economics!$AK$29)))</f>
        <v/>
      </c>
      <c r="I367" s="652"/>
      <c r="J367" s="355" t="str">
        <f t="shared" si="24"/>
        <v/>
      </c>
    </row>
    <row r="368" spans="2:10" x14ac:dyDescent="0.25">
      <c r="B368" s="527"/>
      <c r="C368" s="764" t="str">
        <f t="shared" si="23"/>
        <v/>
      </c>
      <c r="D368" s="355"/>
      <c r="E368" s="355"/>
      <c r="F368" s="765"/>
      <c r="G368" s="766" t="str">
        <f>+IF(ISBLANK(F368),"",IF(J368="Yes",F368,F368*(1+Economics!$AK$29)))</f>
        <v/>
      </c>
      <c r="I368" s="652"/>
      <c r="J368" s="355" t="str">
        <f t="shared" si="24"/>
        <v/>
      </c>
    </row>
    <row r="369" spans="2:10" x14ac:dyDescent="0.25">
      <c r="B369" s="527"/>
      <c r="C369" s="764" t="str">
        <f t="shared" si="23"/>
        <v/>
      </c>
      <c r="D369" s="355"/>
      <c r="E369" s="355"/>
      <c r="F369" s="765"/>
      <c r="G369" s="766" t="str">
        <f>+IF(ISBLANK(F369),"",IF(J369="Yes",F369,F369*(1+Economics!$AK$29)))</f>
        <v/>
      </c>
      <c r="I369" s="652"/>
      <c r="J369" s="355" t="str">
        <f t="shared" si="24"/>
        <v/>
      </c>
    </row>
    <row r="370" spans="2:10" x14ac:dyDescent="0.25">
      <c r="B370" s="527"/>
      <c r="C370" s="764" t="str">
        <f t="shared" si="23"/>
        <v/>
      </c>
      <c r="D370" s="355"/>
      <c r="E370" s="355"/>
      <c r="F370" s="765"/>
      <c r="G370" s="766" t="str">
        <f>+IF(ISBLANK(F370),"",IF(J370="Yes",F370,F370*(1+Economics!$AK$29)))</f>
        <v/>
      </c>
      <c r="I370" s="652"/>
      <c r="J370" s="355" t="str">
        <f t="shared" si="24"/>
        <v/>
      </c>
    </row>
    <row r="371" spans="2:10" x14ac:dyDescent="0.25">
      <c r="B371" s="527"/>
      <c r="C371" s="764" t="str">
        <f t="shared" si="23"/>
        <v/>
      </c>
      <c r="D371" s="355"/>
      <c r="E371" s="355"/>
      <c r="F371" s="765"/>
      <c r="G371" s="766" t="str">
        <f>+IF(ISBLANK(F371),"",IF(J371="Yes",F371,F371*(1+Economics!$AK$29)))</f>
        <v/>
      </c>
      <c r="I371" s="652"/>
      <c r="J371" s="355" t="str">
        <f t="shared" si="24"/>
        <v/>
      </c>
    </row>
    <row r="372" spans="2:10" x14ac:dyDescent="0.25">
      <c r="B372" s="527"/>
      <c r="C372" s="764" t="str">
        <f t="shared" si="23"/>
        <v/>
      </c>
      <c r="D372" s="355"/>
      <c r="E372" s="355"/>
      <c r="F372" s="765"/>
      <c r="G372" s="766" t="str">
        <f>+IF(ISBLANK(F372),"",IF(J372="Yes",F372,F372*(1+Economics!$AK$29)))</f>
        <v/>
      </c>
      <c r="I372" s="652"/>
      <c r="J372" s="355" t="str">
        <f t="shared" si="24"/>
        <v/>
      </c>
    </row>
    <row r="373" spans="2:10" x14ac:dyDescent="0.25">
      <c r="B373" s="527"/>
      <c r="C373" s="764" t="str">
        <f t="shared" si="23"/>
        <v/>
      </c>
      <c r="D373" s="355"/>
      <c r="E373" s="355"/>
      <c r="F373" s="765"/>
      <c r="G373" s="766" t="str">
        <f>+IF(ISBLANK(F373),"",IF(J373="Yes",F373,F373*(1+Economics!$AK$29)))</f>
        <v/>
      </c>
      <c r="I373" s="652"/>
      <c r="J373" s="355" t="str">
        <f t="shared" si="24"/>
        <v/>
      </c>
    </row>
    <row r="374" spans="2:10" x14ac:dyDescent="0.25">
      <c r="B374" s="527"/>
      <c r="C374" s="764" t="str">
        <f t="shared" si="23"/>
        <v/>
      </c>
      <c r="D374" s="355"/>
      <c r="E374" s="355"/>
      <c r="F374" s="765"/>
      <c r="G374" s="766" t="str">
        <f>+IF(ISBLANK(F374),"",IF(J374="Yes",F374,F374*(1+Economics!$AK$29)))</f>
        <v/>
      </c>
      <c r="I374" s="652"/>
      <c r="J374" s="355" t="str">
        <f t="shared" si="24"/>
        <v/>
      </c>
    </row>
    <row r="375" spans="2:10" x14ac:dyDescent="0.25">
      <c r="B375" s="527"/>
      <c r="C375" s="764" t="str">
        <f t="shared" si="23"/>
        <v/>
      </c>
      <c r="D375" s="355"/>
      <c r="E375" s="355"/>
      <c r="F375" s="765"/>
      <c r="G375" s="766" t="str">
        <f>+IF(ISBLANK(F375),"",IF(J375="Yes",F375,F375*(1+Economics!$AK$29)))</f>
        <v/>
      </c>
      <c r="I375" s="652"/>
      <c r="J375" s="355" t="str">
        <f t="shared" si="24"/>
        <v/>
      </c>
    </row>
    <row r="376" spans="2:10" x14ac:dyDescent="0.25">
      <c r="B376" s="527"/>
      <c r="C376" s="764" t="str">
        <f t="shared" si="23"/>
        <v/>
      </c>
      <c r="D376" s="355"/>
      <c r="E376" s="355"/>
      <c r="F376" s="765"/>
      <c r="G376" s="766" t="str">
        <f>+IF(ISBLANK(F376),"",IF(J376="Yes",F376,F376*(1+Economics!$AK$29)))</f>
        <v/>
      </c>
      <c r="I376" s="652"/>
      <c r="J376" s="355" t="str">
        <f t="shared" si="24"/>
        <v/>
      </c>
    </row>
    <row r="377" spans="2:10" x14ac:dyDescent="0.25">
      <c r="B377" s="527"/>
      <c r="C377" s="764" t="str">
        <f t="shared" si="23"/>
        <v/>
      </c>
      <c r="D377" s="355"/>
      <c r="E377" s="355"/>
      <c r="F377" s="765"/>
      <c r="G377" s="766" t="str">
        <f>+IF(ISBLANK(F377),"",IF(J377="Yes",F377,F377*(1+Economics!$AK$29)))</f>
        <v/>
      </c>
      <c r="I377" s="652"/>
      <c r="J377" s="355" t="str">
        <f t="shared" si="24"/>
        <v/>
      </c>
    </row>
    <row r="378" spans="2:10" x14ac:dyDescent="0.25">
      <c r="B378" s="527"/>
      <c r="C378" s="764" t="str">
        <f t="shared" si="23"/>
        <v/>
      </c>
      <c r="D378" s="355"/>
      <c r="E378" s="355"/>
      <c r="F378" s="765"/>
      <c r="G378" s="766" t="str">
        <f>+IF(ISBLANK(F378),"",IF(J378="Yes",F378,F378*(1+Economics!$AK$29)))</f>
        <v/>
      </c>
      <c r="I378" s="652"/>
      <c r="J378" s="355" t="str">
        <f t="shared" si="24"/>
        <v/>
      </c>
    </row>
    <row r="379" spans="2:10" x14ac:dyDescent="0.25">
      <c r="B379" s="527"/>
      <c r="C379" s="764" t="str">
        <f t="shared" si="23"/>
        <v/>
      </c>
      <c r="D379" s="355"/>
      <c r="E379" s="355"/>
      <c r="F379" s="765"/>
      <c r="G379" s="766" t="str">
        <f>+IF(ISBLANK(F379),"",IF(J379="Yes",F379,F379*(1+Economics!$AK$29)))</f>
        <v/>
      </c>
      <c r="I379" s="652"/>
      <c r="J379" s="355" t="str">
        <f t="shared" si="24"/>
        <v/>
      </c>
    </row>
    <row r="380" spans="2:10" x14ac:dyDescent="0.25">
      <c r="B380" s="527"/>
      <c r="C380" s="764" t="str">
        <f t="shared" si="23"/>
        <v/>
      </c>
      <c r="D380" s="355"/>
      <c r="E380" s="355"/>
      <c r="F380" s="765"/>
      <c r="G380" s="766" t="str">
        <f>+IF(ISBLANK(F380),"",IF(J380="Yes",F380,F380*(1+Economics!$AK$29)))</f>
        <v/>
      </c>
      <c r="I380" s="652"/>
      <c r="J380" s="355" t="str">
        <f t="shared" si="24"/>
        <v/>
      </c>
    </row>
    <row r="381" spans="2:10" x14ac:dyDescent="0.25">
      <c r="B381" s="527"/>
      <c r="C381" s="764" t="str">
        <f t="shared" si="23"/>
        <v/>
      </c>
      <c r="D381" s="355"/>
      <c r="E381" s="355"/>
      <c r="F381" s="765"/>
      <c r="G381" s="766" t="str">
        <f>+IF(ISBLANK(F381),"",IF(J381="Yes",F381,F381*(1+Economics!$AK$29)))</f>
        <v/>
      </c>
      <c r="I381" s="652"/>
      <c r="J381" s="355" t="str">
        <f t="shared" si="24"/>
        <v/>
      </c>
    </row>
    <row r="382" spans="2:10" x14ac:dyDescent="0.25">
      <c r="B382" s="527"/>
      <c r="C382" s="764" t="str">
        <f t="shared" si="23"/>
        <v/>
      </c>
      <c r="D382" s="355"/>
      <c r="E382" s="355"/>
      <c r="F382" s="765"/>
      <c r="G382" s="766" t="str">
        <f>+IF(ISBLANK(F382),"",IF(J382="Yes",F382,F382*(1+Economics!$AK$29)))</f>
        <v/>
      </c>
      <c r="I382" s="652"/>
      <c r="J382" s="355" t="str">
        <f t="shared" si="24"/>
        <v/>
      </c>
    </row>
    <row r="383" spans="2:10" x14ac:dyDescent="0.25">
      <c r="B383" s="527"/>
      <c r="C383" s="764" t="str">
        <f t="shared" si="23"/>
        <v/>
      </c>
      <c r="D383" s="355"/>
      <c r="E383" s="355"/>
      <c r="F383" s="765"/>
      <c r="G383" s="766" t="str">
        <f>+IF(ISBLANK(F383),"",IF(J383="Yes",F383,F383*(1+Economics!$AK$29)))</f>
        <v/>
      </c>
      <c r="I383" s="652"/>
      <c r="J383" s="355" t="str">
        <f t="shared" si="24"/>
        <v/>
      </c>
    </row>
    <row r="384" spans="2:10" x14ac:dyDescent="0.25">
      <c r="B384" s="527"/>
      <c r="C384" s="764" t="str">
        <f t="shared" si="23"/>
        <v/>
      </c>
      <c r="D384" s="355"/>
      <c r="E384" s="355"/>
      <c r="F384" s="765"/>
      <c r="G384" s="766" t="str">
        <f>+IF(ISBLANK(F384),"",IF(J384="Yes",F384,F384*(1+Economics!$AK$29)))</f>
        <v/>
      </c>
      <c r="I384" s="652"/>
      <c r="J384" s="355" t="str">
        <f t="shared" si="24"/>
        <v/>
      </c>
    </row>
    <row r="385" spans="2:10" x14ac:dyDescent="0.25">
      <c r="B385" s="527"/>
      <c r="C385" s="764" t="str">
        <f t="shared" si="23"/>
        <v/>
      </c>
      <c r="D385" s="355"/>
      <c r="E385" s="355"/>
      <c r="F385" s="765"/>
      <c r="G385" s="766" t="str">
        <f>+IF(ISBLANK(F385),"",IF(J385="Yes",F385,F385*(1+Economics!$AK$29)))</f>
        <v/>
      </c>
      <c r="I385" s="652"/>
      <c r="J385" s="355" t="str">
        <f t="shared" si="24"/>
        <v/>
      </c>
    </row>
    <row r="386" spans="2:10" x14ac:dyDescent="0.25">
      <c r="B386" s="527"/>
      <c r="C386" s="764" t="str">
        <f t="shared" si="23"/>
        <v/>
      </c>
      <c r="D386" s="355"/>
      <c r="E386" s="355"/>
      <c r="F386" s="765"/>
      <c r="G386" s="766" t="str">
        <f>+IF(ISBLANK(F386),"",IF(J386="Yes",F386,F386*(1+Economics!$AK$29)))</f>
        <v/>
      </c>
      <c r="I386" s="652"/>
      <c r="J386" s="355" t="str">
        <f t="shared" si="24"/>
        <v/>
      </c>
    </row>
    <row r="387" spans="2:10" x14ac:dyDescent="0.25">
      <c r="B387" s="527"/>
      <c r="C387" s="764" t="str">
        <f t="shared" si="23"/>
        <v/>
      </c>
      <c r="D387" s="355"/>
      <c r="E387" s="355"/>
      <c r="F387" s="765"/>
      <c r="G387" s="766" t="str">
        <f>+IF(ISBLANK(F387),"",IF(J387="Yes",F387,F387*(1+Economics!$AK$29)))</f>
        <v/>
      </c>
      <c r="I387" s="652"/>
      <c r="J387" s="355" t="str">
        <f t="shared" si="24"/>
        <v/>
      </c>
    </row>
    <row r="388" spans="2:10" x14ac:dyDescent="0.25">
      <c r="B388" s="527"/>
      <c r="C388" s="764" t="str">
        <f t="shared" si="23"/>
        <v/>
      </c>
      <c r="D388" s="355"/>
      <c r="E388" s="355"/>
      <c r="F388" s="765"/>
      <c r="G388" s="766" t="str">
        <f>+IF(ISBLANK(F388),"",IF(J388="Yes",F388,F388*(1+Economics!$AK$29)))</f>
        <v/>
      </c>
      <c r="I388" s="652"/>
      <c r="J388" s="355" t="str">
        <f t="shared" si="24"/>
        <v/>
      </c>
    </row>
    <row r="389" spans="2:10" x14ac:dyDescent="0.25">
      <c r="B389" s="527"/>
      <c r="C389" s="764" t="str">
        <f t="shared" si="23"/>
        <v/>
      </c>
      <c r="D389" s="355"/>
      <c r="E389" s="355"/>
      <c r="F389" s="765"/>
      <c r="G389" s="766" t="str">
        <f>+IF(ISBLANK(F389),"",IF(J389="Yes",F389,F389*(1+Economics!$AK$29)))</f>
        <v/>
      </c>
      <c r="I389" s="652"/>
      <c r="J389" s="355" t="str">
        <f t="shared" si="24"/>
        <v/>
      </c>
    </row>
    <row r="390" spans="2:10" x14ac:dyDescent="0.25">
      <c r="B390" s="527"/>
      <c r="C390" s="764" t="str">
        <f t="shared" si="23"/>
        <v/>
      </c>
      <c r="D390" s="355"/>
      <c r="E390" s="355"/>
      <c r="F390" s="765"/>
      <c r="G390" s="766" t="str">
        <f>+IF(ISBLANK(F390),"",IF(J390="Yes",F390,F390*(1+Economics!$AK$29)))</f>
        <v/>
      </c>
      <c r="I390" s="652"/>
      <c r="J390" s="355" t="str">
        <f t="shared" si="24"/>
        <v/>
      </c>
    </row>
    <row r="391" spans="2:10" x14ac:dyDescent="0.25">
      <c r="B391" s="527"/>
      <c r="C391" s="764" t="str">
        <f t="shared" si="23"/>
        <v/>
      </c>
      <c r="D391" s="355"/>
      <c r="E391" s="355"/>
      <c r="F391" s="765"/>
      <c r="G391" s="766" t="str">
        <f>+IF(ISBLANK(F391),"",IF(J391="Yes",F391,F391*(1+Economics!$AK$29)))</f>
        <v/>
      </c>
      <c r="I391" s="652"/>
      <c r="J391" s="355" t="str">
        <f t="shared" si="24"/>
        <v/>
      </c>
    </row>
    <row r="392" spans="2:10" x14ac:dyDescent="0.25">
      <c r="B392" s="527"/>
      <c r="C392" s="764" t="str">
        <f t="shared" si="23"/>
        <v/>
      </c>
      <c r="D392" s="355"/>
      <c r="E392" s="355"/>
      <c r="F392" s="765"/>
      <c r="G392" s="766" t="str">
        <f>+IF(ISBLANK(F392),"",IF(J392="Yes",F392,F392*(1+Economics!$AK$29)))</f>
        <v/>
      </c>
      <c r="I392" s="652"/>
      <c r="J392" s="355" t="str">
        <f t="shared" si="24"/>
        <v/>
      </c>
    </row>
    <row r="393" spans="2:10" x14ac:dyDescent="0.25">
      <c r="B393" s="527"/>
      <c r="C393" s="764" t="str">
        <f t="shared" si="23"/>
        <v/>
      </c>
      <c r="D393" s="355"/>
      <c r="E393" s="355"/>
      <c r="F393" s="765"/>
      <c r="G393" s="766" t="str">
        <f>+IF(ISBLANK(F393),"",IF(J393="Yes",F393,F393*(1+Economics!$AK$29)))</f>
        <v/>
      </c>
      <c r="I393" s="652"/>
      <c r="J393" s="355" t="str">
        <f t="shared" si="24"/>
        <v/>
      </c>
    </row>
    <row r="394" spans="2:10" x14ac:dyDescent="0.25">
      <c r="B394" s="527"/>
      <c r="C394" s="764" t="str">
        <f t="shared" si="23"/>
        <v/>
      </c>
      <c r="D394" s="355"/>
      <c r="E394" s="355"/>
      <c r="F394" s="765"/>
      <c r="G394" s="766" t="str">
        <f>+IF(ISBLANK(F394),"",IF(J394="Yes",F394,F394*(1+Economics!$AK$29)))</f>
        <v/>
      </c>
      <c r="I394" s="652"/>
      <c r="J394" s="355" t="str">
        <f t="shared" si="24"/>
        <v/>
      </c>
    </row>
    <row r="395" spans="2:10" x14ac:dyDescent="0.25">
      <c r="B395" s="527"/>
      <c r="C395" s="764" t="str">
        <f t="shared" si="23"/>
        <v/>
      </c>
      <c r="D395" s="355"/>
      <c r="E395" s="355"/>
      <c r="F395" s="765"/>
      <c r="G395" s="766" t="str">
        <f>+IF(ISBLANK(F395),"",IF(J395="Yes",F395,F395*(1+Economics!$AK$29)))</f>
        <v/>
      </c>
      <c r="I395" s="652"/>
      <c r="J395" s="355" t="str">
        <f t="shared" si="24"/>
        <v/>
      </c>
    </row>
    <row r="396" spans="2:10" x14ac:dyDescent="0.25">
      <c r="B396" s="527"/>
      <c r="C396" s="764" t="str">
        <f t="shared" si="23"/>
        <v/>
      </c>
      <c r="D396" s="355"/>
      <c r="E396" s="355"/>
      <c r="F396" s="765"/>
      <c r="G396" s="766" t="str">
        <f>+IF(ISBLANK(F396),"",IF(J396="Yes",F396,F396*(1+Economics!$AK$29)))</f>
        <v/>
      </c>
      <c r="I396" s="652"/>
      <c r="J396" s="355" t="str">
        <f t="shared" si="24"/>
        <v/>
      </c>
    </row>
    <row r="397" spans="2:10" x14ac:dyDescent="0.25">
      <c r="B397" s="527"/>
      <c r="C397" s="764" t="str">
        <f t="shared" si="23"/>
        <v/>
      </c>
      <c r="D397" s="355"/>
      <c r="E397" s="355"/>
      <c r="F397" s="765"/>
      <c r="G397" s="766" t="str">
        <f>+IF(ISBLANK(F397),"",IF(J397="Yes",F397,F397*(1+Economics!$AK$29)))</f>
        <v/>
      </c>
      <c r="I397" s="652"/>
      <c r="J397" s="355" t="str">
        <f t="shared" si="24"/>
        <v/>
      </c>
    </row>
    <row r="398" spans="2:10" x14ac:dyDescent="0.25">
      <c r="B398" s="527"/>
      <c r="C398" s="764" t="str">
        <f t="shared" si="23"/>
        <v/>
      </c>
      <c r="D398" s="355"/>
      <c r="E398" s="355"/>
      <c r="F398" s="765"/>
      <c r="G398" s="766" t="str">
        <f>+IF(ISBLANK(F398),"",IF(J398="Yes",F398,F398*(1+Economics!$AK$29)))</f>
        <v/>
      </c>
      <c r="I398" s="652"/>
      <c r="J398" s="355" t="str">
        <f t="shared" si="24"/>
        <v/>
      </c>
    </row>
    <row r="399" spans="2:10" x14ac:dyDescent="0.25">
      <c r="B399" s="527"/>
      <c r="C399" s="764" t="str">
        <f t="shared" si="23"/>
        <v/>
      </c>
      <c r="D399" s="355"/>
      <c r="E399" s="355"/>
      <c r="F399" s="765"/>
      <c r="G399" s="766" t="str">
        <f>+IF(ISBLANK(F399),"",IF(J399="Yes",F399,F399*(1+Economics!$AK$29)))</f>
        <v/>
      </c>
      <c r="I399" s="652"/>
      <c r="J399" s="355" t="str">
        <f t="shared" si="24"/>
        <v/>
      </c>
    </row>
    <row r="400" spans="2:10" x14ac:dyDescent="0.25">
      <c r="B400" s="527"/>
      <c r="C400" s="764" t="str">
        <f t="shared" si="23"/>
        <v/>
      </c>
      <c r="D400" s="355"/>
      <c r="E400" s="355"/>
      <c r="F400" s="765"/>
      <c r="G400" s="766" t="str">
        <f>+IF(ISBLANK(F400),"",IF(J400="Yes",F400,F400*(1+Economics!$AK$29)))</f>
        <v/>
      </c>
      <c r="I400" s="652"/>
      <c r="J400" s="355" t="str">
        <f t="shared" si="24"/>
        <v/>
      </c>
    </row>
    <row r="401" spans="2:10" x14ac:dyDescent="0.25">
      <c r="B401" s="527"/>
      <c r="C401" s="764" t="str">
        <f t="shared" si="23"/>
        <v/>
      </c>
      <c r="D401" s="355"/>
      <c r="E401" s="355"/>
      <c r="F401" s="765"/>
      <c r="G401" s="766" t="str">
        <f>+IF(ISBLANK(F401),"",IF(J401="Yes",F401,F401*(1+Economics!$AK$29)))</f>
        <v/>
      </c>
      <c r="I401" s="652"/>
      <c r="J401" s="355" t="str">
        <f t="shared" si="24"/>
        <v/>
      </c>
    </row>
    <row r="402" spans="2:10" x14ac:dyDescent="0.25">
      <c r="B402" s="527"/>
      <c r="C402" s="764" t="str">
        <f t="shared" si="23"/>
        <v/>
      </c>
      <c r="D402" s="355"/>
      <c r="E402" s="355"/>
      <c r="F402" s="765"/>
      <c r="G402" s="766" t="str">
        <f>+IF(ISBLANK(F402),"",IF(J402="Yes",F402,F402*(1+Economics!$AK$29)))</f>
        <v/>
      </c>
      <c r="I402" s="652"/>
      <c r="J402" s="355" t="str">
        <f t="shared" si="24"/>
        <v/>
      </c>
    </row>
    <row r="403" spans="2:10" x14ac:dyDescent="0.25">
      <c r="B403" s="527"/>
      <c r="C403" s="764" t="str">
        <f t="shared" si="23"/>
        <v/>
      </c>
      <c r="D403" s="355"/>
      <c r="E403" s="355"/>
      <c r="F403" s="765"/>
      <c r="G403" s="766" t="str">
        <f>+IF(ISBLANK(F403),"",IF(J403="Yes",F403,F403*(1+Economics!$AK$29)))</f>
        <v/>
      </c>
      <c r="I403" s="652"/>
      <c r="J403" s="355" t="str">
        <f t="shared" si="24"/>
        <v/>
      </c>
    </row>
    <row r="404" spans="2:10" x14ac:dyDescent="0.25">
      <c r="B404" s="527"/>
      <c r="C404" s="764" t="str">
        <f t="shared" si="23"/>
        <v/>
      </c>
      <c r="D404" s="355"/>
      <c r="E404" s="355"/>
      <c r="F404" s="765"/>
      <c r="G404" s="766" t="str">
        <f>+IF(ISBLANK(F404),"",IF(J404="Yes",F404,F404*(1+Economics!$AK$29)))</f>
        <v/>
      </c>
      <c r="I404" s="652"/>
      <c r="J404" s="355" t="str">
        <f t="shared" si="24"/>
        <v/>
      </c>
    </row>
    <row r="405" spans="2:10" x14ac:dyDescent="0.25">
      <c r="B405" s="527"/>
      <c r="C405" s="764" t="str">
        <f t="shared" si="23"/>
        <v/>
      </c>
      <c r="D405" s="355"/>
      <c r="E405" s="355"/>
      <c r="F405" s="765"/>
      <c r="G405" s="766" t="str">
        <f>+IF(ISBLANK(F405),"",IF(J405="Yes",F405,F405*(1+Economics!$AK$29)))</f>
        <v/>
      </c>
      <c r="I405" s="652"/>
      <c r="J405" s="355" t="str">
        <f t="shared" si="24"/>
        <v/>
      </c>
    </row>
    <row r="406" spans="2:10" x14ac:dyDescent="0.25">
      <c r="B406" s="527"/>
      <c r="C406" s="764" t="str">
        <f t="shared" si="23"/>
        <v/>
      </c>
      <c r="D406" s="355"/>
      <c r="E406" s="355"/>
      <c r="F406" s="765"/>
      <c r="G406" s="766" t="str">
        <f>+IF(ISBLANK(F406),"",IF(J406="Yes",F406,F406*(1+Economics!$AK$29)))</f>
        <v/>
      </c>
      <c r="I406" s="652"/>
      <c r="J406" s="355" t="str">
        <f t="shared" si="24"/>
        <v/>
      </c>
    </row>
    <row r="407" spans="2:10" x14ac:dyDescent="0.25">
      <c r="B407" s="527"/>
      <c r="C407" s="764" t="str">
        <f t="shared" si="23"/>
        <v/>
      </c>
      <c r="D407" s="355"/>
      <c r="E407" s="355"/>
      <c r="F407" s="765"/>
      <c r="G407" s="766" t="str">
        <f>+IF(ISBLANK(F407),"",IF(J407="Yes",F407,F407*(1+Economics!$AK$29)))</f>
        <v/>
      </c>
      <c r="I407" s="652"/>
      <c r="J407" s="355" t="str">
        <f t="shared" si="24"/>
        <v/>
      </c>
    </row>
    <row r="408" spans="2:10" x14ac:dyDescent="0.25">
      <c r="B408" s="527"/>
      <c r="C408" s="764" t="str">
        <f t="shared" si="23"/>
        <v/>
      </c>
      <c r="D408" s="355"/>
      <c r="E408" s="355"/>
      <c r="F408" s="765"/>
      <c r="G408" s="766" t="str">
        <f>+IF(ISBLANK(F408),"",IF(J408="Yes",F408,F408*(1+Economics!$AK$29)))</f>
        <v/>
      </c>
      <c r="I408" s="652"/>
      <c r="J408" s="355" t="str">
        <f t="shared" si="24"/>
        <v/>
      </c>
    </row>
    <row r="409" spans="2:10" x14ac:dyDescent="0.25">
      <c r="B409" s="527"/>
      <c r="C409" s="764" t="str">
        <f t="shared" si="23"/>
        <v/>
      </c>
      <c r="D409" s="355"/>
      <c r="E409" s="355"/>
      <c r="F409" s="765"/>
      <c r="G409" s="766" t="str">
        <f>+IF(ISBLANK(F409),"",IF(J409="Yes",F409,F409*(1+Economics!$AK$29)))</f>
        <v/>
      </c>
      <c r="I409" s="652"/>
      <c r="J409" s="355" t="str">
        <f t="shared" si="24"/>
        <v/>
      </c>
    </row>
    <row r="410" spans="2:10" x14ac:dyDescent="0.25">
      <c r="B410" s="527"/>
      <c r="C410" s="764" t="str">
        <f t="shared" si="23"/>
        <v/>
      </c>
      <c r="D410" s="355"/>
      <c r="E410" s="355"/>
      <c r="F410" s="765"/>
      <c r="G410" s="766" t="str">
        <f>+IF(ISBLANK(F410),"",IF(J410="Yes",F410,F410*(1+Economics!$AK$29)))</f>
        <v/>
      </c>
      <c r="I410" s="652"/>
      <c r="J410" s="355" t="str">
        <f t="shared" si="24"/>
        <v/>
      </c>
    </row>
    <row r="411" spans="2:10" x14ac:dyDescent="0.25">
      <c r="B411" s="527"/>
      <c r="C411" s="764" t="str">
        <f t="shared" si="23"/>
        <v/>
      </c>
      <c r="D411" s="355"/>
      <c r="E411" s="355"/>
      <c r="F411" s="765"/>
      <c r="G411" s="766" t="str">
        <f>+IF(ISBLANK(F411),"",IF(J411="Yes",F411,F411*(1+Economics!$AK$29)))</f>
        <v/>
      </c>
      <c r="I411" s="652"/>
      <c r="J411" s="355" t="str">
        <f t="shared" si="24"/>
        <v/>
      </c>
    </row>
    <row r="412" spans="2:10" x14ac:dyDescent="0.25">
      <c r="B412" s="527"/>
      <c r="C412" s="764" t="str">
        <f t="shared" si="23"/>
        <v/>
      </c>
      <c r="D412" s="355"/>
      <c r="E412" s="355"/>
      <c r="F412" s="765"/>
      <c r="G412" s="766" t="str">
        <f>+IF(ISBLANK(F412),"",IF(J412="Yes",F412,F412*(1+Economics!$AK$29)))</f>
        <v/>
      </c>
      <c r="I412" s="652"/>
      <c r="J412" s="355" t="str">
        <f t="shared" si="24"/>
        <v/>
      </c>
    </row>
    <row r="413" spans="2:10" x14ac:dyDescent="0.25">
      <c r="B413" s="527"/>
      <c r="C413" s="764" t="str">
        <f t="shared" si="23"/>
        <v/>
      </c>
      <c r="D413" s="355"/>
      <c r="E413" s="355"/>
      <c r="F413" s="765"/>
      <c r="G413" s="766" t="str">
        <f>+IF(ISBLANK(F413),"",IF(J413="Yes",F413,F413*(1+Economics!$AK$29)))</f>
        <v/>
      </c>
      <c r="I413" s="652"/>
      <c r="J413" s="355" t="str">
        <f t="shared" si="24"/>
        <v/>
      </c>
    </row>
    <row r="414" spans="2:10" x14ac:dyDescent="0.25">
      <c r="B414" s="527"/>
      <c r="C414" s="764" t="str">
        <f t="shared" ref="C414:C477" si="25">+IF(ISBLANK(B414),"",IFERROR(INDEX($T$3:$T$7,MATCH(B414,$S$3:$S$7,0)),""))</f>
        <v/>
      </c>
      <c r="D414" s="355"/>
      <c r="E414" s="355"/>
      <c r="F414" s="765"/>
      <c r="G414" s="766" t="str">
        <f>+IF(ISBLANK(F414),"",IF(J414="Yes",F414,F414*(1+Economics!$AK$29)))</f>
        <v/>
      </c>
      <c r="I414" s="652"/>
      <c r="J414" s="355" t="str">
        <f t="shared" si="24"/>
        <v/>
      </c>
    </row>
    <row r="415" spans="2:10" x14ac:dyDescent="0.25">
      <c r="B415" s="527"/>
      <c r="C415" s="764" t="str">
        <f t="shared" si="25"/>
        <v/>
      </c>
      <c r="D415" s="355"/>
      <c r="E415" s="355"/>
      <c r="F415" s="765"/>
      <c r="G415" s="766" t="str">
        <f>+IF(ISBLANK(F415),"",IF(J415="Yes",F415,F415*(1+Economics!$AK$29)))</f>
        <v/>
      </c>
      <c r="I415" s="652"/>
      <c r="J415" s="355" t="str">
        <f t="shared" ref="J415:J478" si="26">+IF(ISBLANK(I415),"",IF(ISNUMBER(FIND("Yes",I415)),"No","Yes"))</f>
        <v/>
      </c>
    </row>
    <row r="416" spans="2:10" x14ac:dyDescent="0.25">
      <c r="B416" s="527"/>
      <c r="C416" s="764" t="str">
        <f t="shared" si="25"/>
        <v/>
      </c>
      <c r="D416" s="355"/>
      <c r="E416" s="355"/>
      <c r="F416" s="765"/>
      <c r="G416" s="766" t="str">
        <f>+IF(ISBLANK(F416),"",IF(J416="Yes",F416,F416*(1+Economics!$AK$29)))</f>
        <v/>
      </c>
      <c r="I416" s="652"/>
      <c r="J416" s="355" t="str">
        <f t="shared" si="26"/>
        <v/>
      </c>
    </row>
    <row r="417" spans="2:10" x14ac:dyDescent="0.25">
      <c r="B417" s="527"/>
      <c r="C417" s="764" t="str">
        <f t="shared" si="25"/>
        <v/>
      </c>
      <c r="D417" s="355"/>
      <c r="E417" s="355"/>
      <c r="F417" s="765"/>
      <c r="G417" s="766" t="str">
        <f>+IF(ISBLANK(F417),"",IF(J417="Yes",F417,F417*(1+Economics!$AK$29)))</f>
        <v/>
      </c>
      <c r="I417" s="652"/>
      <c r="J417" s="355" t="str">
        <f t="shared" si="26"/>
        <v/>
      </c>
    </row>
    <row r="418" spans="2:10" x14ac:dyDescent="0.25">
      <c r="B418" s="527"/>
      <c r="C418" s="764" t="str">
        <f t="shared" si="25"/>
        <v/>
      </c>
      <c r="D418" s="355"/>
      <c r="E418" s="355"/>
      <c r="F418" s="765"/>
      <c r="G418" s="766" t="str">
        <f>+IF(ISBLANK(F418),"",IF(J418="Yes",F418,F418*(1+Economics!$AK$29)))</f>
        <v/>
      </c>
      <c r="I418" s="652"/>
      <c r="J418" s="355" t="str">
        <f t="shared" si="26"/>
        <v/>
      </c>
    </row>
    <row r="419" spans="2:10" x14ac:dyDescent="0.25">
      <c r="B419" s="527"/>
      <c r="C419" s="764" t="str">
        <f t="shared" si="25"/>
        <v/>
      </c>
      <c r="D419" s="355"/>
      <c r="E419" s="355"/>
      <c r="F419" s="765"/>
      <c r="G419" s="766" t="str">
        <f>+IF(ISBLANK(F419),"",IF(J419="Yes",F419,F419*(1+Economics!$AK$29)))</f>
        <v/>
      </c>
      <c r="I419" s="652"/>
      <c r="J419" s="355" t="str">
        <f t="shared" si="26"/>
        <v/>
      </c>
    </row>
    <row r="420" spans="2:10" x14ac:dyDescent="0.25">
      <c r="B420" s="527"/>
      <c r="C420" s="764" t="str">
        <f t="shared" si="25"/>
        <v/>
      </c>
      <c r="D420" s="355"/>
      <c r="E420" s="355"/>
      <c r="F420" s="765"/>
      <c r="G420" s="766" t="str">
        <f>+IF(ISBLANK(F420),"",IF(J420="Yes",F420,F420*(1+Economics!$AK$29)))</f>
        <v/>
      </c>
      <c r="I420" s="652"/>
      <c r="J420" s="355" t="str">
        <f t="shared" si="26"/>
        <v/>
      </c>
    </row>
    <row r="421" spans="2:10" x14ac:dyDescent="0.25">
      <c r="B421" s="527"/>
      <c r="C421" s="764" t="str">
        <f t="shared" si="25"/>
        <v/>
      </c>
      <c r="D421" s="355"/>
      <c r="E421" s="355"/>
      <c r="F421" s="765"/>
      <c r="G421" s="766" t="str">
        <f>+IF(ISBLANK(F421),"",IF(J421="Yes",F421,F421*(1+Economics!$AK$29)))</f>
        <v/>
      </c>
      <c r="I421" s="652"/>
      <c r="J421" s="355" t="str">
        <f t="shared" si="26"/>
        <v/>
      </c>
    </row>
    <row r="422" spans="2:10" x14ac:dyDescent="0.25">
      <c r="B422" s="527"/>
      <c r="C422" s="764" t="str">
        <f t="shared" si="25"/>
        <v/>
      </c>
      <c r="D422" s="355"/>
      <c r="E422" s="355"/>
      <c r="F422" s="765"/>
      <c r="G422" s="766" t="str">
        <f>+IF(ISBLANK(F422),"",IF(J422="Yes",F422,F422*(1+Economics!$AK$29)))</f>
        <v/>
      </c>
      <c r="I422" s="652"/>
      <c r="J422" s="355" t="str">
        <f t="shared" si="26"/>
        <v/>
      </c>
    </row>
    <row r="423" spans="2:10" x14ac:dyDescent="0.25">
      <c r="B423" s="527"/>
      <c r="C423" s="764" t="str">
        <f t="shared" si="25"/>
        <v/>
      </c>
      <c r="D423" s="355"/>
      <c r="E423" s="355"/>
      <c r="F423" s="765"/>
      <c r="G423" s="766" t="str">
        <f>+IF(ISBLANK(F423),"",IF(J423="Yes",F423,F423*(1+Economics!$AK$29)))</f>
        <v/>
      </c>
      <c r="I423" s="652"/>
      <c r="J423" s="355" t="str">
        <f t="shared" si="26"/>
        <v/>
      </c>
    </row>
    <row r="424" spans="2:10" x14ac:dyDescent="0.25">
      <c r="B424" s="527"/>
      <c r="C424" s="764" t="str">
        <f t="shared" si="25"/>
        <v/>
      </c>
      <c r="D424" s="355"/>
      <c r="E424" s="355"/>
      <c r="F424" s="765"/>
      <c r="G424" s="766" t="str">
        <f>+IF(ISBLANK(F424),"",IF(J424="Yes",F424,F424*(1+Economics!$AK$29)))</f>
        <v/>
      </c>
      <c r="I424" s="652"/>
      <c r="J424" s="355" t="str">
        <f t="shared" si="26"/>
        <v/>
      </c>
    </row>
    <row r="425" spans="2:10" x14ac:dyDescent="0.25">
      <c r="B425" s="527"/>
      <c r="C425" s="764" t="str">
        <f t="shared" si="25"/>
        <v/>
      </c>
      <c r="D425" s="355"/>
      <c r="E425" s="355"/>
      <c r="F425" s="765"/>
      <c r="G425" s="766" t="str">
        <f>+IF(ISBLANK(F425),"",IF(J425="Yes",F425,F425*(1+Economics!$AK$29)))</f>
        <v/>
      </c>
      <c r="I425" s="652"/>
      <c r="J425" s="355" t="str">
        <f t="shared" si="26"/>
        <v/>
      </c>
    </row>
    <row r="426" spans="2:10" x14ac:dyDescent="0.25">
      <c r="B426" s="527"/>
      <c r="C426" s="764" t="str">
        <f t="shared" si="25"/>
        <v/>
      </c>
      <c r="D426" s="355"/>
      <c r="E426" s="355"/>
      <c r="F426" s="765"/>
      <c r="G426" s="766" t="str">
        <f>+IF(ISBLANK(F426),"",IF(J426="Yes",F426,F426*(1+Economics!$AK$29)))</f>
        <v/>
      </c>
      <c r="I426" s="652"/>
      <c r="J426" s="355" t="str">
        <f t="shared" si="26"/>
        <v/>
      </c>
    </row>
    <row r="427" spans="2:10" x14ac:dyDescent="0.25">
      <c r="B427" s="527"/>
      <c r="C427" s="764" t="str">
        <f t="shared" si="25"/>
        <v/>
      </c>
      <c r="D427" s="355"/>
      <c r="E427" s="355"/>
      <c r="F427" s="765"/>
      <c r="G427" s="766" t="str">
        <f>+IF(ISBLANK(F427),"",IF(J427="Yes",F427,F427*(1+Economics!$AK$29)))</f>
        <v/>
      </c>
      <c r="I427" s="652"/>
      <c r="J427" s="355" t="str">
        <f t="shared" si="26"/>
        <v/>
      </c>
    </row>
    <row r="428" spans="2:10" x14ac:dyDescent="0.25">
      <c r="B428" s="527"/>
      <c r="C428" s="764" t="str">
        <f t="shared" si="25"/>
        <v/>
      </c>
      <c r="D428" s="355"/>
      <c r="E428" s="355"/>
      <c r="F428" s="765"/>
      <c r="G428" s="766" t="str">
        <f>+IF(ISBLANK(F428),"",IF(J428="Yes",F428,F428*(1+Economics!$AK$29)))</f>
        <v/>
      </c>
      <c r="I428" s="652"/>
      <c r="J428" s="355" t="str">
        <f t="shared" si="26"/>
        <v/>
      </c>
    </row>
    <row r="429" spans="2:10" x14ac:dyDescent="0.25">
      <c r="B429" s="527"/>
      <c r="C429" s="764" t="str">
        <f t="shared" si="25"/>
        <v/>
      </c>
      <c r="D429" s="355"/>
      <c r="E429" s="355"/>
      <c r="F429" s="765"/>
      <c r="G429" s="766" t="str">
        <f>+IF(ISBLANK(F429),"",IF(J429="Yes",F429,F429*(1+Economics!$AK$29)))</f>
        <v/>
      </c>
      <c r="I429" s="652"/>
      <c r="J429" s="355" t="str">
        <f t="shared" si="26"/>
        <v/>
      </c>
    </row>
    <row r="430" spans="2:10" x14ac:dyDescent="0.25">
      <c r="B430" s="527"/>
      <c r="C430" s="764" t="str">
        <f t="shared" si="25"/>
        <v/>
      </c>
      <c r="D430" s="355"/>
      <c r="E430" s="355"/>
      <c r="F430" s="765"/>
      <c r="G430" s="766" t="str">
        <f>+IF(ISBLANK(F430),"",IF(J430="Yes",F430,F430*(1+Economics!$AK$29)))</f>
        <v/>
      </c>
      <c r="I430" s="652"/>
      <c r="J430" s="355" t="str">
        <f t="shared" si="26"/>
        <v/>
      </c>
    </row>
    <row r="431" spans="2:10" x14ac:dyDescent="0.25">
      <c r="B431" s="527"/>
      <c r="C431" s="764" t="str">
        <f t="shared" si="25"/>
        <v/>
      </c>
      <c r="D431" s="355"/>
      <c r="E431" s="355"/>
      <c r="F431" s="765"/>
      <c r="G431" s="766" t="str">
        <f>+IF(ISBLANK(F431),"",IF(J431="Yes",F431,F431*(1+Economics!$AK$29)))</f>
        <v/>
      </c>
      <c r="I431" s="652"/>
      <c r="J431" s="355" t="str">
        <f t="shared" si="26"/>
        <v/>
      </c>
    </row>
    <row r="432" spans="2:10" x14ac:dyDescent="0.25">
      <c r="B432" s="527"/>
      <c r="C432" s="764" t="str">
        <f t="shared" si="25"/>
        <v/>
      </c>
      <c r="D432" s="355"/>
      <c r="E432" s="355"/>
      <c r="F432" s="765"/>
      <c r="G432" s="766" t="str">
        <f>+IF(ISBLANK(F432),"",IF(J432="Yes",F432,F432*(1+Economics!$AK$29)))</f>
        <v/>
      </c>
      <c r="I432" s="652"/>
      <c r="J432" s="355" t="str">
        <f t="shared" si="26"/>
        <v/>
      </c>
    </row>
    <row r="433" spans="2:10" x14ac:dyDescent="0.25">
      <c r="B433" s="527"/>
      <c r="C433" s="764" t="str">
        <f t="shared" si="25"/>
        <v/>
      </c>
      <c r="D433" s="355"/>
      <c r="E433" s="355"/>
      <c r="F433" s="765"/>
      <c r="G433" s="766" t="str">
        <f>+IF(ISBLANK(F433),"",IF(J433="Yes",F433,F433*(1+Economics!$AK$29)))</f>
        <v/>
      </c>
      <c r="I433" s="652"/>
      <c r="J433" s="355" t="str">
        <f t="shared" si="26"/>
        <v/>
      </c>
    </row>
    <row r="434" spans="2:10" x14ac:dyDescent="0.25">
      <c r="B434" s="527"/>
      <c r="C434" s="764" t="str">
        <f t="shared" si="25"/>
        <v/>
      </c>
      <c r="D434" s="355"/>
      <c r="E434" s="355"/>
      <c r="F434" s="765"/>
      <c r="G434" s="766" t="str">
        <f>+IF(ISBLANK(F434),"",IF(J434="Yes",F434,F434*(1+Economics!$AK$29)))</f>
        <v/>
      </c>
      <c r="I434" s="652"/>
      <c r="J434" s="355" t="str">
        <f t="shared" si="26"/>
        <v/>
      </c>
    </row>
    <row r="435" spans="2:10" x14ac:dyDescent="0.25">
      <c r="B435" s="527"/>
      <c r="C435" s="764" t="str">
        <f t="shared" si="25"/>
        <v/>
      </c>
      <c r="D435" s="355"/>
      <c r="E435" s="355"/>
      <c r="F435" s="765"/>
      <c r="G435" s="766" t="str">
        <f>+IF(ISBLANK(F435),"",IF(J435="Yes",F435,F435*(1+Economics!$AK$29)))</f>
        <v/>
      </c>
      <c r="I435" s="652"/>
      <c r="J435" s="355" t="str">
        <f t="shared" si="26"/>
        <v/>
      </c>
    </row>
    <row r="436" spans="2:10" x14ac:dyDescent="0.25">
      <c r="B436" s="527"/>
      <c r="C436" s="764" t="str">
        <f t="shared" si="25"/>
        <v/>
      </c>
      <c r="D436" s="355"/>
      <c r="E436" s="355"/>
      <c r="F436" s="765"/>
      <c r="G436" s="766" t="str">
        <f>+IF(ISBLANK(F436),"",IF(J436="Yes",F436,F436*(1+Economics!$AK$29)))</f>
        <v/>
      </c>
      <c r="I436" s="652"/>
      <c r="J436" s="355" t="str">
        <f t="shared" si="26"/>
        <v/>
      </c>
    </row>
    <row r="437" spans="2:10" x14ac:dyDescent="0.25">
      <c r="B437" s="527"/>
      <c r="C437" s="764" t="str">
        <f t="shared" si="25"/>
        <v/>
      </c>
      <c r="D437" s="355"/>
      <c r="E437" s="355"/>
      <c r="F437" s="765"/>
      <c r="G437" s="766" t="str">
        <f>+IF(ISBLANK(F437),"",IF(J437="Yes",F437,F437*(1+Economics!$AK$29)))</f>
        <v/>
      </c>
      <c r="I437" s="652"/>
      <c r="J437" s="355" t="str">
        <f t="shared" si="26"/>
        <v/>
      </c>
    </row>
    <row r="438" spans="2:10" x14ac:dyDescent="0.25">
      <c r="B438" s="527"/>
      <c r="C438" s="764" t="str">
        <f t="shared" si="25"/>
        <v/>
      </c>
      <c r="D438" s="355"/>
      <c r="E438" s="355"/>
      <c r="F438" s="765"/>
      <c r="G438" s="766" t="str">
        <f>+IF(ISBLANK(F438),"",IF(J438="Yes",F438,F438*(1+Economics!$AK$29)))</f>
        <v/>
      </c>
      <c r="I438" s="652"/>
      <c r="J438" s="355" t="str">
        <f t="shared" si="26"/>
        <v/>
      </c>
    </row>
    <row r="439" spans="2:10" x14ac:dyDescent="0.25">
      <c r="B439" s="527"/>
      <c r="C439" s="764" t="str">
        <f t="shared" si="25"/>
        <v/>
      </c>
      <c r="D439" s="355"/>
      <c r="E439" s="355"/>
      <c r="F439" s="765"/>
      <c r="G439" s="766" t="str">
        <f>+IF(ISBLANK(F439),"",IF(J439="Yes",F439,F439*(1+Economics!$AK$29)))</f>
        <v/>
      </c>
      <c r="I439" s="652"/>
      <c r="J439" s="355" t="str">
        <f t="shared" si="26"/>
        <v/>
      </c>
    </row>
    <row r="440" spans="2:10" x14ac:dyDescent="0.25">
      <c r="B440" s="527"/>
      <c r="C440" s="764" t="str">
        <f t="shared" si="25"/>
        <v/>
      </c>
      <c r="D440" s="355"/>
      <c r="E440" s="355"/>
      <c r="F440" s="765"/>
      <c r="G440" s="766" t="str">
        <f>+IF(ISBLANK(F440),"",IF(J440="Yes",F440,F440*(1+Economics!$AK$29)))</f>
        <v/>
      </c>
      <c r="I440" s="652"/>
      <c r="J440" s="355" t="str">
        <f t="shared" si="26"/>
        <v/>
      </c>
    </row>
    <row r="441" spans="2:10" x14ac:dyDescent="0.25">
      <c r="B441" s="527"/>
      <c r="C441" s="764" t="str">
        <f t="shared" si="25"/>
        <v/>
      </c>
      <c r="D441" s="355"/>
      <c r="E441" s="355"/>
      <c r="F441" s="765"/>
      <c r="G441" s="766" t="str">
        <f>+IF(ISBLANK(F441),"",IF(J441="Yes",F441,F441*(1+Economics!$AK$29)))</f>
        <v/>
      </c>
      <c r="I441" s="652"/>
      <c r="J441" s="355" t="str">
        <f t="shared" si="26"/>
        <v/>
      </c>
    </row>
    <row r="442" spans="2:10" x14ac:dyDescent="0.25">
      <c r="B442" s="527"/>
      <c r="C442" s="764" t="str">
        <f t="shared" si="25"/>
        <v/>
      </c>
      <c r="D442" s="355"/>
      <c r="E442" s="355"/>
      <c r="F442" s="765"/>
      <c r="G442" s="766" t="str">
        <f>+IF(ISBLANK(F442),"",IF(J442="Yes",F442,F442*(1+Economics!$AK$29)))</f>
        <v/>
      </c>
      <c r="I442" s="652"/>
      <c r="J442" s="355" t="str">
        <f t="shared" si="26"/>
        <v/>
      </c>
    </row>
    <row r="443" spans="2:10" x14ac:dyDescent="0.25">
      <c r="B443" s="527"/>
      <c r="C443" s="764" t="str">
        <f t="shared" si="25"/>
        <v/>
      </c>
      <c r="D443" s="355"/>
      <c r="E443" s="355"/>
      <c r="F443" s="765"/>
      <c r="G443" s="766" t="str">
        <f>+IF(ISBLANK(F443),"",IF(J443="Yes",F443,F443*(1+Economics!$AK$29)))</f>
        <v/>
      </c>
      <c r="I443" s="652"/>
      <c r="J443" s="355" t="str">
        <f t="shared" si="26"/>
        <v/>
      </c>
    </row>
    <row r="444" spans="2:10" x14ac:dyDescent="0.25">
      <c r="B444" s="527"/>
      <c r="C444" s="764" t="str">
        <f t="shared" si="25"/>
        <v/>
      </c>
      <c r="D444" s="355"/>
      <c r="E444" s="355"/>
      <c r="F444" s="765"/>
      <c r="G444" s="766" t="str">
        <f>+IF(ISBLANK(F444),"",IF(J444="Yes",F444,F444*(1+Economics!$AK$29)))</f>
        <v/>
      </c>
      <c r="I444" s="652"/>
      <c r="J444" s="355" t="str">
        <f t="shared" si="26"/>
        <v/>
      </c>
    </row>
    <row r="445" spans="2:10" x14ac:dyDescent="0.25">
      <c r="B445" s="527"/>
      <c r="C445" s="764" t="str">
        <f t="shared" si="25"/>
        <v/>
      </c>
      <c r="D445" s="355"/>
      <c r="E445" s="355"/>
      <c r="F445" s="765"/>
      <c r="G445" s="766" t="str">
        <f>+IF(ISBLANK(F445),"",IF(J445="Yes",F445,F445*(1+Economics!$AK$29)))</f>
        <v/>
      </c>
      <c r="I445" s="652"/>
      <c r="J445" s="355" t="str">
        <f t="shared" si="26"/>
        <v/>
      </c>
    </row>
    <row r="446" spans="2:10" x14ac:dyDescent="0.25">
      <c r="B446" s="527"/>
      <c r="C446" s="764" t="str">
        <f t="shared" si="25"/>
        <v/>
      </c>
      <c r="D446" s="355"/>
      <c r="E446" s="355"/>
      <c r="F446" s="765"/>
      <c r="G446" s="766" t="str">
        <f>+IF(ISBLANK(F446),"",IF(J446="Yes",F446,F446*(1+Economics!$AK$29)))</f>
        <v/>
      </c>
      <c r="I446" s="652"/>
      <c r="J446" s="355" t="str">
        <f t="shared" si="26"/>
        <v/>
      </c>
    </row>
    <row r="447" spans="2:10" x14ac:dyDescent="0.25">
      <c r="B447" s="527"/>
      <c r="C447" s="764" t="str">
        <f t="shared" si="25"/>
        <v/>
      </c>
      <c r="D447" s="355"/>
      <c r="E447" s="355"/>
      <c r="F447" s="765"/>
      <c r="G447" s="766" t="str">
        <f>+IF(ISBLANK(F447),"",IF(J447="Yes",F447,F447*(1+Economics!$AK$29)))</f>
        <v/>
      </c>
      <c r="I447" s="652"/>
      <c r="J447" s="355" t="str">
        <f t="shared" si="26"/>
        <v/>
      </c>
    </row>
    <row r="448" spans="2:10" x14ac:dyDescent="0.25">
      <c r="B448" s="527"/>
      <c r="C448" s="764" t="str">
        <f t="shared" si="25"/>
        <v/>
      </c>
      <c r="D448" s="355"/>
      <c r="E448" s="355"/>
      <c r="F448" s="765"/>
      <c r="G448" s="766" t="str">
        <f>+IF(ISBLANK(F448),"",IF(J448="Yes",F448,F448*(1+Economics!$AK$29)))</f>
        <v/>
      </c>
      <c r="I448" s="652"/>
      <c r="J448" s="355" t="str">
        <f t="shared" si="26"/>
        <v/>
      </c>
    </row>
    <row r="449" spans="2:10" x14ac:dyDescent="0.25">
      <c r="B449" s="527"/>
      <c r="C449" s="764" t="str">
        <f t="shared" si="25"/>
        <v/>
      </c>
      <c r="D449" s="355"/>
      <c r="E449" s="355"/>
      <c r="F449" s="765"/>
      <c r="G449" s="766" t="str">
        <f>+IF(ISBLANK(F449),"",IF(J449="Yes",F449,F449*(1+Economics!$AK$29)))</f>
        <v/>
      </c>
      <c r="I449" s="652"/>
      <c r="J449" s="355" t="str">
        <f t="shared" si="26"/>
        <v/>
      </c>
    </row>
    <row r="450" spans="2:10" x14ac:dyDescent="0.25">
      <c r="B450" s="527"/>
      <c r="C450" s="764" t="str">
        <f t="shared" si="25"/>
        <v/>
      </c>
      <c r="D450" s="355"/>
      <c r="E450" s="355"/>
      <c r="F450" s="765"/>
      <c r="G450" s="766" t="str">
        <f>+IF(ISBLANK(F450),"",IF(J450="Yes",F450,F450*(1+Economics!$AK$29)))</f>
        <v/>
      </c>
      <c r="I450" s="652"/>
      <c r="J450" s="355" t="str">
        <f t="shared" si="26"/>
        <v/>
      </c>
    </row>
    <row r="451" spans="2:10" x14ac:dyDescent="0.25">
      <c r="B451" s="527"/>
      <c r="C451" s="764" t="str">
        <f t="shared" si="25"/>
        <v/>
      </c>
      <c r="D451" s="355"/>
      <c r="E451" s="355"/>
      <c r="F451" s="765"/>
      <c r="G451" s="766" t="str">
        <f>+IF(ISBLANK(F451),"",IF(J451="Yes",F451,F451*(1+Economics!$AK$29)))</f>
        <v/>
      </c>
      <c r="I451" s="652"/>
      <c r="J451" s="355" t="str">
        <f t="shared" si="26"/>
        <v/>
      </c>
    </row>
    <row r="452" spans="2:10" x14ac:dyDescent="0.25">
      <c r="B452" s="527"/>
      <c r="C452" s="764" t="str">
        <f t="shared" si="25"/>
        <v/>
      </c>
      <c r="D452" s="355"/>
      <c r="E452" s="355"/>
      <c r="F452" s="765"/>
      <c r="G452" s="766" t="str">
        <f>+IF(ISBLANK(F452),"",IF(J452="Yes",F452,F452*(1+Economics!$AK$29)))</f>
        <v/>
      </c>
      <c r="I452" s="652"/>
      <c r="J452" s="355" t="str">
        <f t="shared" si="26"/>
        <v/>
      </c>
    </row>
    <row r="453" spans="2:10" x14ac:dyDescent="0.25">
      <c r="B453" s="527"/>
      <c r="C453" s="764" t="str">
        <f t="shared" si="25"/>
        <v/>
      </c>
      <c r="D453" s="355"/>
      <c r="E453" s="355"/>
      <c r="F453" s="765"/>
      <c r="G453" s="766" t="str">
        <f>+IF(ISBLANK(F453),"",IF(J453="Yes",F453,F453*(1+Economics!$AK$29)))</f>
        <v/>
      </c>
      <c r="I453" s="652"/>
      <c r="J453" s="355" t="str">
        <f t="shared" si="26"/>
        <v/>
      </c>
    </row>
    <row r="454" spans="2:10" x14ac:dyDescent="0.25">
      <c r="B454" s="527"/>
      <c r="C454" s="764" t="str">
        <f t="shared" si="25"/>
        <v/>
      </c>
      <c r="D454" s="355"/>
      <c r="E454" s="355"/>
      <c r="F454" s="765"/>
      <c r="G454" s="766" t="str">
        <f>+IF(ISBLANK(F454),"",IF(J454="Yes",F454,F454*(1+Economics!$AK$29)))</f>
        <v/>
      </c>
      <c r="I454" s="652"/>
      <c r="J454" s="355" t="str">
        <f t="shared" si="26"/>
        <v/>
      </c>
    </row>
    <row r="455" spans="2:10" x14ac:dyDescent="0.25">
      <c r="B455" s="527"/>
      <c r="C455" s="764" t="str">
        <f t="shared" si="25"/>
        <v/>
      </c>
      <c r="D455" s="355"/>
      <c r="E455" s="355"/>
      <c r="F455" s="765"/>
      <c r="G455" s="766" t="str">
        <f>+IF(ISBLANK(F455),"",IF(J455="Yes",F455,F455*(1+Economics!$AK$29)))</f>
        <v/>
      </c>
      <c r="I455" s="652"/>
      <c r="J455" s="355" t="str">
        <f t="shared" si="26"/>
        <v/>
      </c>
    </row>
    <row r="456" spans="2:10" x14ac:dyDescent="0.25">
      <c r="B456" s="527"/>
      <c r="C456" s="764" t="str">
        <f t="shared" si="25"/>
        <v/>
      </c>
      <c r="D456" s="355"/>
      <c r="E456" s="355"/>
      <c r="F456" s="765"/>
      <c r="G456" s="766" t="str">
        <f>+IF(ISBLANK(F456),"",IF(J456="Yes",F456,F456*(1+Economics!$AK$29)))</f>
        <v/>
      </c>
      <c r="I456" s="652"/>
      <c r="J456" s="355" t="str">
        <f t="shared" si="26"/>
        <v/>
      </c>
    </row>
    <row r="457" spans="2:10" x14ac:dyDescent="0.25">
      <c r="B457" s="527"/>
      <c r="C457" s="764" t="str">
        <f t="shared" si="25"/>
        <v/>
      </c>
      <c r="D457" s="355"/>
      <c r="E457" s="355"/>
      <c r="F457" s="765"/>
      <c r="G457" s="766" t="str">
        <f>+IF(ISBLANK(F457),"",IF(J457="Yes",F457,F457*(1+Economics!$AK$29)))</f>
        <v/>
      </c>
      <c r="I457" s="652"/>
      <c r="J457" s="355" t="str">
        <f t="shared" si="26"/>
        <v/>
      </c>
    </row>
    <row r="458" spans="2:10" x14ac:dyDescent="0.25">
      <c r="B458" s="527"/>
      <c r="C458" s="764" t="str">
        <f t="shared" si="25"/>
        <v/>
      </c>
      <c r="D458" s="355"/>
      <c r="E458" s="355"/>
      <c r="F458" s="765"/>
      <c r="G458" s="766" t="str">
        <f>+IF(ISBLANK(F458),"",IF(J458="Yes",F458,F458*(1+Economics!$AK$29)))</f>
        <v/>
      </c>
      <c r="I458" s="652"/>
      <c r="J458" s="355" t="str">
        <f t="shared" si="26"/>
        <v/>
      </c>
    </row>
    <row r="459" spans="2:10" x14ac:dyDescent="0.25">
      <c r="B459" s="527"/>
      <c r="C459" s="764" t="str">
        <f t="shared" si="25"/>
        <v/>
      </c>
      <c r="D459" s="355"/>
      <c r="E459" s="355"/>
      <c r="F459" s="765"/>
      <c r="G459" s="766" t="str">
        <f>+IF(ISBLANK(F459),"",IF(J459="Yes",F459,F459*(1+Economics!$AK$29)))</f>
        <v/>
      </c>
      <c r="I459" s="652"/>
      <c r="J459" s="355" t="str">
        <f t="shared" si="26"/>
        <v/>
      </c>
    </row>
    <row r="460" spans="2:10" x14ac:dyDescent="0.25">
      <c r="B460" s="527"/>
      <c r="C460" s="764" t="str">
        <f t="shared" si="25"/>
        <v/>
      </c>
      <c r="D460" s="355"/>
      <c r="E460" s="355"/>
      <c r="F460" s="765"/>
      <c r="G460" s="766" t="str">
        <f>+IF(ISBLANK(F460),"",IF(J460="Yes",F460,F460*(1+Economics!$AK$29)))</f>
        <v/>
      </c>
      <c r="I460" s="652"/>
      <c r="J460" s="355" t="str">
        <f t="shared" si="26"/>
        <v/>
      </c>
    </row>
    <row r="461" spans="2:10" x14ac:dyDescent="0.25">
      <c r="B461" s="527"/>
      <c r="C461" s="764" t="str">
        <f t="shared" si="25"/>
        <v/>
      </c>
      <c r="D461" s="355"/>
      <c r="E461" s="355"/>
      <c r="F461" s="765"/>
      <c r="G461" s="766" t="str">
        <f>+IF(ISBLANK(F461),"",IF(J461="Yes",F461,F461*(1+Economics!$AK$29)))</f>
        <v/>
      </c>
      <c r="I461" s="652"/>
      <c r="J461" s="355" t="str">
        <f t="shared" si="26"/>
        <v/>
      </c>
    </row>
    <row r="462" spans="2:10" x14ac:dyDescent="0.25">
      <c r="B462" s="527"/>
      <c r="C462" s="764" t="str">
        <f t="shared" si="25"/>
        <v/>
      </c>
      <c r="D462" s="355"/>
      <c r="E462" s="355"/>
      <c r="F462" s="765"/>
      <c r="G462" s="766" t="str">
        <f>+IF(ISBLANK(F462),"",IF(J462="Yes",F462,F462*(1+Economics!$AK$29)))</f>
        <v/>
      </c>
      <c r="I462" s="652"/>
      <c r="J462" s="355" t="str">
        <f t="shared" si="26"/>
        <v/>
      </c>
    </row>
    <row r="463" spans="2:10" x14ac:dyDescent="0.25">
      <c r="B463" s="527"/>
      <c r="C463" s="764" t="str">
        <f t="shared" si="25"/>
        <v/>
      </c>
      <c r="D463" s="355"/>
      <c r="E463" s="355"/>
      <c r="F463" s="765"/>
      <c r="G463" s="766" t="str">
        <f>+IF(ISBLANK(F463),"",IF(J463="Yes",F463,F463*(1+Economics!$AK$29)))</f>
        <v/>
      </c>
      <c r="I463" s="652"/>
      <c r="J463" s="355" t="str">
        <f t="shared" si="26"/>
        <v/>
      </c>
    </row>
    <row r="464" spans="2:10" x14ac:dyDescent="0.25">
      <c r="B464" s="527"/>
      <c r="C464" s="764" t="str">
        <f t="shared" si="25"/>
        <v/>
      </c>
      <c r="D464" s="355"/>
      <c r="E464" s="355"/>
      <c r="F464" s="765"/>
      <c r="G464" s="766" t="str">
        <f>+IF(ISBLANK(F464),"",IF(J464="Yes",F464,F464*(1+Economics!$AK$29)))</f>
        <v/>
      </c>
      <c r="I464" s="652"/>
      <c r="J464" s="355" t="str">
        <f t="shared" si="26"/>
        <v/>
      </c>
    </row>
    <row r="465" spans="2:10" x14ac:dyDescent="0.25">
      <c r="B465" s="527"/>
      <c r="C465" s="764" t="str">
        <f t="shared" si="25"/>
        <v/>
      </c>
      <c r="D465" s="355"/>
      <c r="E465" s="355"/>
      <c r="F465" s="765"/>
      <c r="G465" s="766" t="str">
        <f>+IF(ISBLANK(F465),"",IF(J465="Yes",F465,F465*(1+Economics!$AK$29)))</f>
        <v/>
      </c>
      <c r="I465" s="652"/>
      <c r="J465" s="355" t="str">
        <f t="shared" si="26"/>
        <v/>
      </c>
    </row>
    <row r="466" spans="2:10" x14ac:dyDescent="0.25">
      <c r="B466" s="527"/>
      <c r="C466" s="764" t="str">
        <f t="shared" si="25"/>
        <v/>
      </c>
      <c r="D466" s="355"/>
      <c r="E466" s="355"/>
      <c r="F466" s="765"/>
      <c r="G466" s="766" t="str">
        <f>+IF(ISBLANK(F466),"",IF(J466="Yes",F466,F466*(1+Economics!$AK$29)))</f>
        <v/>
      </c>
      <c r="I466" s="652"/>
      <c r="J466" s="355" t="str">
        <f t="shared" si="26"/>
        <v/>
      </c>
    </row>
    <row r="467" spans="2:10" x14ac:dyDescent="0.25">
      <c r="B467" s="527"/>
      <c r="C467" s="764" t="str">
        <f t="shared" si="25"/>
        <v/>
      </c>
      <c r="D467" s="355"/>
      <c r="E467" s="355"/>
      <c r="F467" s="765"/>
      <c r="G467" s="766" t="str">
        <f>+IF(ISBLANK(F467),"",IF(J467="Yes",F467,F467*(1+Economics!$AK$29)))</f>
        <v/>
      </c>
      <c r="I467" s="652"/>
      <c r="J467" s="355" t="str">
        <f t="shared" si="26"/>
        <v/>
      </c>
    </row>
    <row r="468" spans="2:10" x14ac:dyDescent="0.25">
      <c r="B468" s="527"/>
      <c r="C468" s="764" t="str">
        <f t="shared" si="25"/>
        <v/>
      </c>
      <c r="D468" s="355"/>
      <c r="E468" s="355"/>
      <c r="F468" s="765"/>
      <c r="G468" s="766" t="str">
        <f>+IF(ISBLANK(F468),"",IF(J468="Yes",F468,F468*(1+Economics!$AK$29)))</f>
        <v/>
      </c>
      <c r="I468" s="652"/>
      <c r="J468" s="355" t="str">
        <f t="shared" si="26"/>
        <v/>
      </c>
    </row>
    <row r="469" spans="2:10" x14ac:dyDescent="0.25">
      <c r="B469" s="527"/>
      <c r="C469" s="764" t="str">
        <f t="shared" si="25"/>
        <v/>
      </c>
      <c r="D469" s="355"/>
      <c r="E469" s="355"/>
      <c r="F469" s="765"/>
      <c r="G469" s="766" t="str">
        <f>+IF(ISBLANK(F469),"",IF(J469="Yes",F469,F469*(1+Economics!$AK$29)))</f>
        <v/>
      </c>
      <c r="I469" s="652"/>
      <c r="J469" s="355" t="str">
        <f t="shared" si="26"/>
        <v/>
      </c>
    </row>
    <row r="470" spans="2:10" x14ac:dyDescent="0.25">
      <c r="B470" s="527"/>
      <c r="C470" s="764" t="str">
        <f t="shared" si="25"/>
        <v/>
      </c>
      <c r="D470" s="355"/>
      <c r="E470" s="355"/>
      <c r="F470" s="765"/>
      <c r="G470" s="766" t="str">
        <f>+IF(ISBLANK(F470),"",IF(J470="Yes",F470,F470*(1+Economics!$AK$29)))</f>
        <v/>
      </c>
      <c r="I470" s="652"/>
      <c r="J470" s="355" t="str">
        <f t="shared" si="26"/>
        <v/>
      </c>
    </row>
    <row r="471" spans="2:10" x14ac:dyDescent="0.25">
      <c r="B471" s="527"/>
      <c r="C471" s="764" t="str">
        <f t="shared" si="25"/>
        <v/>
      </c>
      <c r="D471" s="355"/>
      <c r="E471" s="355"/>
      <c r="F471" s="765"/>
      <c r="G471" s="766" t="str">
        <f>+IF(ISBLANK(F471),"",IF(J471="Yes",F471,F471*(1+Economics!$AK$29)))</f>
        <v/>
      </c>
      <c r="I471" s="652"/>
      <c r="J471" s="355" t="str">
        <f t="shared" si="26"/>
        <v/>
      </c>
    </row>
    <row r="472" spans="2:10" x14ac:dyDescent="0.25">
      <c r="B472" s="527"/>
      <c r="C472" s="764" t="str">
        <f t="shared" si="25"/>
        <v/>
      </c>
      <c r="D472" s="355"/>
      <c r="E472" s="355"/>
      <c r="F472" s="765"/>
      <c r="G472" s="766" t="str">
        <f>+IF(ISBLANK(F472),"",IF(J472="Yes",F472,F472*(1+Economics!$AK$29)))</f>
        <v/>
      </c>
      <c r="I472" s="652"/>
      <c r="J472" s="355" t="str">
        <f t="shared" si="26"/>
        <v/>
      </c>
    </row>
    <row r="473" spans="2:10" x14ac:dyDescent="0.25">
      <c r="B473" s="527"/>
      <c r="C473" s="764" t="str">
        <f t="shared" si="25"/>
        <v/>
      </c>
      <c r="D473" s="355"/>
      <c r="E473" s="355"/>
      <c r="F473" s="765"/>
      <c r="G473" s="766" t="str">
        <f>+IF(ISBLANK(F473),"",IF(J473="Yes",F473,F473*(1+Economics!$AK$29)))</f>
        <v/>
      </c>
      <c r="I473" s="652"/>
      <c r="J473" s="355" t="str">
        <f t="shared" si="26"/>
        <v/>
      </c>
    </row>
    <row r="474" spans="2:10" x14ac:dyDescent="0.25">
      <c r="B474" s="527"/>
      <c r="C474" s="764" t="str">
        <f t="shared" si="25"/>
        <v/>
      </c>
      <c r="D474" s="355"/>
      <c r="E474" s="355"/>
      <c r="F474" s="765"/>
      <c r="G474" s="766" t="str">
        <f>+IF(ISBLANK(F474),"",IF(J474="Yes",F474,F474*(1+Economics!$AK$29)))</f>
        <v/>
      </c>
      <c r="I474" s="652"/>
      <c r="J474" s="355" t="str">
        <f t="shared" si="26"/>
        <v/>
      </c>
    </row>
    <row r="475" spans="2:10" x14ac:dyDescent="0.25">
      <c r="B475" s="527"/>
      <c r="C475" s="764" t="str">
        <f t="shared" si="25"/>
        <v/>
      </c>
      <c r="D475" s="355"/>
      <c r="E475" s="355"/>
      <c r="F475" s="765"/>
      <c r="G475" s="766" t="str">
        <f>+IF(ISBLANK(F475),"",IF(J475="Yes",F475,F475*(1+Economics!$AK$29)))</f>
        <v/>
      </c>
      <c r="I475" s="652"/>
      <c r="J475" s="355" t="str">
        <f t="shared" si="26"/>
        <v/>
      </c>
    </row>
    <row r="476" spans="2:10" x14ac:dyDescent="0.25">
      <c r="B476" s="527"/>
      <c r="C476" s="764" t="str">
        <f t="shared" si="25"/>
        <v/>
      </c>
      <c r="D476" s="355"/>
      <c r="E476" s="355"/>
      <c r="F476" s="765"/>
      <c r="G476" s="766" t="str">
        <f>+IF(ISBLANK(F476),"",IF(J476="Yes",F476,F476*(1+Economics!$AK$29)))</f>
        <v/>
      </c>
      <c r="I476" s="652"/>
      <c r="J476" s="355" t="str">
        <f t="shared" si="26"/>
        <v/>
      </c>
    </row>
    <row r="477" spans="2:10" x14ac:dyDescent="0.25">
      <c r="B477" s="527"/>
      <c r="C477" s="764" t="str">
        <f t="shared" si="25"/>
        <v/>
      </c>
      <c r="D477" s="355"/>
      <c r="E477" s="355"/>
      <c r="F477" s="765"/>
      <c r="G477" s="766" t="str">
        <f>+IF(ISBLANK(F477),"",IF(J477="Yes",F477,F477*(1+Economics!$AK$29)))</f>
        <v/>
      </c>
      <c r="I477" s="652"/>
      <c r="J477" s="355" t="str">
        <f t="shared" si="26"/>
        <v/>
      </c>
    </row>
    <row r="478" spans="2:10" x14ac:dyDescent="0.25">
      <c r="B478" s="527"/>
      <c r="C478" s="764" t="str">
        <f t="shared" ref="C478:C530" si="27">+IF(ISBLANK(B478),"",IFERROR(INDEX($T$3:$T$7,MATCH(B478,$S$3:$S$7,0)),""))</f>
        <v/>
      </c>
      <c r="D478" s="355"/>
      <c r="E478" s="355"/>
      <c r="F478" s="765"/>
      <c r="G478" s="766" t="str">
        <f>+IF(ISBLANK(F478),"",IF(J478="Yes",F478,F478*(1+Economics!$AK$29)))</f>
        <v/>
      </c>
      <c r="I478" s="652"/>
      <c r="J478" s="355" t="str">
        <f t="shared" si="26"/>
        <v/>
      </c>
    </row>
    <row r="479" spans="2:10" x14ac:dyDescent="0.25">
      <c r="B479" s="527"/>
      <c r="C479" s="764" t="str">
        <f t="shared" si="27"/>
        <v/>
      </c>
      <c r="D479" s="355"/>
      <c r="E479" s="355"/>
      <c r="F479" s="765"/>
      <c r="G479" s="766" t="str">
        <f>+IF(ISBLANK(F479),"",IF(J479="Yes",F479,F479*(1+Economics!$AK$29)))</f>
        <v/>
      </c>
      <c r="I479" s="652"/>
      <c r="J479" s="355" t="str">
        <f t="shared" ref="J479:J530" si="28">+IF(ISBLANK(I479),"",IF(ISNUMBER(FIND("Yes",I479)),"No","Yes"))</f>
        <v/>
      </c>
    </row>
    <row r="480" spans="2:10" x14ac:dyDescent="0.25">
      <c r="B480" s="527"/>
      <c r="C480" s="764" t="str">
        <f t="shared" si="27"/>
        <v/>
      </c>
      <c r="D480" s="355"/>
      <c r="E480" s="355"/>
      <c r="F480" s="765"/>
      <c r="G480" s="766" t="str">
        <f>+IF(ISBLANK(F480),"",IF(J480="Yes",F480,F480*(1+Economics!$AK$29)))</f>
        <v/>
      </c>
      <c r="I480" s="652"/>
      <c r="J480" s="355" t="str">
        <f t="shared" si="28"/>
        <v/>
      </c>
    </row>
    <row r="481" spans="2:10" x14ac:dyDescent="0.25">
      <c r="B481" s="527"/>
      <c r="C481" s="764" t="str">
        <f t="shared" si="27"/>
        <v/>
      </c>
      <c r="D481" s="355"/>
      <c r="E481" s="355"/>
      <c r="F481" s="765"/>
      <c r="G481" s="766" t="str">
        <f>+IF(ISBLANK(F481),"",IF(J481="Yes",F481,F481*(1+Economics!$AK$29)))</f>
        <v/>
      </c>
      <c r="I481" s="652"/>
      <c r="J481" s="355" t="str">
        <f t="shared" si="28"/>
        <v/>
      </c>
    </row>
    <row r="482" spans="2:10" x14ac:dyDescent="0.25">
      <c r="B482" s="527"/>
      <c r="C482" s="764" t="str">
        <f t="shared" si="27"/>
        <v/>
      </c>
      <c r="D482" s="355"/>
      <c r="E482" s="355"/>
      <c r="F482" s="765"/>
      <c r="G482" s="766" t="str">
        <f>+IF(ISBLANK(F482),"",IF(J482="Yes",F482,F482*(1+Economics!$AK$29)))</f>
        <v/>
      </c>
      <c r="I482" s="652"/>
      <c r="J482" s="355" t="str">
        <f t="shared" si="28"/>
        <v/>
      </c>
    </row>
    <row r="483" spans="2:10" x14ac:dyDescent="0.25">
      <c r="B483" s="527"/>
      <c r="C483" s="764" t="str">
        <f t="shared" si="27"/>
        <v/>
      </c>
      <c r="D483" s="355"/>
      <c r="E483" s="355"/>
      <c r="F483" s="765"/>
      <c r="G483" s="766" t="str">
        <f>+IF(ISBLANK(F483),"",IF(J483="Yes",F483,F483*(1+Economics!$AK$29)))</f>
        <v/>
      </c>
      <c r="I483" s="652"/>
      <c r="J483" s="355" t="str">
        <f t="shared" si="28"/>
        <v/>
      </c>
    </row>
    <row r="484" spans="2:10" x14ac:dyDescent="0.25">
      <c r="B484" s="527"/>
      <c r="C484" s="764" t="str">
        <f t="shared" si="27"/>
        <v/>
      </c>
      <c r="D484" s="355"/>
      <c r="E484" s="355"/>
      <c r="F484" s="765"/>
      <c r="G484" s="766" t="str">
        <f>+IF(ISBLANK(F484),"",IF(J484="Yes",F484,F484*(1+Economics!$AK$29)))</f>
        <v/>
      </c>
      <c r="I484" s="652"/>
      <c r="J484" s="355" t="str">
        <f t="shared" si="28"/>
        <v/>
      </c>
    </row>
    <row r="485" spans="2:10" x14ac:dyDescent="0.25">
      <c r="B485" s="527"/>
      <c r="C485" s="764" t="str">
        <f t="shared" si="27"/>
        <v/>
      </c>
      <c r="D485" s="355"/>
      <c r="E485" s="355"/>
      <c r="F485" s="765"/>
      <c r="G485" s="766" t="str">
        <f>+IF(ISBLANK(F485),"",IF(J485="Yes",F485,F485*(1+Economics!$AK$29)))</f>
        <v/>
      </c>
      <c r="I485" s="652"/>
      <c r="J485" s="355" t="str">
        <f t="shared" si="28"/>
        <v/>
      </c>
    </row>
    <row r="486" spans="2:10" x14ac:dyDescent="0.25">
      <c r="B486" s="527"/>
      <c r="C486" s="764" t="str">
        <f t="shared" si="27"/>
        <v/>
      </c>
      <c r="D486" s="355"/>
      <c r="E486" s="355"/>
      <c r="F486" s="765"/>
      <c r="G486" s="766" t="str">
        <f>+IF(ISBLANK(F486),"",IF(J486="Yes",F486,F486*(1+Economics!$AK$29)))</f>
        <v/>
      </c>
      <c r="I486" s="652"/>
      <c r="J486" s="355" t="str">
        <f t="shared" si="28"/>
        <v/>
      </c>
    </row>
    <row r="487" spans="2:10" x14ac:dyDescent="0.25">
      <c r="B487" s="527"/>
      <c r="C487" s="764" t="str">
        <f t="shared" si="27"/>
        <v/>
      </c>
      <c r="D487" s="355"/>
      <c r="E487" s="355"/>
      <c r="F487" s="765"/>
      <c r="G487" s="766" t="str">
        <f>+IF(ISBLANK(F487),"",IF(J487="Yes",F487,F487*(1+Economics!$AK$29)))</f>
        <v/>
      </c>
      <c r="I487" s="652"/>
      <c r="J487" s="355" t="str">
        <f t="shared" si="28"/>
        <v/>
      </c>
    </row>
    <row r="488" spans="2:10" x14ac:dyDescent="0.25">
      <c r="B488" s="527"/>
      <c r="C488" s="764" t="str">
        <f t="shared" si="27"/>
        <v/>
      </c>
      <c r="D488" s="355"/>
      <c r="E488" s="355"/>
      <c r="F488" s="765"/>
      <c r="G488" s="766" t="str">
        <f>+IF(ISBLANK(F488),"",IF(J488="Yes",F488,F488*(1+Economics!$AK$29)))</f>
        <v/>
      </c>
      <c r="I488" s="652"/>
      <c r="J488" s="355" t="str">
        <f t="shared" si="28"/>
        <v/>
      </c>
    </row>
    <row r="489" spans="2:10" x14ac:dyDescent="0.25">
      <c r="B489" s="527"/>
      <c r="C489" s="764" t="str">
        <f t="shared" si="27"/>
        <v/>
      </c>
      <c r="D489" s="355"/>
      <c r="E489" s="355"/>
      <c r="F489" s="765"/>
      <c r="G489" s="766" t="str">
        <f>+IF(ISBLANK(F489),"",IF(J489="Yes",F489,F489*(1+Economics!$AK$29)))</f>
        <v/>
      </c>
      <c r="I489" s="652"/>
      <c r="J489" s="355" t="str">
        <f t="shared" si="28"/>
        <v/>
      </c>
    </row>
    <row r="490" spans="2:10" x14ac:dyDescent="0.25">
      <c r="B490" s="527"/>
      <c r="C490" s="764" t="str">
        <f t="shared" si="27"/>
        <v/>
      </c>
      <c r="D490" s="355"/>
      <c r="E490" s="355"/>
      <c r="F490" s="765"/>
      <c r="G490" s="766" t="str">
        <f>+IF(ISBLANK(F490),"",IF(J490="Yes",F490,F490*(1+Economics!$AK$29)))</f>
        <v/>
      </c>
      <c r="I490" s="652"/>
      <c r="J490" s="355" t="str">
        <f t="shared" si="28"/>
        <v/>
      </c>
    </row>
    <row r="491" spans="2:10" x14ac:dyDescent="0.25">
      <c r="B491" s="527"/>
      <c r="C491" s="764" t="str">
        <f t="shared" si="27"/>
        <v/>
      </c>
      <c r="D491" s="355"/>
      <c r="E491" s="355"/>
      <c r="F491" s="765"/>
      <c r="G491" s="766" t="str">
        <f>+IF(ISBLANK(F491),"",IF(J491="Yes",F491,F491*(1+Economics!$AK$29)))</f>
        <v/>
      </c>
      <c r="I491" s="652"/>
      <c r="J491" s="355" t="str">
        <f t="shared" si="28"/>
        <v/>
      </c>
    </row>
    <row r="492" spans="2:10" x14ac:dyDescent="0.25">
      <c r="B492" s="527"/>
      <c r="C492" s="764" t="str">
        <f t="shared" si="27"/>
        <v/>
      </c>
      <c r="D492" s="355"/>
      <c r="E492" s="355"/>
      <c r="F492" s="765"/>
      <c r="G492" s="766" t="str">
        <f>+IF(ISBLANK(F492),"",IF(J492="Yes",F492,F492*(1+Economics!$AK$29)))</f>
        <v/>
      </c>
      <c r="I492" s="652"/>
      <c r="J492" s="355" t="str">
        <f t="shared" si="28"/>
        <v/>
      </c>
    </row>
    <row r="493" spans="2:10" x14ac:dyDescent="0.25">
      <c r="B493" s="527"/>
      <c r="C493" s="764" t="str">
        <f t="shared" si="27"/>
        <v/>
      </c>
      <c r="D493" s="355"/>
      <c r="E493" s="355"/>
      <c r="F493" s="765"/>
      <c r="G493" s="766" t="str">
        <f>+IF(ISBLANK(F493),"",IF(J493="Yes",F493,F493*(1+Economics!$AK$29)))</f>
        <v/>
      </c>
      <c r="I493" s="652"/>
      <c r="J493" s="355" t="str">
        <f t="shared" si="28"/>
        <v/>
      </c>
    </row>
    <row r="494" spans="2:10" x14ac:dyDescent="0.25">
      <c r="B494" s="527"/>
      <c r="C494" s="764" t="str">
        <f t="shared" si="27"/>
        <v/>
      </c>
      <c r="D494" s="355"/>
      <c r="E494" s="355"/>
      <c r="F494" s="765"/>
      <c r="G494" s="766" t="str">
        <f>+IF(ISBLANK(F494),"",IF(J494="Yes",F494,F494*(1+Economics!$AK$29)))</f>
        <v/>
      </c>
      <c r="I494" s="652"/>
      <c r="J494" s="355" t="str">
        <f t="shared" si="28"/>
        <v/>
      </c>
    </row>
    <row r="495" spans="2:10" x14ac:dyDescent="0.25">
      <c r="B495" s="527"/>
      <c r="C495" s="764" t="str">
        <f t="shared" si="27"/>
        <v/>
      </c>
      <c r="D495" s="355"/>
      <c r="E495" s="355"/>
      <c r="F495" s="765"/>
      <c r="G495" s="766" t="str">
        <f>+IF(ISBLANK(F495),"",IF(J495="Yes",F495,F495*(1+Economics!$AK$29)))</f>
        <v/>
      </c>
      <c r="I495" s="652"/>
      <c r="J495" s="355" t="str">
        <f t="shared" si="28"/>
        <v/>
      </c>
    </row>
    <row r="496" spans="2:10" x14ac:dyDescent="0.25">
      <c r="B496" s="527"/>
      <c r="C496" s="764" t="str">
        <f t="shared" si="27"/>
        <v/>
      </c>
      <c r="D496" s="355"/>
      <c r="E496" s="355"/>
      <c r="F496" s="765"/>
      <c r="G496" s="766" t="str">
        <f>+IF(ISBLANK(F496),"",IF(J496="Yes",F496,F496*(1+Economics!$AK$29)))</f>
        <v/>
      </c>
      <c r="I496" s="652"/>
      <c r="J496" s="355" t="str">
        <f t="shared" si="28"/>
        <v/>
      </c>
    </row>
    <row r="497" spans="2:10" x14ac:dyDescent="0.25">
      <c r="B497" s="527"/>
      <c r="C497" s="764" t="str">
        <f t="shared" si="27"/>
        <v/>
      </c>
      <c r="D497" s="355"/>
      <c r="E497" s="355"/>
      <c r="F497" s="765"/>
      <c r="G497" s="766" t="str">
        <f>+IF(ISBLANK(F497),"",IF(J497="Yes",F497,F497*(1+Economics!$AK$29)))</f>
        <v/>
      </c>
      <c r="I497" s="652"/>
      <c r="J497" s="355" t="str">
        <f t="shared" si="28"/>
        <v/>
      </c>
    </row>
    <row r="498" spans="2:10" x14ac:dyDescent="0.25">
      <c r="B498" s="527"/>
      <c r="C498" s="764" t="str">
        <f t="shared" si="27"/>
        <v/>
      </c>
      <c r="D498" s="355"/>
      <c r="E498" s="355"/>
      <c r="F498" s="765"/>
      <c r="G498" s="766" t="str">
        <f>+IF(ISBLANK(F498),"",IF(J498="Yes",F498,F498*(1+Economics!$AK$29)))</f>
        <v/>
      </c>
      <c r="I498" s="652"/>
      <c r="J498" s="355" t="str">
        <f t="shared" si="28"/>
        <v/>
      </c>
    </row>
    <row r="499" spans="2:10" x14ac:dyDescent="0.25">
      <c r="B499" s="527"/>
      <c r="C499" s="764" t="str">
        <f t="shared" si="27"/>
        <v/>
      </c>
      <c r="D499" s="355"/>
      <c r="E499" s="355"/>
      <c r="F499" s="765"/>
      <c r="G499" s="766" t="str">
        <f>+IF(ISBLANK(F499),"",IF(J499="Yes",F499,F499*(1+Economics!$AK$29)))</f>
        <v/>
      </c>
      <c r="I499" s="652"/>
      <c r="J499" s="355" t="str">
        <f t="shared" si="28"/>
        <v/>
      </c>
    </row>
    <row r="500" spans="2:10" x14ac:dyDescent="0.25">
      <c r="B500" s="527"/>
      <c r="C500" s="764" t="str">
        <f t="shared" si="27"/>
        <v/>
      </c>
      <c r="D500" s="355"/>
      <c r="E500" s="355"/>
      <c r="F500" s="765"/>
      <c r="G500" s="766" t="str">
        <f>+IF(ISBLANK(F500),"",IF(J500="Yes",F500,F500*(1+Economics!$AK$29)))</f>
        <v/>
      </c>
      <c r="I500" s="652"/>
      <c r="J500" s="355" t="str">
        <f t="shared" si="28"/>
        <v/>
      </c>
    </row>
    <row r="501" spans="2:10" x14ac:dyDescent="0.25">
      <c r="B501" s="527"/>
      <c r="C501" s="764" t="str">
        <f t="shared" si="27"/>
        <v/>
      </c>
      <c r="D501" s="355"/>
      <c r="E501" s="355"/>
      <c r="F501" s="765"/>
      <c r="G501" s="766" t="str">
        <f>+IF(ISBLANK(F501),"",IF(J501="Yes",F501,F501*(1+Economics!$AK$29)))</f>
        <v/>
      </c>
      <c r="I501" s="652"/>
      <c r="J501" s="355" t="str">
        <f t="shared" si="28"/>
        <v/>
      </c>
    </row>
    <row r="502" spans="2:10" x14ac:dyDescent="0.25">
      <c r="B502" s="527"/>
      <c r="C502" s="764" t="str">
        <f t="shared" si="27"/>
        <v/>
      </c>
      <c r="D502" s="355"/>
      <c r="E502" s="355"/>
      <c r="F502" s="765"/>
      <c r="G502" s="766" t="str">
        <f>+IF(ISBLANK(F502),"",IF(J502="Yes",F502,F502*(1+Economics!$AK$29)))</f>
        <v/>
      </c>
      <c r="I502" s="652"/>
      <c r="J502" s="355" t="str">
        <f t="shared" si="28"/>
        <v/>
      </c>
    </row>
    <row r="503" spans="2:10" x14ac:dyDescent="0.25">
      <c r="B503" s="527"/>
      <c r="C503" s="764" t="str">
        <f t="shared" si="27"/>
        <v/>
      </c>
      <c r="D503" s="355"/>
      <c r="E503" s="355"/>
      <c r="F503" s="765"/>
      <c r="G503" s="766" t="str">
        <f>+IF(ISBLANK(F503),"",IF(J503="Yes",F503,F503*(1+Economics!$AK$29)))</f>
        <v/>
      </c>
      <c r="I503" s="652"/>
      <c r="J503" s="355" t="str">
        <f t="shared" si="28"/>
        <v/>
      </c>
    </row>
    <row r="504" spans="2:10" x14ac:dyDescent="0.25">
      <c r="B504" s="527"/>
      <c r="C504" s="764" t="str">
        <f t="shared" si="27"/>
        <v/>
      </c>
      <c r="D504" s="355"/>
      <c r="E504" s="355"/>
      <c r="F504" s="765"/>
      <c r="G504" s="766" t="str">
        <f>+IF(ISBLANK(F504),"",IF(J504="Yes",F504,F504*(1+Economics!$AK$29)))</f>
        <v/>
      </c>
      <c r="I504" s="652"/>
      <c r="J504" s="355" t="str">
        <f t="shared" si="28"/>
        <v/>
      </c>
    </row>
    <row r="505" spans="2:10" x14ac:dyDescent="0.25">
      <c r="B505" s="527"/>
      <c r="C505" s="764" t="str">
        <f t="shared" si="27"/>
        <v/>
      </c>
      <c r="D505" s="355"/>
      <c r="E505" s="355"/>
      <c r="F505" s="765"/>
      <c r="G505" s="766" t="str">
        <f>+IF(ISBLANK(F505),"",IF(J505="Yes",F505,F505*(1+Economics!$AK$29)))</f>
        <v/>
      </c>
      <c r="I505" s="652"/>
      <c r="J505" s="355" t="str">
        <f t="shared" si="28"/>
        <v/>
      </c>
    </row>
    <row r="506" spans="2:10" x14ac:dyDescent="0.25">
      <c r="B506" s="527"/>
      <c r="C506" s="764" t="str">
        <f t="shared" si="27"/>
        <v/>
      </c>
      <c r="D506" s="355"/>
      <c r="E506" s="355"/>
      <c r="F506" s="765"/>
      <c r="G506" s="766" t="str">
        <f>+IF(ISBLANK(F506),"",IF(J506="Yes",F506,F506*(1+Economics!$AK$29)))</f>
        <v/>
      </c>
      <c r="I506" s="652"/>
      <c r="J506" s="355" t="str">
        <f t="shared" si="28"/>
        <v/>
      </c>
    </row>
    <row r="507" spans="2:10" x14ac:dyDescent="0.25">
      <c r="B507" s="527"/>
      <c r="C507" s="764" t="str">
        <f t="shared" si="27"/>
        <v/>
      </c>
      <c r="D507" s="355"/>
      <c r="E507" s="355"/>
      <c r="F507" s="765"/>
      <c r="G507" s="766" t="str">
        <f>+IF(ISBLANK(F507),"",IF(J507="Yes",F507,F507*(1+Economics!$AK$29)))</f>
        <v/>
      </c>
      <c r="I507" s="652"/>
      <c r="J507" s="355" t="str">
        <f t="shared" si="28"/>
        <v/>
      </c>
    </row>
    <row r="508" spans="2:10" x14ac:dyDescent="0.25">
      <c r="B508" s="527"/>
      <c r="C508" s="764" t="str">
        <f t="shared" si="27"/>
        <v/>
      </c>
      <c r="D508" s="355"/>
      <c r="E508" s="355"/>
      <c r="F508" s="765"/>
      <c r="G508" s="766" t="str">
        <f>+IF(ISBLANK(F508),"",IF(J508="Yes",F508,F508*(1+Economics!$AK$29)))</f>
        <v/>
      </c>
      <c r="I508" s="652"/>
      <c r="J508" s="355" t="str">
        <f t="shared" si="28"/>
        <v/>
      </c>
    </row>
    <row r="509" spans="2:10" x14ac:dyDescent="0.25">
      <c r="B509" s="527"/>
      <c r="C509" s="764" t="str">
        <f t="shared" si="27"/>
        <v/>
      </c>
      <c r="D509" s="355"/>
      <c r="E509" s="355"/>
      <c r="F509" s="765"/>
      <c r="G509" s="766" t="str">
        <f>+IF(ISBLANK(F509),"",IF(J509="Yes",F509,F509*(1+Economics!$AK$29)))</f>
        <v/>
      </c>
      <c r="I509" s="652"/>
      <c r="J509" s="355" t="str">
        <f t="shared" si="28"/>
        <v/>
      </c>
    </row>
    <row r="510" spans="2:10" x14ac:dyDescent="0.25">
      <c r="B510" s="527"/>
      <c r="C510" s="764" t="str">
        <f t="shared" si="27"/>
        <v/>
      </c>
      <c r="D510" s="355"/>
      <c r="E510" s="355"/>
      <c r="F510" s="765"/>
      <c r="G510" s="766" t="str">
        <f>+IF(ISBLANK(F510),"",IF(J510="Yes",F510,F510*(1+Economics!$AK$29)))</f>
        <v/>
      </c>
      <c r="I510" s="652"/>
      <c r="J510" s="355" t="str">
        <f t="shared" si="28"/>
        <v/>
      </c>
    </row>
    <row r="511" spans="2:10" x14ac:dyDescent="0.25">
      <c r="B511" s="527"/>
      <c r="C511" s="764" t="str">
        <f t="shared" si="27"/>
        <v/>
      </c>
      <c r="D511" s="355"/>
      <c r="E511" s="355"/>
      <c r="F511" s="765"/>
      <c r="G511" s="766" t="str">
        <f>+IF(ISBLANK(F511),"",IF(J511="Yes",F511,F511*(1+Economics!$AK$29)))</f>
        <v/>
      </c>
      <c r="I511" s="652"/>
      <c r="J511" s="355" t="str">
        <f t="shared" si="28"/>
        <v/>
      </c>
    </row>
    <row r="512" spans="2:10" x14ac:dyDescent="0.25">
      <c r="B512" s="527"/>
      <c r="C512" s="764" t="str">
        <f t="shared" si="27"/>
        <v/>
      </c>
      <c r="D512" s="355"/>
      <c r="E512" s="355"/>
      <c r="F512" s="765"/>
      <c r="G512" s="766" t="str">
        <f>+IF(ISBLANK(F512),"",IF(J512="Yes",F512,F512*(1+Economics!$AK$29)))</f>
        <v/>
      </c>
      <c r="I512" s="652"/>
      <c r="J512" s="355" t="str">
        <f t="shared" si="28"/>
        <v/>
      </c>
    </row>
    <row r="513" spans="2:10" x14ac:dyDescent="0.25">
      <c r="B513" s="527"/>
      <c r="C513" s="764" t="str">
        <f t="shared" si="27"/>
        <v/>
      </c>
      <c r="D513" s="355"/>
      <c r="E513" s="355"/>
      <c r="F513" s="765"/>
      <c r="G513" s="766" t="str">
        <f>+IF(ISBLANK(F513),"",IF(J513="Yes",F513,F513*(1+Economics!$AK$29)))</f>
        <v/>
      </c>
      <c r="I513" s="652"/>
      <c r="J513" s="355" t="str">
        <f t="shared" si="28"/>
        <v/>
      </c>
    </row>
    <row r="514" spans="2:10" x14ac:dyDescent="0.25">
      <c r="B514" s="527"/>
      <c r="C514" s="764" t="str">
        <f t="shared" si="27"/>
        <v/>
      </c>
      <c r="D514" s="355"/>
      <c r="E514" s="355"/>
      <c r="F514" s="765"/>
      <c r="G514" s="766" t="str">
        <f>+IF(ISBLANK(F514),"",IF(J514="Yes",F514,F514*(1+Economics!$AK$29)))</f>
        <v/>
      </c>
      <c r="I514" s="652"/>
      <c r="J514" s="355" t="str">
        <f t="shared" si="28"/>
        <v/>
      </c>
    </row>
    <row r="515" spans="2:10" x14ac:dyDescent="0.25">
      <c r="B515" s="527"/>
      <c r="C515" s="764" t="str">
        <f t="shared" si="27"/>
        <v/>
      </c>
      <c r="D515" s="355"/>
      <c r="E515" s="355"/>
      <c r="F515" s="765"/>
      <c r="G515" s="766" t="str">
        <f>+IF(ISBLANK(F515),"",IF(J515="Yes",F515,F515*(1+Economics!$AK$29)))</f>
        <v/>
      </c>
      <c r="I515" s="652"/>
      <c r="J515" s="355" t="str">
        <f t="shared" si="28"/>
        <v/>
      </c>
    </row>
    <row r="516" spans="2:10" x14ac:dyDescent="0.25">
      <c r="B516" s="527"/>
      <c r="C516" s="764" t="str">
        <f t="shared" si="27"/>
        <v/>
      </c>
      <c r="D516" s="355"/>
      <c r="E516" s="355"/>
      <c r="F516" s="765"/>
      <c r="G516" s="766" t="str">
        <f>+IF(ISBLANK(F516),"",IF(J516="Yes",F516,F516*(1+Economics!$AK$29)))</f>
        <v/>
      </c>
      <c r="I516" s="652"/>
      <c r="J516" s="355" t="str">
        <f t="shared" si="28"/>
        <v/>
      </c>
    </row>
    <row r="517" spans="2:10" x14ac:dyDescent="0.25">
      <c r="B517" s="527"/>
      <c r="C517" s="764" t="str">
        <f t="shared" si="27"/>
        <v/>
      </c>
      <c r="D517" s="355"/>
      <c r="E517" s="355"/>
      <c r="F517" s="765"/>
      <c r="G517" s="766" t="str">
        <f>+IF(ISBLANK(F517),"",IF(J517="Yes",F517,F517*(1+Economics!$AK$29)))</f>
        <v/>
      </c>
      <c r="I517" s="652"/>
      <c r="J517" s="355" t="str">
        <f t="shared" si="28"/>
        <v/>
      </c>
    </row>
    <row r="518" spans="2:10" x14ac:dyDescent="0.25">
      <c r="B518" s="527"/>
      <c r="C518" s="764" t="str">
        <f t="shared" si="27"/>
        <v/>
      </c>
      <c r="D518" s="355"/>
      <c r="E518" s="355"/>
      <c r="F518" s="765"/>
      <c r="G518" s="766" t="str">
        <f>+IF(ISBLANK(F518),"",IF(J518="Yes",F518,F518*(1+Economics!$AK$29)))</f>
        <v/>
      </c>
      <c r="I518" s="652"/>
      <c r="J518" s="355" t="str">
        <f t="shared" si="28"/>
        <v/>
      </c>
    </row>
    <row r="519" spans="2:10" x14ac:dyDescent="0.25">
      <c r="B519" s="527"/>
      <c r="C519" s="764" t="str">
        <f t="shared" si="27"/>
        <v/>
      </c>
      <c r="D519" s="355"/>
      <c r="E519" s="355"/>
      <c r="F519" s="765"/>
      <c r="G519" s="766" t="str">
        <f>+IF(ISBLANK(F519),"",IF(J519="Yes",F519,F519*(1+Economics!$AK$29)))</f>
        <v/>
      </c>
      <c r="I519" s="652"/>
      <c r="J519" s="355" t="str">
        <f t="shared" si="28"/>
        <v/>
      </c>
    </row>
    <row r="520" spans="2:10" x14ac:dyDescent="0.25">
      <c r="B520" s="527"/>
      <c r="C520" s="764" t="str">
        <f t="shared" si="27"/>
        <v/>
      </c>
      <c r="D520" s="355"/>
      <c r="E520" s="355"/>
      <c r="F520" s="765"/>
      <c r="G520" s="766" t="str">
        <f>+IF(ISBLANK(F520),"",IF(J520="Yes",F520,F520*(1+Economics!$AK$29)))</f>
        <v/>
      </c>
      <c r="I520" s="652"/>
      <c r="J520" s="355" t="str">
        <f t="shared" si="28"/>
        <v/>
      </c>
    </row>
    <row r="521" spans="2:10" x14ac:dyDescent="0.25">
      <c r="B521" s="527"/>
      <c r="C521" s="764" t="str">
        <f t="shared" si="27"/>
        <v/>
      </c>
      <c r="D521" s="355"/>
      <c r="E521" s="355"/>
      <c r="F521" s="765"/>
      <c r="G521" s="766" t="str">
        <f>+IF(ISBLANK(F521),"",IF(J521="Yes",F521,F521*(1+Economics!$AK$29)))</f>
        <v/>
      </c>
      <c r="I521" s="652"/>
      <c r="J521" s="355" t="str">
        <f t="shared" si="28"/>
        <v/>
      </c>
    </row>
    <row r="522" spans="2:10" x14ac:dyDescent="0.25">
      <c r="B522" s="527"/>
      <c r="C522" s="764" t="str">
        <f t="shared" si="27"/>
        <v/>
      </c>
      <c r="D522" s="355"/>
      <c r="E522" s="355"/>
      <c r="F522" s="765"/>
      <c r="G522" s="766" t="str">
        <f>+IF(ISBLANK(F522),"",IF(J522="Yes",F522,F522*(1+Economics!$AK$29)))</f>
        <v/>
      </c>
      <c r="I522" s="652"/>
      <c r="J522" s="355" t="str">
        <f t="shared" si="28"/>
        <v/>
      </c>
    </row>
    <row r="523" spans="2:10" x14ac:dyDescent="0.25">
      <c r="B523" s="527"/>
      <c r="C523" s="764" t="str">
        <f t="shared" si="27"/>
        <v/>
      </c>
      <c r="D523" s="355"/>
      <c r="E523" s="355"/>
      <c r="F523" s="765"/>
      <c r="G523" s="766" t="str">
        <f>+IF(ISBLANK(F523),"",IF(J523="Yes",F523,F523*(1+Economics!$AK$29)))</f>
        <v/>
      </c>
      <c r="I523" s="652"/>
      <c r="J523" s="355" t="str">
        <f t="shared" si="28"/>
        <v/>
      </c>
    </row>
    <row r="524" spans="2:10" x14ac:dyDescent="0.25">
      <c r="B524" s="527"/>
      <c r="C524" s="764" t="str">
        <f t="shared" si="27"/>
        <v/>
      </c>
      <c r="D524" s="355"/>
      <c r="E524" s="355"/>
      <c r="F524" s="765"/>
      <c r="G524" s="766" t="str">
        <f>+IF(ISBLANK(F524),"",IF(J524="Yes",F524,F524*(1+Economics!$AK$29)))</f>
        <v/>
      </c>
      <c r="I524" s="652"/>
      <c r="J524" s="355" t="str">
        <f t="shared" si="28"/>
        <v/>
      </c>
    </row>
    <row r="525" spans="2:10" x14ac:dyDescent="0.25">
      <c r="B525" s="527"/>
      <c r="C525" s="764" t="str">
        <f t="shared" si="27"/>
        <v/>
      </c>
      <c r="D525" s="355"/>
      <c r="E525" s="355"/>
      <c r="F525" s="765"/>
      <c r="G525" s="766" t="str">
        <f>+IF(ISBLANK(F525),"",IF(J525="Yes",F525,F525*(1+Economics!$AK$29)))</f>
        <v/>
      </c>
      <c r="I525" s="652"/>
      <c r="J525" s="355" t="str">
        <f t="shared" si="28"/>
        <v/>
      </c>
    </row>
    <row r="526" spans="2:10" x14ac:dyDescent="0.25">
      <c r="B526" s="527"/>
      <c r="C526" s="764" t="str">
        <f t="shared" si="27"/>
        <v/>
      </c>
      <c r="D526" s="355"/>
      <c r="E526" s="355"/>
      <c r="F526" s="765"/>
      <c r="G526" s="766" t="str">
        <f>+IF(ISBLANK(F526),"",IF(J526="Yes",F526,F526*(1+Economics!$AK$29)))</f>
        <v/>
      </c>
      <c r="I526" s="652"/>
      <c r="J526" s="355" t="str">
        <f t="shared" si="28"/>
        <v/>
      </c>
    </row>
    <row r="527" spans="2:10" x14ac:dyDescent="0.25">
      <c r="B527" s="527"/>
      <c r="C527" s="764" t="str">
        <f t="shared" si="27"/>
        <v/>
      </c>
      <c r="D527" s="355"/>
      <c r="E527" s="355"/>
      <c r="F527" s="765"/>
      <c r="G527" s="766" t="str">
        <f>+IF(ISBLANK(F527),"",IF(J527="Yes",F527,F527*(1+Economics!$AK$29)))</f>
        <v/>
      </c>
      <c r="I527" s="652"/>
      <c r="J527" s="355" t="str">
        <f t="shared" si="28"/>
        <v/>
      </c>
    </row>
    <row r="528" spans="2:10" x14ac:dyDescent="0.25">
      <c r="B528" s="527"/>
      <c r="C528" s="764" t="str">
        <f t="shared" ref="C528" si="29">+IF(ISBLANK(B528),"",IFERROR(INDEX($T$3:$T$7,MATCH(B528,$S$3:$S$7,0)),""))</f>
        <v/>
      </c>
      <c r="D528" s="355"/>
      <c r="E528" s="355"/>
      <c r="F528" s="765"/>
      <c r="G528" s="766" t="str">
        <f>+IF(ISBLANK(F528),"",IF(J528="Yes",F528,F528*(1+Economics!$AK$29)))</f>
        <v/>
      </c>
      <c r="I528" s="652"/>
      <c r="J528" s="355" t="str">
        <f t="shared" si="28"/>
        <v/>
      </c>
    </row>
    <row r="529" spans="2:10" x14ac:dyDescent="0.25">
      <c r="B529" s="527"/>
      <c r="C529" s="764" t="str">
        <f t="shared" si="27"/>
        <v/>
      </c>
      <c r="D529" s="355"/>
      <c r="E529" s="355"/>
      <c r="F529" s="765"/>
      <c r="G529" s="766" t="str">
        <f>+IF(ISBLANK(F529),"",IF(J529="Yes",F529,F529*(1+Economics!$AK$29)))</f>
        <v/>
      </c>
      <c r="I529" s="652"/>
      <c r="J529" s="355" t="str">
        <f t="shared" si="28"/>
        <v/>
      </c>
    </row>
    <row r="530" spans="2:10" x14ac:dyDescent="0.25">
      <c r="B530" s="527"/>
      <c r="C530" s="764" t="str">
        <f t="shared" si="27"/>
        <v/>
      </c>
      <c r="D530" s="355"/>
      <c r="E530" s="355"/>
      <c r="F530" s="765"/>
      <c r="G530" s="766" t="str">
        <f>+IF(ISBLANK(F530),"",IF(J530="Yes",F530,F530*(1+Economics!$AK$29)))</f>
        <v/>
      </c>
      <c r="I530" s="652"/>
      <c r="J530" s="355" t="str">
        <f t="shared" si="28"/>
        <v/>
      </c>
    </row>
    <row r="531" spans="2:10" x14ac:dyDescent="0.25">
      <c r="E531" s="355"/>
    </row>
    <row r="532" spans="2:10" x14ac:dyDescent="0.25">
      <c r="E532" s="355"/>
    </row>
    <row r="533" spans="2:10" x14ac:dyDescent="0.25">
      <c r="E533" s="355"/>
    </row>
    <row r="534" spans="2:10" x14ac:dyDescent="0.25">
      <c r="E534" s="355"/>
    </row>
    <row r="535" spans="2:10" x14ac:dyDescent="0.25">
      <c r="E535" s="355"/>
    </row>
    <row r="536" spans="2:10" x14ac:dyDescent="0.25">
      <c r="E536" s="355"/>
    </row>
    <row r="537" spans="2:10" x14ac:dyDescent="0.25">
      <c r="E537" s="355"/>
    </row>
    <row r="538" spans="2:10" x14ac:dyDescent="0.25">
      <c r="E538" s="355"/>
    </row>
    <row r="539" spans="2:10" x14ac:dyDescent="0.25">
      <c r="E539" s="355"/>
    </row>
    <row r="540" spans="2:10" x14ac:dyDescent="0.25">
      <c r="E540" s="355"/>
    </row>
    <row r="541" spans="2:10" x14ac:dyDescent="0.25">
      <c r="E541" s="355"/>
    </row>
    <row r="542" spans="2:10" x14ac:dyDescent="0.25">
      <c r="E542" s="355"/>
    </row>
    <row r="543" spans="2:10" x14ac:dyDescent="0.25">
      <c r="E543" s="355"/>
    </row>
    <row r="544" spans="2:10" x14ac:dyDescent="0.25">
      <c r="E544" s="355"/>
    </row>
    <row r="545" spans="5:5" x14ac:dyDescent="0.25">
      <c r="E545" s="355"/>
    </row>
    <row r="546" spans="5:5" x14ac:dyDescent="0.25">
      <c r="E546" s="355"/>
    </row>
    <row r="547" spans="5:5" x14ac:dyDescent="0.25">
      <c r="E547" s="355"/>
    </row>
    <row r="548" spans="5:5" x14ac:dyDescent="0.25">
      <c r="E548" s="355"/>
    </row>
    <row r="549" spans="5:5" x14ac:dyDescent="0.25">
      <c r="E549" s="355"/>
    </row>
    <row r="550" spans="5:5" x14ac:dyDescent="0.25">
      <c r="E550" s="355"/>
    </row>
    <row r="551" spans="5:5" x14ac:dyDescent="0.25">
      <c r="E551" s="355"/>
    </row>
    <row r="552" spans="5:5" x14ac:dyDescent="0.25">
      <c r="E552" s="355"/>
    </row>
    <row r="553" spans="5:5" x14ac:dyDescent="0.25">
      <c r="E553" s="355"/>
    </row>
    <row r="554" spans="5:5" x14ac:dyDescent="0.25">
      <c r="E554" s="355"/>
    </row>
    <row r="555" spans="5:5" x14ac:dyDescent="0.25">
      <c r="E555" s="355"/>
    </row>
    <row r="556" spans="5:5" x14ac:dyDescent="0.25">
      <c r="E556" s="355"/>
    </row>
    <row r="557" spans="5:5" x14ac:dyDescent="0.25">
      <c r="E557" s="355"/>
    </row>
    <row r="558" spans="5:5" x14ac:dyDescent="0.25">
      <c r="E558" s="355"/>
    </row>
    <row r="559" spans="5:5" x14ac:dyDescent="0.25">
      <c r="E559" s="355"/>
    </row>
    <row r="560" spans="5:5" x14ac:dyDescent="0.25">
      <c r="E560" s="355"/>
    </row>
    <row r="561" spans="5:5" x14ac:dyDescent="0.25">
      <c r="E561" s="355"/>
    </row>
    <row r="562" spans="5:5" x14ac:dyDescent="0.25">
      <c r="E562" s="355"/>
    </row>
    <row r="563" spans="5:5" x14ac:dyDescent="0.25">
      <c r="E563" s="355"/>
    </row>
    <row r="564" spans="5:5" x14ac:dyDescent="0.25">
      <c r="E564" s="355"/>
    </row>
    <row r="565" spans="5:5" x14ac:dyDescent="0.25">
      <c r="E565" s="355"/>
    </row>
    <row r="566" spans="5:5" x14ac:dyDescent="0.25">
      <c r="E566" s="355"/>
    </row>
    <row r="567" spans="5:5" x14ac:dyDescent="0.25">
      <c r="E567" s="355"/>
    </row>
    <row r="568" spans="5:5" x14ac:dyDescent="0.25">
      <c r="E568" s="355"/>
    </row>
    <row r="569" spans="5:5" x14ac:dyDescent="0.25">
      <c r="E569" s="355"/>
    </row>
    <row r="570" spans="5:5" x14ac:dyDescent="0.25">
      <c r="E570" s="355"/>
    </row>
    <row r="571" spans="5:5" x14ac:dyDescent="0.25">
      <c r="E571" s="355"/>
    </row>
    <row r="572" spans="5:5" x14ac:dyDescent="0.25">
      <c r="E572" s="355"/>
    </row>
    <row r="573" spans="5:5" x14ac:dyDescent="0.25">
      <c r="E573" s="355"/>
    </row>
    <row r="574" spans="5:5" x14ac:dyDescent="0.25">
      <c r="E574" s="355"/>
    </row>
    <row r="575" spans="5:5" x14ac:dyDescent="0.25">
      <c r="E575" s="355"/>
    </row>
    <row r="576" spans="5:5" x14ac:dyDescent="0.25">
      <c r="E576" s="355"/>
    </row>
    <row r="577" spans="5:5" x14ac:dyDescent="0.25">
      <c r="E577" s="355"/>
    </row>
    <row r="578" spans="5:5" x14ac:dyDescent="0.25">
      <c r="E578" s="355"/>
    </row>
    <row r="579" spans="5:5" x14ac:dyDescent="0.25">
      <c r="E579" s="355"/>
    </row>
    <row r="580" spans="5:5" x14ac:dyDescent="0.25">
      <c r="E580" s="355"/>
    </row>
    <row r="581" spans="5:5" x14ac:dyDescent="0.25">
      <c r="E581" s="355"/>
    </row>
    <row r="582" spans="5:5" x14ac:dyDescent="0.25">
      <c r="E582" s="355"/>
    </row>
    <row r="583" spans="5:5" x14ac:dyDescent="0.25">
      <c r="E583" s="355"/>
    </row>
    <row r="584" spans="5:5" x14ac:dyDescent="0.25">
      <c r="E584" s="355"/>
    </row>
  </sheetData>
  <autoFilter ref="C29:X251" xr:uid="{50B86594-838D-41B0-9B78-CD4FB36E5C5C}"/>
  <mergeCells count="3">
    <mergeCell ref="C28:H28"/>
    <mergeCell ref="I28:L28"/>
    <mergeCell ref="M28:X28"/>
  </mergeCells>
  <dataValidations count="2">
    <dataValidation type="list" allowBlank="1" showInputMessage="1" showErrorMessage="1" sqref="I74:I584 E30:E584" xr:uid="{E46BD948-7DFB-41A1-A92E-D3DCF35F4B6A}">
      <formula1>"Yes, No"</formula1>
    </dataValidation>
    <dataValidation type="list" allowBlank="1" showInputMessage="1" showErrorMessage="1" sqref="I30:I73" xr:uid="{863664B5-5618-46AF-B13C-CF102F79356D}">
      <formula1>"Yes,No"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C56F-9778-472E-BB6D-60AC1BF497DD}">
  <dimension ref="B1:N22"/>
  <sheetViews>
    <sheetView showGridLines="0" workbookViewId="0"/>
  </sheetViews>
  <sheetFormatPr defaultRowHeight="15" x14ac:dyDescent="0.25"/>
  <cols>
    <col min="2" max="2" width="11.5703125" bestFit="1" customWidth="1"/>
    <col min="3" max="3" width="13.140625" bestFit="1" customWidth="1"/>
    <col min="4" max="6" width="12.7109375" customWidth="1"/>
    <col min="8" max="8" width="15.140625" bestFit="1" customWidth="1"/>
    <col min="9" max="9" width="12.7109375" customWidth="1"/>
    <col min="11" max="11" width="3.7109375" customWidth="1"/>
    <col min="12" max="12" width="15.140625" bestFit="1" customWidth="1"/>
    <col min="13" max="13" width="12.7109375" customWidth="1"/>
  </cols>
  <sheetData>
    <row r="1" spans="2:6" ht="15.75" thickBot="1" x14ac:dyDescent="0.3"/>
    <row r="2" spans="2:6" x14ac:dyDescent="0.25">
      <c r="B2" s="1070" t="s">
        <v>578</v>
      </c>
      <c r="C2" s="1070" t="s">
        <v>469</v>
      </c>
      <c r="D2" s="1071" t="s">
        <v>579</v>
      </c>
      <c r="E2" s="1071" t="s">
        <v>580</v>
      </c>
      <c r="F2" s="1072" t="s">
        <v>460</v>
      </c>
    </row>
    <row r="3" spans="2:6" x14ac:dyDescent="0.25">
      <c r="B3" s="1073">
        <v>1</v>
      </c>
      <c r="C3" s="1074">
        <v>45566</v>
      </c>
      <c r="D3" s="1089"/>
      <c r="E3" s="1089"/>
      <c r="F3" s="1093"/>
    </row>
    <row r="4" spans="2:6" x14ac:dyDescent="0.25">
      <c r="B4" s="1077">
        <f>B3+1</f>
        <v>2</v>
      </c>
      <c r="C4" s="1078">
        <f>EDATE(C3,1)</f>
        <v>45597</v>
      </c>
      <c r="D4" s="1096"/>
      <c r="E4" s="1096"/>
      <c r="F4" s="1097"/>
    </row>
    <row r="5" spans="2:6" x14ac:dyDescent="0.25">
      <c r="B5" s="1077">
        <f>B4+1</f>
        <v>3</v>
      </c>
      <c r="C5" s="1078">
        <f>EDATE(C4,1)</f>
        <v>45627</v>
      </c>
      <c r="D5" s="1096"/>
      <c r="E5" s="1096"/>
      <c r="F5" s="1097"/>
    </row>
    <row r="6" spans="2:6" x14ac:dyDescent="0.25">
      <c r="B6" s="1077">
        <f t="shared" ref="B6:B16" si="0">B5+1</f>
        <v>4</v>
      </c>
      <c r="C6" s="1078">
        <f t="shared" ref="C6:C16" si="1">EDATE(C5,1)</f>
        <v>45658</v>
      </c>
      <c r="D6" s="1096"/>
      <c r="E6" s="1096"/>
      <c r="F6" s="1097"/>
    </row>
    <row r="7" spans="2:6" x14ac:dyDescent="0.25">
      <c r="B7" s="1077">
        <f t="shared" si="0"/>
        <v>5</v>
      </c>
      <c r="C7" s="1078">
        <f t="shared" si="1"/>
        <v>45689</v>
      </c>
      <c r="D7" s="1096"/>
      <c r="E7" s="1096"/>
      <c r="F7" s="1097"/>
    </row>
    <row r="8" spans="2:6" x14ac:dyDescent="0.25">
      <c r="B8" s="1077">
        <f t="shared" si="0"/>
        <v>6</v>
      </c>
      <c r="C8" s="1078">
        <f t="shared" si="1"/>
        <v>45717</v>
      </c>
      <c r="D8" s="1096"/>
      <c r="E8" s="1096"/>
      <c r="F8" s="1097"/>
    </row>
    <row r="9" spans="2:6" x14ac:dyDescent="0.25">
      <c r="B9" s="1077">
        <f t="shared" si="0"/>
        <v>7</v>
      </c>
      <c r="C9" s="1078">
        <f t="shared" si="1"/>
        <v>45748</v>
      </c>
      <c r="D9" s="1096"/>
      <c r="E9" s="1096"/>
      <c r="F9" s="1097"/>
    </row>
    <row r="10" spans="2:6" x14ac:dyDescent="0.25">
      <c r="B10" s="1077">
        <f t="shared" si="0"/>
        <v>8</v>
      </c>
      <c r="C10" s="1078">
        <f t="shared" si="1"/>
        <v>45778</v>
      </c>
      <c r="D10" s="1096"/>
      <c r="E10" s="1096"/>
      <c r="F10" s="1097"/>
    </row>
    <row r="11" spans="2:6" x14ac:dyDescent="0.25">
      <c r="B11" s="1077">
        <f t="shared" si="0"/>
        <v>9</v>
      </c>
      <c r="C11" s="1078">
        <f t="shared" si="1"/>
        <v>45809</v>
      </c>
      <c r="D11" s="1096"/>
      <c r="E11" s="1096"/>
      <c r="F11" s="1097"/>
    </row>
    <row r="12" spans="2:6" x14ac:dyDescent="0.25">
      <c r="B12" s="1077">
        <f t="shared" si="0"/>
        <v>10</v>
      </c>
      <c r="C12" s="1078">
        <f t="shared" si="1"/>
        <v>45839</v>
      </c>
      <c r="D12" s="1096"/>
      <c r="E12" s="1096"/>
      <c r="F12" s="1097"/>
    </row>
    <row r="13" spans="2:6" x14ac:dyDescent="0.25">
      <c r="B13" s="1077">
        <f t="shared" si="0"/>
        <v>11</v>
      </c>
      <c r="C13" s="1078">
        <f t="shared" si="1"/>
        <v>45870</v>
      </c>
      <c r="D13" s="1096"/>
      <c r="E13" s="1096"/>
      <c r="F13" s="1097"/>
    </row>
    <row r="14" spans="2:6" x14ac:dyDescent="0.25">
      <c r="B14" s="1077">
        <f t="shared" si="0"/>
        <v>12</v>
      </c>
      <c r="C14" s="1078">
        <f t="shared" si="1"/>
        <v>45901</v>
      </c>
      <c r="D14" s="1096"/>
      <c r="E14" s="1096"/>
      <c r="F14" s="1097"/>
    </row>
    <row r="15" spans="2:6" x14ac:dyDescent="0.25">
      <c r="B15" s="1077">
        <f t="shared" si="0"/>
        <v>13</v>
      </c>
      <c r="C15" s="1078">
        <f t="shared" si="1"/>
        <v>45931</v>
      </c>
      <c r="D15" s="1096"/>
      <c r="E15" s="1096"/>
      <c r="F15" s="1097"/>
    </row>
    <row r="16" spans="2:6" x14ac:dyDescent="0.25">
      <c r="B16" s="1075">
        <f t="shared" si="0"/>
        <v>14</v>
      </c>
      <c r="C16" s="1076">
        <f t="shared" si="1"/>
        <v>45962</v>
      </c>
      <c r="D16" s="1094"/>
      <c r="E16" s="1094"/>
      <c r="F16" s="1095"/>
    </row>
    <row r="17" spans="2:14" x14ac:dyDescent="0.25">
      <c r="B17" s="1079" t="s">
        <v>63</v>
      </c>
      <c r="C17" s="1079"/>
      <c r="D17" s="1080">
        <f>SUM(D3:D16)</f>
        <v>0</v>
      </c>
      <c r="E17" s="1080">
        <f>SUM(E3:E16)</f>
        <v>0</v>
      </c>
      <c r="F17" s="1081">
        <f>SUM(F3:F16)</f>
        <v>0</v>
      </c>
    </row>
    <row r="18" spans="2:14" ht="15.75" thickBot="1" x14ac:dyDescent="0.3">
      <c r="B18" s="1082" t="s">
        <v>581</v>
      </c>
      <c r="C18" s="1082"/>
      <c r="D18" s="1083" t="str">
        <f>IFERROR(AVERAGE(D3:D16),"")</f>
        <v/>
      </c>
      <c r="E18" s="1083" t="str">
        <f>IFERROR(AVERAGE(E3:E16),"")</f>
        <v/>
      </c>
      <c r="F18" s="1084" t="str">
        <f t="shared" ref="F18" si="2">IFERROR(AVERAGE(F3:F16),"")</f>
        <v/>
      </c>
      <c r="H18" s="1088" t="s">
        <v>586</v>
      </c>
      <c r="I18" s="1088" t="s">
        <v>584</v>
      </c>
      <c r="J18" s="1088" t="s">
        <v>585</v>
      </c>
      <c r="L18" s="1088" t="s">
        <v>587</v>
      </c>
      <c r="M18" s="1088" t="s">
        <v>584</v>
      </c>
      <c r="N18" s="1088" t="s">
        <v>585</v>
      </c>
    </row>
    <row r="19" spans="2:14" ht="16.5" thickTop="1" thickBot="1" x14ac:dyDescent="0.3">
      <c r="B19" s="1085" t="s">
        <v>582</v>
      </c>
      <c r="C19" s="1085"/>
      <c r="D19" s="1086" cm="1">
        <f t="array" ref="D19">SUMIFS(D3:D16, $C$3:$C$16, "&gt;" &amp; EOMONTH(MAX(IF(D3:D16&lt;&gt;"", $C$3:$C$16)), -12), $C$3:$C$16, "&lt;=" &amp; MAX(IF(D3:D16&lt;&gt;"", $C$3:$C$16)))</f>
        <v>0</v>
      </c>
      <c r="E19" s="1086" cm="1">
        <f t="array" ref="E19">SUMIFS(E3:E16, $C$3:$C$16, "&gt;" &amp; EOMONTH(MAX(IF(E3:E16&lt;&gt;"", $C$3:$C$16)), -12), $C$3:$C$16, "&lt;=" &amp; MAX(IF(E3:E16&lt;&gt;"", $C$3:$C$16)))</f>
        <v>0</v>
      </c>
      <c r="F19" s="1087" cm="1">
        <f t="array" ref="F19">SUMIFS(F3:F16, $C$3:$C$16, "&gt;" &amp; EOMONTH(MAX(IF(F3:F16&lt;&gt;"", $C$3:$C$16)), -12), $C$3:$C$16, "&lt;=" &amp; MAX(IF(F3:F16&lt;&gt;"", $C$3:$C$16)))</f>
        <v>0</v>
      </c>
      <c r="H19" s="1089">
        <v>0</v>
      </c>
      <c r="I19" s="1090">
        <f>D21-H19</f>
        <v>0</v>
      </c>
      <c r="J19" s="1091" t="str">
        <f>IFERROR(I19/H19,"N/A")</f>
        <v>N/A</v>
      </c>
      <c r="L19" s="1089"/>
      <c r="M19" s="1090">
        <f>D21-L19</f>
        <v>0</v>
      </c>
      <c r="N19" s="1091" t="str">
        <f>IFERROR(M19/L19,"N/A")</f>
        <v>N/A</v>
      </c>
    </row>
    <row r="21" spans="2:14" ht="15.75" thickBot="1" x14ac:dyDescent="0.3">
      <c r="C21" s="1064" t="s">
        <v>583</v>
      </c>
      <c r="D21" s="1092">
        <f>SUM(D19:F19)</f>
        <v>0</v>
      </c>
    </row>
    <row r="22" spans="2:14" ht="15.75" thickTop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C3B1-AE1E-43F1-9AA1-029E5BB0C63C}">
  <dimension ref="A2:XFC96"/>
  <sheetViews>
    <sheetView showGridLines="0" zoomScaleNormal="100" workbookViewId="0">
      <pane xSplit="8" ySplit="5" topLeftCell="I6" activePane="bottomRight" state="frozen"/>
      <selection pane="topRight" activeCell="I1" sqref="I1"/>
      <selection pane="bottomLeft" activeCell="A6" sqref="A6"/>
      <selection pane="bottomRight"/>
    </sheetView>
  </sheetViews>
  <sheetFormatPr defaultColWidth="0" defaultRowHeight="15" outlineLevelRow="1" x14ac:dyDescent="0.25"/>
  <cols>
    <col min="1" max="1" width="9.140625" customWidth="1"/>
    <col min="2" max="2" width="41" bestFit="1" customWidth="1"/>
    <col min="3" max="3" width="14.28515625" bestFit="1" customWidth="1"/>
    <col min="4" max="6" width="14.28515625" customWidth="1"/>
    <col min="7" max="7" width="13.5703125" customWidth="1"/>
    <col min="8" max="8" width="89.42578125" customWidth="1"/>
    <col min="9" max="25" width="9.140625" hidden="1"/>
    <col min="27" max="16383" width="9.140625" hidden="1"/>
    <col min="16384" max="16384" width="11.85546875" hidden="1" customWidth="1"/>
  </cols>
  <sheetData>
    <row r="2" spans="2:26" ht="15.75" thickBot="1" x14ac:dyDescent="0.3">
      <c r="Z2" s="1047" t="s">
        <v>569</v>
      </c>
    </row>
    <row r="3" spans="2:26" ht="15.75" thickBot="1" x14ac:dyDescent="0.3">
      <c r="B3" s="1068" t="s">
        <v>576</v>
      </c>
      <c r="C3" s="1067" t="str">
        <f>IFERROR(Economics!I64*25%,"Complete Economics Tab")</f>
        <v>Complete Economics Tab</v>
      </c>
      <c r="D3" s="1062"/>
      <c r="E3" s="1062"/>
      <c r="F3" s="1062"/>
      <c r="Z3" s="1047" t="s">
        <v>558</v>
      </c>
    </row>
    <row r="4" spans="2:26" x14ac:dyDescent="0.25">
      <c r="Z4" s="1047" t="s">
        <v>568</v>
      </c>
    </row>
    <row r="5" spans="2:26" x14ac:dyDescent="0.25">
      <c r="B5" s="1065" t="s">
        <v>575</v>
      </c>
      <c r="C5" s="1066" t="s">
        <v>574</v>
      </c>
      <c r="D5" s="1066" t="s">
        <v>573</v>
      </c>
      <c r="E5" s="1066" t="s">
        <v>572</v>
      </c>
      <c r="F5" s="1066" t="s">
        <v>28</v>
      </c>
      <c r="G5" s="1066" t="s">
        <v>571</v>
      </c>
      <c r="H5" s="1066" t="s">
        <v>392</v>
      </c>
    </row>
    <row r="6" spans="2:26" x14ac:dyDescent="0.25">
      <c r="B6" s="1065"/>
    </row>
    <row r="7" spans="2:26" x14ac:dyDescent="0.25">
      <c r="B7" s="1064" t="s">
        <v>570</v>
      </c>
    </row>
    <row r="8" spans="2:26" x14ac:dyDescent="0.25">
      <c r="B8" s="1060" t="s">
        <v>561</v>
      </c>
    </row>
    <row r="9" spans="2:26" x14ac:dyDescent="0.25">
      <c r="B9" s="1059" t="s">
        <v>577</v>
      </c>
      <c r="C9" s="1063">
        <v>0</v>
      </c>
      <c r="D9" s="1063">
        <v>0</v>
      </c>
      <c r="E9" s="1057">
        <v>1</v>
      </c>
      <c r="F9" s="1062">
        <f>IF(G9="Unverified",0,(C9-D9)*E9)</f>
        <v>0</v>
      </c>
      <c r="G9" s="1061" t="s">
        <v>558</v>
      </c>
    </row>
    <row r="10" spans="2:26" x14ac:dyDescent="0.25">
      <c r="B10" s="1059" t="s">
        <v>577</v>
      </c>
      <c r="C10" s="1058">
        <v>0</v>
      </c>
      <c r="D10" s="1058">
        <v>0</v>
      </c>
      <c r="E10" s="1057">
        <v>1</v>
      </c>
      <c r="F10" s="1056">
        <f>IF(G10="Unverified",0,(C10-D10)*E10)</f>
        <v>0</v>
      </c>
      <c r="G10" s="1061" t="s">
        <v>558</v>
      </c>
    </row>
    <row r="11" spans="2:26" x14ac:dyDescent="0.25">
      <c r="B11" s="1059" t="s">
        <v>577</v>
      </c>
      <c r="C11" s="1058">
        <v>0</v>
      </c>
      <c r="D11" s="1058">
        <v>0</v>
      </c>
      <c r="E11" s="1057">
        <v>1</v>
      </c>
      <c r="F11" s="1056">
        <f>IF(G11="Unverified",0,(C11-D11)*E11)</f>
        <v>0</v>
      </c>
      <c r="G11" s="1061" t="s">
        <v>558</v>
      </c>
    </row>
    <row r="12" spans="2:26" x14ac:dyDescent="0.25">
      <c r="B12" s="1060"/>
      <c r="C12" s="1056"/>
      <c r="D12" s="1056"/>
      <c r="E12" s="1056"/>
      <c r="F12" s="1056"/>
      <c r="G12" s="1047"/>
    </row>
    <row r="13" spans="2:26" x14ac:dyDescent="0.25">
      <c r="B13" s="1060" t="s">
        <v>560</v>
      </c>
      <c r="C13" s="1056"/>
      <c r="D13" s="1056"/>
      <c r="E13" s="1056"/>
      <c r="F13" s="1056"/>
      <c r="G13" s="1047"/>
    </row>
    <row r="14" spans="2:26" x14ac:dyDescent="0.25">
      <c r="B14" s="1059" t="s">
        <v>559</v>
      </c>
      <c r="C14" s="1063">
        <v>0</v>
      </c>
      <c r="D14" s="1063"/>
      <c r="E14" s="1057">
        <v>1</v>
      </c>
      <c r="F14" s="1062">
        <f>IF(G14="Unverified",0,(C14-D14)*E14)</f>
        <v>0</v>
      </c>
      <c r="G14" s="1061" t="s">
        <v>558</v>
      </c>
    </row>
    <row r="15" spans="2:26" x14ac:dyDescent="0.25">
      <c r="B15" s="1059" t="s">
        <v>559</v>
      </c>
      <c r="C15" s="1058">
        <v>0</v>
      </c>
      <c r="D15" s="1058">
        <v>0</v>
      </c>
      <c r="E15" s="1057">
        <v>1</v>
      </c>
      <c r="F15" s="1062">
        <f>IF(G15="Unverified",0,(C15-D15)*E15)</f>
        <v>0</v>
      </c>
      <c r="G15" s="1061" t="s">
        <v>558</v>
      </c>
    </row>
    <row r="16" spans="2:26" x14ac:dyDescent="0.25">
      <c r="B16" s="1059" t="s">
        <v>559</v>
      </c>
      <c r="C16" s="1058">
        <v>0</v>
      </c>
      <c r="D16" s="1058">
        <v>0</v>
      </c>
      <c r="E16" s="1057">
        <v>1</v>
      </c>
      <c r="F16" s="1062">
        <f>IF(G16="Unverified",0,(C16-D16)*E16)</f>
        <v>0</v>
      </c>
      <c r="G16" s="1061" t="s">
        <v>558</v>
      </c>
    </row>
    <row r="17" spans="2:14" x14ac:dyDescent="0.25">
      <c r="B17" s="1059"/>
      <c r="C17" s="1059"/>
      <c r="D17" s="1059"/>
      <c r="E17" s="1059"/>
      <c r="F17" s="1059"/>
      <c r="G17" s="1059"/>
      <c r="H17" s="1059"/>
      <c r="I17" s="1059"/>
      <c r="J17" s="1059"/>
      <c r="K17" s="1059"/>
      <c r="L17" s="1059"/>
      <c r="M17" s="1059"/>
      <c r="N17" s="1059"/>
    </row>
    <row r="18" spans="2:14" hidden="1" outlineLevel="1" x14ac:dyDescent="0.25">
      <c r="B18" s="1059"/>
      <c r="C18" s="1059"/>
      <c r="D18" s="1059"/>
      <c r="E18" s="1059"/>
      <c r="F18" s="1059"/>
      <c r="G18" s="1059"/>
      <c r="H18" s="1059"/>
      <c r="I18" s="1059"/>
      <c r="J18" s="1059"/>
      <c r="K18" s="1059"/>
      <c r="L18" s="1059"/>
      <c r="M18" s="1059"/>
      <c r="N18" s="1059"/>
    </row>
    <row r="19" spans="2:14" hidden="1" outlineLevel="1" x14ac:dyDescent="0.25">
      <c r="B19" s="1064" t="s">
        <v>567</v>
      </c>
    </row>
    <row r="20" spans="2:14" hidden="1" outlineLevel="1" x14ac:dyDescent="0.25">
      <c r="B20" s="1060" t="s">
        <v>561</v>
      </c>
    </row>
    <row r="21" spans="2:14" hidden="1" outlineLevel="1" x14ac:dyDescent="0.25">
      <c r="B21" s="1059" t="s">
        <v>577</v>
      </c>
      <c r="C21" s="1063">
        <v>0</v>
      </c>
      <c r="D21" s="1063">
        <v>0</v>
      </c>
      <c r="E21" s="1057">
        <v>1</v>
      </c>
      <c r="F21" s="1062">
        <f>IF(G21="Unverified",0,(C21-D21)*E21)</f>
        <v>0</v>
      </c>
      <c r="G21" s="1061" t="s">
        <v>558</v>
      </c>
    </row>
    <row r="22" spans="2:14" hidden="1" outlineLevel="1" x14ac:dyDescent="0.25">
      <c r="B22" s="1059" t="s">
        <v>577</v>
      </c>
      <c r="C22" s="1058">
        <v>0</v>
      </c>
      <c r="D22" s="1058">
        <v>0</v>
      </c>
      <c r="E22" s="1057">
        <v>1</v>
      </c>
      <c r="F22" s="1056">
        <f>IF(G22="Unverified",0,(C22-D22)*E22)</f>
        <v>0</v>
      </c>
      <c r="G22" s="1061" t="s">
        <v>558</v>
      </c>
    </row>
    <row r="23" spans="2:14" hidden="1" outlineLevel="1" x14ac:dyDescent="0.25">
      <c r="B23" s="1059" t="s">
        <v>577</v>
      </c>
      <c r="C23" s="1058">
        <v>0</v>
      </c>
      <c r="D23" s="1058">
        <v>0</v>
      </c>
      <c r="E23" s="1057">
        <v>1</v>
      </c>
      <c r="F23" s="1056">
        <f>IF(G23="Unverified",0,(C23-D23)*E23)</f>
        <v>0</v>
      </c>
      <c r="G23" s="1061" t="s">
        <v>558</v>
      </c>
    </row>
    <row r="24" spans="2:14" hidden="1" outlineLevel="1" x14ac:dyDescent="0.25">
      <c r="B24" s="1060"/>
      <c r="C24" s="1056"/>
      <c r="D24" s="1056"/>
      <c r="E24" s="1056"/>
      <c r="F24" s="1056"/>
      <c r="G24" s="1047"/>
    </row>
    <row r="25" spans="2:14" hidden="1" outlineLevel="1" x14ac:dyDescent="0.25">
      <c r="B25" s="1060" t="s">
        <v>560</v>
      </c>
      <c r="C25" s="1056"/>
      <c r="D25" s="1056"/>
      <c r="E25" s="1056"/>
      <c r="F25" s="1056"/>
      <c r="G25" s="1047"/>
    </row>
    <row r="26" spans="2:14" hidden="1" outlineLevel="1" x14ac:dyDescent="0.25">
      <c r="B26" s="1059" t="s">
        <v>559</v>
      </c>
      <c r="C26" s="1063">
        <v>0</v>
      </c>
      <c r="D26" s="1063">
        <v>0</v>
      </c>
      <c r="E26" s="1057">
        <v>1</v>
      </c>
      <c r="F26" s="1062">
        <f>IF(G26="Unverified",0,(C26-D26)*E26)</f>
        <v>0</v>
      </c>
      <c r="G26" s="1061" t="s">
        <v>558</v>
      </c>
    </row>
    <row r="27" spans="2:14" hidden="1" outlineLevel="1" x14ac:dyDescent="0.25">
      <c r="B27" s="1059" t="s">
        <v>559</v>
      </c>
      <c r="C27" s="1058">
        <v>0</v>
      </c>
      <c r="D27" s="1058">
        <v>0</v>
      </c>
      <c r="E27" s="1057">
        <v>1</v>
      </c>
      <c r="F27" s="1062">
        <f>IF(G27="Unverified",0,(C27-D27)*E27)</f>
        <v>0</v>
      </c>
      <c r="G27" s="1061" t="s">
        <v>558</v>
      </c>
    </row>
    <row r="28" spans="2:14" hidden="1" outlineLevel="1" x14ac:dyDescent="0.25">
      <c r="B28" s="1059" t="s">
        <v>559</v>
      </c>
      <c r="C28" s="1058">
        <v>0</v>
      </c>
      <c r="D28" s="1058">
        <v>0</v>
      </c>
      <c r="E28" s="1057">
        <v>1</v>
      </c>
      <c r="F28" s="1062">
        <f>IF(G28="Unverified",0,(C28-D28)*E28)</f>
        <v>0</v>
      </c>
      <c r="G28" s="1061" t="s">
        <v>558</v>
      </c>
    </row>
    <row r="29" spans="2:14" hidden="1" outlineLevel="1" x14ac:dyDescent="0.25">
      <c r="B29" s="1059"/>
      <c r="C29" s="1058"/>
      <c r="D29" s="1058"/>
      <c r="E29" s="1057"/>
      <c r="F29" s="1056"/>
      <c r="G29" s="1056"/>
    </row>
    <row r="30" spans="2:14" hidden="1" outlineLevel="1" x14ac:dyDescent="0.25">
      <c r="B30" s="1059"/>
      <c r="C30" s="1058"/>
      <c r="D30" s="1058"/>
      <c r="E30" s="1057"/>
      <c r="F30" s="1056"/>
      <c r="G30" s="1056"/>
    </row>
    <row r="31" spans="2:14" hidden="1" outlineLevel="1" x14ac:dyDescent="0.25">
      <c r="B31" s="1064" t="s">
        <v>566</v>
      </c>
    </row>
    <row r="32" spans="2:14" hidden="1" outlineLevel="1" x14ac:dyDescent="0.25">
      <c r="B32" s="1060" t="s">
        <v>561</v>
      </c>
    </row>
    <row r="33" spans="2:7" hidden="1" outlineLevel="1" x14ac:dyDescent="0.25">
      <c r="B33" s="1059" t="s">
        <v>577</v>
      </c>
      <c r="C33" s="1063">
        <v>0</v>
      </c>
      <c r="D33" s="1063">
        <v>0</v>
      </c>
      <c r="E33" s="1057">
        <v>1</v>
      </c>
      <c r="F33" s="1062">
        <f>IF(G33="Unverified",0,(C33-D33)*E33)</f>
        <v>0</v>
      </c>
      <c r="G33" s="1061" t="s">
        <v>558</v>
      </c>
    </row>
    <row r="34" spans="2:7" hidden="1" outlineLevel="1" x14ac:dyDescent="0.25">
      <c r="B34" s="1059" t="s">
        <v>577</v>
      </c>
      <c r="C34" s="1058">
        <v>0</v>
      </c>
      <c r="D34" s="1058">
        <v>0</v>
      </c>
      <c r="E34" s="1057">
        <v>1</v>
      </c>
      <c r="F34" s="1056">
        <f>IF(G34="Unverified",0,(C34-D34)*E34)</f>
        <v>0</v>
      </c>
      <c r="G34" s="1061" t="s">
        <v>558</v>
      </c>
    </row>
    <row r="35" spans="2:7" hidden="1" outlineLevel="1" x14ac:dyDescent="0.25">
      <c r="B35" s="1059" t="s">
        <v>577</v>
      </c>
      <c r="C35" s="1058">
        <v>0</v>
      </c>
      <c r="D35" s="1058">
        <v>0</v>
      </c>
      <c r="E35" s="1057">
        <v>1</v>
      </c>
      <c r="F35" s="1056">
        <f>IF(G35="Unverified",0,(C35-D35)*E35)</f>
        <v>0</v>
      </c>
      <c r="G35" s="1061" t="s">
        <v>558</v>
      </c>
    </row>
    <row r="36" spans="2:7" hidden="1" outlineLevel="1" x14ac:dyDescent="0.25">
      <c r="B36" s="1060"/>
      <c r="C36" s="1056"/>
      <c r="D36" s="1056"/>
      <c r="E36" s="1056"/>
      <c r="F36" s="1056"/>
      <c r="G36" s="1047"/>
    </row>
    <row r="37" spans="2:7" hidden="1" outlineLevel="1" x14ac:dyDescent="0.25">
      <c r="B37" s="1060" t="s">
        <v>560</v>
      </c>
      <c r="C37" s="1056"/>
      <c r="D37" s="1056"/>
      <c r="E37" s="1056"/>
      <c r="F37" s="1056"/>
      <c r="G37" s="1047"/>
    </row>
    <row r="38" spans="2:7" hidden="1" outlineLevel="1" x14ac:dyDescent="0.25">
      <c r="B38" s="1059" t="s">
        <v>559</v>
      </c>
      <c r="C38" s="1063">
        <v>0</v>
      </c>
      <c r="D38" s="1063">
        <v>0</v>
      </c>
      <c r="E38" s="1057">
        <v>1</v>
      </c>
      <c r="F38" s="1062">
        <f>IF(G38="Unverified",0,(C38-D38)*E38)</f>
        <v>0</v>
      </c>
      <c r="G38" s="1061" t="s">
        <v>558</v>
      </c>
    </row>
    <row r="39" spans="2:7" hidden="1" outlineLevel="1" x14ac:dyDescent="0.25">
      <c r="B39" s="1059" t="s">
        <v>559</v>
      </c>
      <c r="C39" s="1058">
        <v>0</v>
      </c>
      <c r="D39" s="1058">
        <v>0</v>
      </c>
      <c r="E39" s="1057">
        <v>1</v>
      </c>
      <c r="F39" s="1062">
        <f>IF(G39="Unverified",0,(C39-D39)*E39)</f>
        <v>0</v>
      </c>
      <c r="G39" s="1061" t="s">
        <v>558</v>
      </c>
    </row>
    <row r="40" spans="2:7" hidden="1" outlineLevel="1" x14ac:dyDescent="0.25">
      <c r="B40" s="1059" t="s">
        <v>559</v>
      </c>
      <c r="C40" s="1058">
        <v>0</v>
      </c>
      <c r="D40" s="1058">
        <v>0</v>
      </c>
      <c r="E40" s="1057">
        <v>1</v>
      </c>
      <c r="F40" s="1062">
        <f>IF(G40="Unverified",0,(C40-D40)*E40)</f>
        <v>0</v>
      </c>
      <c r="G40" s="1061" t="s">
        <v>558</v>
      </c>
    </row>
    <row r="41" spans="2:7" hidden="1" outlineLevel="1" x14ac:dyDescent="0.25">
      <c r="B41" s="1064"/>
    </row>
    <row r="42" spans="2:7" collapsed="1" x14ac:dyDescent="0.25">
      <c r="B42" s="1064"/>
    </row>
    <row r="43" spans="2:7" hidden="1" outlineLevel="1" x14ac:dyDescent="0.25">
      <c r="B43" s="1060"/>
    </row>
    <row r="44" spans="2:7" hidden="1" outlineLevel="1" x14ac:dyDescent="0.25">
      <c r="B44" s="1064" t="s">
        <v>565</v>
      </c>
    </row>
    <row r="45" spans="2:7" hidden="1" outlineLevel="1" x14ac:dyDescent="0.25">
      <c r="B45" s="1060" t="s">
        <v>561</v>
      </c>
    </row>
    <row r="46" spans="2:7" hidden="1" outlineLevel="1" x14ac:dyDescent="0.25">
      <c r="B46" s="1059" t="s">
        <v>219</v>
      </c>
      <c r="C46" s="1063">
        <v>0</v>
      </c>
      <c r="D46" s="1063">
        <v>0</v>
      </c>
      <c r="E46" s="1057">
        <v>1</v>
      </c>
      <c r="F46" s="1062">
        <f>IF(G46="Unverified",0,(C46-D46)*E46)</f>
        <v>0</v>
      </c>
      <c r="G46" s="1061" t="s">
        <v>558</v>
      </c>
    </row>
    <row r="47" spans="2:7" hidden="1" outlineLevel="1" x14ac:dyDescent="0.25">
      <c r="B47" s="1059" t="s">
        <v>577</v>
      </c>
      <c r="C47" s="1058">
        <v>0</v>
      </c>
      <c r="D47" s="1058">
        <v>0</v>
      </c>
      <c r="E47" s="1057">
        <v>1</v>
      </c>
      <c r="F47" s="1056">
        <f>IF(G47="Unverified",0,(C47-D47)*E47)</f>
        <v>0</v>
      </c>
      <c r="G47" s="1061" t="s">
        <v>558</v>
      </c>
    </row>
    <row r="48" spans="2:7" hidden="1" outlineLevel="1" x14ac:dyDescent="0.25">
      <c r="B48" s="1059" t="s">
        <v>577</v>
      </c>
      <c r="C48" s="1058">
        <v>0</v>
      </c>
      <c r="D48" s="1058">
        <v>0</v>
      </c>
      <c r="E48" s="1057">
        <v>1</v>
      </c>
      <c r="F48" s="1056">
        <f>IF(G48="Unverified",0,(C48-D48)*E48)</f>
        <v>0</v>
      </c>
      <c r="G48" s="1061" t="s">
        <v>558</v>
      </c>
    </row>
    <row r="49" spans="2:7" hidden="1" outlineLevel="1" x14ac:dyDescent="0.25">
      <c r="B49" s="1060"/>
      <c r="C49" s="1056"/>
      <c r="D49" s="1056"/>
      <c r="E49" s="1056"/>
      <c r="F49" s="1056"/>
      <c r="G49" s="1047"/>
    </row>
    <row r="50" spans="2:7" hidden="1" outlineLevel="1" x14ac:dyDescent="0.25">
      <c r="B50" s="1060" t="s">
        <v>560</v>
      </c>
      <c r="C50" s="1056"/>
      <c r="D50" s="1056"/>
      <c r="E50" s="1056"/>
      <c r="F50" s="1056"/>
      <c r="G50" s="1047"/>
    </row>
    <row r="51" spans="2:7" hidden="1" outlineLevel="1" x14ac:dyDescent="0.25">
      <c r="B51" s="1059" t="s">
        <v>559</v>
      </c>
      <c r="C51" s="1063">
        <v>0</v>
      </c>
      <c r="D51" s="1063">
        <v>0</v>
      </c>
      <c r="E51" s="1057">
        <v>1</v>
      </c>
      <c r="F51" s="1062">
        <f>IF(G51="Unverified",0,(C51-D51)*E51)</f>
        <v>0</v>
      </c>
      <c r="G51" s="1061" t="s">
        <v>558</v>
      </c>
    </row>
    <row r="52" spans="2:7" hidden="1" outlineLevel="1" x14ac:dyDescent="0.25">
      <c r="B52" s="1059" t="s">
        <v>559</v>
      </c>
      <c r="C52" s="1058">
        <v>0</v>
      </c>
      <c r="D52" s="1058">
        <v>0</v>
      </c>
      <c r="E52" s="1057">
        <v>1</v>
      </c>
      <c r="F52" s="1062">
        <f>IF(G52="Unverified",0,(C52-D52)*E52)</f>
        <v>0</v>
      </c>
      <c r="G52" s="1061" t="s">
        <v>558</v>
      </c>
    </row>
    <row r="53" spans="2:7" hidden="1" outlineLevel="1" x14ac:dyDescent="0.25">
      <c r="B53" s="1059" t="s">
        <v>559</v>
      </c>
      <c r="C53" s="1058">
        <v>0</v>
      </c>
      <c r="D53" s="1058">
        <v>0</v>
      </c>
      <c r="E53" s="1057">
        <v>1</v>
      </c>
      <c r="F53" s="1062">
        <f>IF(G53="Unverified",0,(C53-D53)*E53)</f>
        <v>0</v>
      </c>
      <c r="G53" s="1061" t="s">
        <v>558</v>
      </c>
    </row>
    <row r="54" spans="2:7" hidden="1" outlineLevel="1" x14ac:dyDescent="0.25">
      <c r="B54" s="1060"/>
    </row>
    <row r="55" spans="2:7" hidden="1" outlineLevel="1" x14ac:dyDescent="0.25">
      <c r="B55" s="1059"/>
      <c r="C55" s="1063"/>
      <c r="D55" s="1063"/>
      <c r="E55" s="1057"/>
      <c r="F55" s="1062"/>
    </row>
    <row r="56" spans="2:7" hidden="1" outlineLevel="1" x14ac:dyDescent="0.25">
      <c r="B56" s="1064" t="s">
        <v>564</v>
      </c>
    </row>
    <row r="57" spans="2:7" hidden="1" outlineLevel="1" x14ac:dyDescent="0.25">
      <c r="B57" s="1060" t="s">
        <v>561</v>
      </c>
    </row>
    <row r="58" spans="2:7" hidden="1" outlineLevel="1" x14ac:dyDescent="0.25">
      <c r="B58" s="1059" t="s">
        <v>577</v>
      </c>
      <c r="C58" s="1063">
        <v>0</v>
      </c>
      <c r="D58" s="1063">
        <v>0</v>
      </c>
      <c r="E58" s="1057">
        <v>1</v>
      </c>
      <c r="F58" s="1062">
        <f>IF(G58="Unverified",0,(C58-D58)*E58)</f>
        <v>0</v>
      </c>
      <c r="G58" s="1061" t="s">
        <v>558</v>
      </c>
    </row>
    <row r="59" spans="2:7" hidden="1" outlineLevel="1" x14ac:dyDescent="0.25">
      <c r="B59" s="1059" t="s">
        <v>577</v>
      </c>
      <c r="C59" s="1058">
        <v>0</v>
      </c>
      <c r="D59" s="1058">
        <v>0</v>
      </c>
      <c r="E59" s="1057">
        <v>1</v>
      </c>
      <c r="F59" s="1056">
        <f>IF(G59="Unverified",0,(C59-D59)*E59)</f>
        <v>0</v>
      </c>
      <c r="G59" s="1061" t="s">
        <v>558</v>
      </c>
    </row>
    <row r="60" spans="2:7" hidden="1" outlineLevel="1" x14ac:dyDescent="0.25">
      <c r="B60" s="1059" t="s">
        <v>577</v>
      </c>
      <c r="C60" s="1058">
        <v>0</v>
      </c>
      <c r="D60" s="1058">
        <v>0</v>
      </c>
      <c r="E60" s="1057">
        <v>1</v>
      </c>
      <c r="F60" s="1056">
        <f>IF(G60="Unverified",0,(C60-D60)*E60)</f>
        <v>0</v>
      </c>
      <c r="G60" s="1061" t="s">
        <v>558</v>
      </c>
    </row>
    <row r="61" spans="2:7" hidden="1" outlineLevel="1" x14ac:dyDescent="0.25">
      <c r="B61" s="1060"/>
      <c r="C61" s="1056"/>
      <c r="D61" s="1056"/>
      <c r="E61" s="1056"/>
      <c r="F61" s="1056"/>
      <c r="G61" s="1047"/>
    </row>
    <row r="62" spans="2:7" hidden="1" outlineLevel="1" x14ac:dyDescent="0.25">
      <c r="B62" s="1060" t="s">
        <v>560</v>
      </c>
      <c r="C62" s="1056"/>
      <c r="D62" s="1056"/>
      <c r="E62" s="1056"/>
      <c r="F62" s="1056"/>
      <c r="G62" s="1047"/>
    </row>
    <row r="63" spans="2:7" hidden="1" outlineLevel="1" x14ac:dyDescent="0.25">
      <c r="B63" s="1059" t="s">
        <v>559</v>
      </c>
      <c r="C63" s="1063">
        <v>0</v>
      </c>
      <c r="D63" s="1063">
        <v>0</v>
      </c>
      <c r="E63" s="1057">
        <v>1</v>
      </c>
      <c r="F63" s="1062">
        <f>IF(G63="Unverified",0,(C63-D63)*E63)</f>
        <v>0</v>
      </c>
      <c r="G63" s="1061" t="s">
        <v>558</v>
      </c>
    </row>
    <row r="64" spans="2:7" hidden="1" outlineLevel="1" x14ac:dyDescent="0.25">
      <c r="B64" s="1059" t="s">
        <v>559</v>
      </c>
      <c r="C64" s="1058">
        <v>0</v>
      </c>
      <c r="D64" s="1058">
        <v>0</v>
      </c>
      <c r="E64" s="1057">
        <v>1</v>
      </c>
      <c r="F64" s="1062">
        <f>IF(G64="Unverified",0,(C64-D64)*E64)</f>
        <v>0</v>
      </c>
      <c r="G64" s="1061" t="s">
        <v>558</v>
      </c>
    </row>
    <row r="65" spans="2:8" hidden="1" outlineLevel="1" x14ac:dyDescent="0.25">
      <c r="B65" s="1059" t="s">
        <v>559</v>
      </c>
      <c r="C65" s="1058">
        <v>0</v>
      </c>
      <c r="D65" s="1058">
        <v>0</v>
      </c>
      <c r="E65" s="1057">
        <v>1</v>
      </c>
      <c r="F65" s="1062">
        <f>IF(G65="Unverified",0,(C65-D65)*E65)</f>
        <v>0</v>
      </c>
      <c r="G65" s="1061" t="s">
        <v>558</v>
      </c>
    </row>
    <row r="66" spans="2:8" hidden="1" outlineLevel="1" x14ac:dyDescent="0.25">
      <c r="B66" s="1064"/>
    </row>
    <row r="67" spans="2:8" collapsed="1" x14ac:dyDescent="0.25">
      <c r="B67" s="1064"/>
    </row>
    <row r="68" spans="2:8" hidden="1" outlineLevel="1" x14ac:dyDescent="0.25">
      <c r="B68" s="1060"/>
    </row>
    <row r="69" spans="2:8" hidden="1" outlineLevel="1" x14ac:dyDescent="0.25">
      <c r="B69" s="1064" t="s">
        <v>563</v>
      </c>
    </row>
    <row r="70" spans="2:8" hidden="1" outlineLevel="1" x14ac:dyDescent="0.25">
      <c r="B70" s="1060" t="s">
        <v>561</v>
      </c>
    </row>
    <row r="71" spans="2:8" hidden="1" outlineLevel="1" x14ac:dyDescent="0.25">
      <c r="B71" s="1059" t="s">
        <v>577</v>
      </c>
      <c r="C71" s="1063">
        <v>0</v>
      </c>
      <c r="D71" s="1063">
        <v>0</v>
      </c>
      <c r="E71" s="1057">
        <v>1</v>
      </c>
      <c r="F71" s="1062">
        <f>IF(G71="Unverified",0,(C71-D71)*E71)</f>
        <v>0</v>
      </c>
      <c r="G71" s="1061" t="s">
        <v>558</v>
      </c>
    </row>
    <row r="72" spans="2:8" hidden="1" outlineLevel="1" x14ac:dyDescent="0.25">
      <c r="B72" s="1059" t="s">
        <v>577</v>
      </c>
      <c r="C72" s="1058">
        <v>0</v>
      </c>
      <c r="D72" s="1058">
        <v>0</v>
      </c>
      <c r="E72" s="1057">
        <v>1</v>
      </c>
      <c r="F72" s="1056">
        <f>IF(G72="Unverified",0,(C72-D72)*E72)</f>
        <v>0</v>
      </c>
      <c r="G72" s="1061" t="s">
        <v>558</v>
      </c>
    </row>
    <row r="73" spans="2:8" hidden="1" outlineLevel="1" x14ac:dyDescent="0.25">
      <c r="B73" s="1059" t="s">
        <v>577</v>
      </c>
      <c r="C73" s="1058">
        <v>0</v>
      </c>
      <c r="D73" s="1058">
        <v>0</v>
      </c>
      <c r="E73" s="1057">
        <v>1</v>
      </c>
      <c r="F73" s="1056">
        <f>IF(G73="Unverified",0,(C73-D73)*E73)</f>
        <v>0</v>
      </c>
      <c r="G73" s="1061" t="s">
        <v>558</v>
      </c>
    </row>
    <row r="74" spans="2:8" hidden="1" outlineLevel="1" x14ac:dyDescent="0.25">
      <c r="B74" s="1060"/>
      <c r="C74" s="1056"/>
      <c r="D74" s="1056"/>
      <c r="E74" s="1056"/>
      <c r="F74" s="1056"/>
      <c r="G74" s="1047"/>
    </row>
    <row r="75" spans="2:8" hidden="1" outlineLevel="1" x14ac:dyDescent="0.25">
      <c r="B75" s="1060" t="s">
        <v>560</v>
      </c>
      <c r="C75" s="1056"/>
      <c r="D75" s="1056"/>
      <c r="E75" s="1056"/>
      <c r="F75" s="1056"/>
      <c r="G75" s="1047"/>
      <c r="H75" s="1056"/>
    </row>
    <row r="76" spans="2:8" hidden="1" outlineLevel="1" x14ac:dyDescent="0.25">
      <c r="B76" s="1059" t="s">
        <v>559</v>
      </c>
      <c r="C76" s="1063">
        <v>0</v>
      </c>
      <c r="D76" s="1063">
        <v>0</v>
      </c>
      <c r="E76" s="1057">
        <v>1</v>
      </c>
      <c r="F76" s="1062">
        <f>IF(G76="Unverified",0,(C76-D76)*E76)</f>
        <v>0</v>
      </c>
      <c r="G76" s="1061" t="s">
        <v>558</v>
      </c>
      <c r="H76" s="1056"/>
    </row>
    <row r="77" spans="2:8" hidden="1" outlineLevel="1" x14ac:dyDescent="0.25">
      <c r="B77" s="1059" t="s">
        <v>559</v>
      </c>
      <c r="C77" s="1058">
        <v>0</v>
      </c>
      <c r="D77" s="1058">
        <v>0</v>
      </c>
      <c r="E77" s="1057">
        <v>1</v>
      </c>
      <c r="F77" s="1062">
        <f>IF(G77="Unverified",0,(C77-D77)*E77)</f>
        <v>0</v>
      </c>
      <c r="G77" s="1061" t="s">
        <v>558</v>
      </c>
      <c r="H77" s="1056"/>
    </row>
    <row r="78" spans="2:8" hidden="1" outlineLevel="1" x14ac:dyDescent="0.25">
      <c r="B78" s="1059" t="s">
        <v>559</v>
      </c>
      <c r="C78" s="1058">
        <v>0</v>
      </c>
      <c r="D78" s="1058">
        <v>0</v>
      </c>
      <c r="E78" s="1057">
        <v>1</v>
      </c>
      <c r="F78" s="1062">
        <f>IF(G78="Unverified",0,(C78-D78)*E78)</f>
        <v>0</v>
      </c>
      <c r="G78" s="1061" t="s">
        <v>558</v>
      </c>
      <c r="H78" s="1056"/>
    </row>
    <row r="79" spans="2:8" hidden="1" outlineLevel="1" x14ac:dyDescent="0.25">
      <c r="B79" s="1059"/>
      <c r="C79" s="1063"/>
      <c r="D79" s="1063"/>
      <c r="E79" s="1057"/>
      <c r="F79" s="1062"/>
      <c r="H79" s="1056"/>
    </row>
    <row r="80" spans="2:8" hidden="1" outlineLevel="1" x14ac:dyDescent="0.25">
      <c r="B80" s="1059"/>
      <c r="C80" s="1058"/>
      <c r="D80" s="1058"/>
      <c r="E80" s="1057"/>
      <c r="F80" s="1056"/>
      <c r="H80" s="1056"/>
    </row>
    <row r="81" spans="2:8" hidden="1" outlineLevel="1" x14ac:dyDescent="0.25">
      <c r="B81" s="1064" t="s">
        <v>562</v>
      </c>
      <c r="H81" s="1056"/>
    </row>
    <row r="82" spans="2:8" hidden="1" outlineLevel="1" x14ac:dyDescent="0.25">
      <c r="B82" s="1060" t="s">
        <v>561</v>
      </c>
      <c r="H82" s="1056"/>
    </row>
    <row r="83" spans="2:8" hidden="1" outlineLevel="1" x14ac:dyDescent="0.25">
      <c r="B83" s="1059" t="s">
        <v>577</v>
      </c>
      <c r="C83" s="1063">
        <v>0</v>
      </c>
      <c r="D83" s="1063">
        <v>0</v>
      </c>
      <c r="E83" s="1057">
        <v>1</v>
      </c>
      <c r="F83" s="1062">
        <f>IF(G83="Unverified",0,(C83-D83)*E83)</f>
        <v>0</v>
      </c>
      <c r="G83" s="1061" t="s">
        <v>558</v>
      </c>
      <c r="H83" s="1056"/>
    </row>
    <row r="84" spans="2:8" hidden="1" outlineLevel="1" x14ac:dyDescent="0.25">
      <c r="B84" s="1059" t="s">
        <v>577</v>
      </c>
      <c r="C84" s="1058">
        <v>0</v>
      </c>
      <c r="D84" s="1058">
        <v>0</v>
      </c>
      <c r="E84" s="1057">
        <v>1</v>
      </c>
      <c r="F84" s="1056">
        <f>IF(G84="Unverified",0,(C84-D84)*E84)</f>
        <v>0</v>
      </c>
      <c r="G84" s="1061" t="s">
        <v>558</v>
      </c>
      <c r="H84" s="1056"/>
    </row>
    <row r="85" spans="2:8" hidden="1" outlineLevel="1" x14ac:dyDescent="0.25">
      <c r="B85" s="1059" t="s">
        <v>577</v>
      </c>
      <c r="C85" s="1058">
        <v>0</v>
      </c>
      <c r="D85" s="1058">
        <v>0</v>
      </c>
      <c r="E85" s="1057">
        <v>1</v>
      </c>
      <c r="F85" s="1056">
        <f>IF(G85="Unverified",0,(C85-D85)*E85)</f>
        <v>0</v>
      </c>
      <c r="G85" s="1061" t="s">
        <v>558</v>
      </c>
      <c r="H85" s="1056"/>
    </row>
    <row r="86" spans="2:8" hidden="1" outlineLevel="1" x14ac:dyDescent="0.25">
      <c r="B86" s="1060"/>
      <c r="C86" s="1056"/>
      <c r="D86" s="1056"/>
      <c r="E86" s="1056"/>
      <c r="F86" s="1056"/>
      <c r="G86" s="1047"/>
      <c r="H86" s="1056"/>
    </row>
    <row r="87" spans="2:8" hidden="1" outlineLevel="1" x14ac:dyDescent="0.25">
      <c r="B87" s="1060" t="s">
        <v>560</v>
      </c>
      <c r="C87" s="1056"/>
      <c r="D87" s="1056"/>
      <c r="E87" s="1056"/>
      <c r="F87" s="1056"/>
      <c r="G87" s="1047"/>
      <c r="H87" s="1056"/>
    </row>
    <row r="88" spans="2:8" hidden="1" outlineLevel="1" x14ac:dyDescent="0.25">
      <c r="B88" s="1059" t="s">
        <v>559</v>
      </c>
      <c r="C88" s="1063">
        <v>0</v>
      </c>
      <c r="D88" s="1063">
        <v>0</v>
      </c>
      <c r="E88" s="1057">
        <v>1</v>
      </c>
      <c r="F88" s="1062">
        <f>IF(G88="Unverified",0,(C88-D88)*E88)</f>
        <v>0</v>
      </c>
      <c r="G88" s="1061" t="s">
        <v>558</v>
      </c>
      <c r="H88" s="1056"/>
    </row>
    <row r="89" spans="2:8" hidden="1" outlineLevel="1" x14ac:dyDescent="0.25">
      <c r="B89" s="1059" t="s">
        <v>559</v>
      </c>
      <c r="C89" s="1058">
        <v>0</v>
      </c>
      <c r="D89" s="1058">
        <v>0</v>
      </c>
      <c r="E89" s="1057">
        <v>1</v>
      </c>
      <c r="F89" s="1062">
        <f>IF(G89="Unverified",0,(C89-D89)*E89)</f>
        <v>0</v>
      </c>
      <c r="G89" s="1061" t="s">
        <v>558</v>
      </c>
      <c r="H89" s="1056"/>
    </row>
    <row r="90" spans="2:8" hidden="1" outlineLevel="1" x14ac:dyDescent="0.25">
      <c r="B90" s="1059" t="s">
        <v>559</v>
      </c>
      <c r="C90" s="1058">
        <v>0</v>
      </c>
      <c r="D90" s="1058">
        <v>0</v>
      </c>
      <c r="E90" s="1057">
        <v>1</v>
      </c>
      <c r="F90" s="1062">
        <f>IF(G90="Unverified",0,(C90-D90)*E90)</f>
        <v>0</v>
      </c>
      <c r="G90" s="1061" t="s">
        <v>558</v>
      </c>
      <c r="H90" s="1056"/>
    </row>
    <row r="91" spans="2:8" hidden="1" outlineLevel="1" x14ac:dyDescent="0.25">
      <c r="B91" s="1060"/>
      <c r="H91" s="1056"/>
    </row>
    <row r="92" spans="2:8" hidden="1" outlineLevel="1" x14ac:dyDescent="0.25">
      <c r="B92" s="1059"/>
      <c r="C92" s="1058"/>
      <c r="D92" s="1058"/>
      <c r="E92" s="1057"/>
      <c r="H92" s="1056"/>
    </row>
    <row r="93" spans="2:8" ht="15.75" collapsed="1" thickBot="1" x14ac:dyDescent="0.3">
      <c r="B93" s="1055" t="s">
        <v>557</v>
      </c>
      <c r="C93" s="1054"/>
      <c r="D93" s="1054"/>
      <c r="E93" s="1054"/>
      <c r="F93" s="1053">
        <f>SUM(F9:F91)</f>
        <v>0</v>
      </c>
    </row>
    <row r="94" spans="2:8" ht="15.75" thickTop="1" x14ac:dyDescent="0.25">
      <c r="B94" t="s">
        <v>556</v>
      </c>
      <c r="C94" s="1052"/>
      <c r="D94" s="1052"/>
      <c r="E94" s="1052"/>
      <c r="F94" s="1051" t="e">
        <f>F93-C3</f>
        <v>#VALUE!</v>
      </c>
    </row>
    <row r="95" spans="2:8" x14ac:dyDescent="0.25">
      <c r="B95" s="1050" t="s">
        <v>555</v>
      </c>
      <c r="C95" s="1049"/>
      <c r="D95" s="1049"/>
      <c r="E95" s="1049"/>
      <c r="F95" s="1048" t="e">
        <f>F93/Economics!I64</f>
        <v>#N/A</v>
      </c>
    </row>
    <row r="96" spans="2:8" x14ac:dyDescent="0.25">
      <c r="B96" t="s">
        <v>554</v>
      </c>
      <c r="F96" s="1047" t="str">
        <f>IFERROR(IF(F95&lt;25%,"Insufficient","Sufficient"),"Complete Economics Tab")</f>
        <v>Complete Economics Tab</v>
      </c>
    </row>
  </sheetData>
  <conditionalFormatting sqref="F96">
    <cfRule type="expression" dxfId="4" priority="1">
      <formula>$F$96="Insufficient"</formula>
    </cfRule>
    <cfRule type="expression" dxfId="3" priority="2">
      <formula>$F$96="Sufficient"</formula>
    </cfRule>
  </conditionalFormatting>
  <dataValidations count="1">
    <dataValidation type="list" allowBlank="1" showInputMessage="1" showErrorMessage="1" sqref="G9:G11 G26:G28 G83:G85 G21:G23 G76:G78 G71:G73 G38:G40 G33:G35 G51:G53 G46:G48 G63:G65 G58:G60 G88:G90 G14:G16" xr:uid="{89CCA535-EAF6-4A53-BE65-2598564C6864}">
      <formula1>$Z$2:$Z$4</formula1>
    </dataValidation>
  </dataValidations>
  <pageMargins left="0.7" right="0.7" top="0.75" bottom="0.75" header="0.3" footer="0.3"/>
  <pageSetup scale="4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D71E-D1C1-44EA-876F-CD65ED1FD082}">
  <sheetPr codeName="Sheet10"/>
  <dimension ref="B1:W31"/>
  <sheetViews>
    <sheetView showGridLines="0" workbookViewId="0"/>
  </sheetViews>
  <sheetFormatPr defaultColWidth="9" defaultRowHeight="14.25" x14ac:dyDescent="0.25"/>
  <cols>
    <col min="1" max="1" width="6.7109375" style="897" customWidth="1"/>
    <col min="2" max="2" width="4.7109375" style="897" customWidth="1"/>
    <col min="3" max="3" width="30.7109375" style="897" customWidth="1"/>
    <col min="4" max="4" width="9.28515625" style="897" customWidth="1"/>
    <col min="5" max="5" width="15.42578125" style="897" customWidth="1"/>
    <col min="6" max="6" width="6.28515625" style="897" customWidth="1"/>
    <col min="7" max="7" width="10.42578125" style="897" customWidth="1"/>
    <col min="8" max="8" width="7.42578125" style="897" customWidth="1"/>
    <col min="9" max="9" width="10.7109375" style="897" customWidth="1"/>
    <col min="10" max="10" width="76.7109375" style="897" bestFit="1" customWidth="1"/>
    <col min="11" max="12" width="9" style="897"/>
    <col min="13" max="13" width="30.7109375" style="897" customWidth="1"/>
    <col min="14" max="14" width="9.28515625" style="897" customWidth="1"/>
    <col min="15" max="15" width="15.42578125" style="897" customWidth="1"/>
    <col min="16" max="16" width="9" style="897"/>
    <col min="17" max="19" width="10.7109375" style="897" customWidth="1"/>
    <col min="20" max="20" width="7.140625" style="897" customWidth="1"/>
    <col min="21" max="22" width="10.7109375" style="897" customWidth="1"/>
    <col min="23" max="23" width="52.5703125" style="897" customWidth="1"/>
    <col min="24" max="16384" width="9" style="897"/>
  </cols>
  <sheetData>
    <row r="1" spans="2:23" x14ac:dyDescent="0.25">
      <c r="B1" s="1025" t="s">
        <v>534</v>
      </c>
      <c r="K1" s="1024"/>
      <c r="L1" s="1025" t="s">
        <v>535</v>
      </c>
    </row>
    <row r="2" spans="2:23" ht="6" customHeight="1" x14ac:dyDescent="0.25"/>
    <row r="3" spans="2:23" x14ac:dyDescent="0.25">
      <c r="B3" s="890" t="s">
        <v>467</v>
      </c>
      <c r="C3" s="891" t="s">
        <v>468</v>
      </c>
      <c r="D3" s="892" t="s">
        <v>469</v>
      </c>
      <c r="E3" s="893" t="s">
        <v>470</v>
      </c>
      <c r="F3" s="894" t="s">
        <v>61</v>
      </c>
      <c r="G3" s="893" t="s">
        <v>471</v>
      </c>
      <c r="H3" s="894" t="s">
        <v>472</v>
      </c>
      <c r="I3" s="895" t="s">
        <v>473</v>
      </c>
      <c r="J3" s="896" t="s">
        <v>474</v>
      </c>
      <c r="L3" s="890" t="s">
        <v>467</v>
      </c>
      <c r="M3" s="891" t="s">
        <v>468</v>
      </c>
      <c r="N3" s="892" t="s">
        <v>469</v>
      </c>
      <c r="O3" s="893" t="s">
        <v>470</v>
      </c>
      <c r="P3" s="894" t="s">
        <v>61</v>
      </c>
      <c r="Q3" s="893" t="s">
        <v>471</v>
      </c>
      <c r="R3" s="893" t="s">
        <v>536</v>
      </c>
      <c r="S3" s="893" t="s">
        <v>537</v>
      </c>
      <c r="T3" s="894" t="s">
        <v>472</v>
      </c>
      <c r="U3" s="893" t="s">
        <v>473</v>
      </c>
      <c r="V3" s="893" t="s">
        <v>538</v>
      </c>
      <c r="W3" s="896" t="s">
        <v>474</v>
      </c>
    </row>
    <row r="4" spans="2:23" x14ac:dyDescent="0.25">
      <c r="B4" s="929">
        <v>1</v>
      </c>
      <c r="C4" s="930"/>
      <c r="D4" s="931"/>
      <c r="E4" s="932"/>
      <c r="F4" s="933"/>
      <c r="G4" s="932" t="e">
        <f t="shared" ref="G4:G11" si="0">+E4/F4</f>
        <v>#DIV/0!</v>
      </c>
      <c r="H4" s="934"/>
      <c r="I4" s="935" t="str">
        <f t="shared" ref="I4:I11" si="1">+IFERROR(E4*H4/F4,"--")</f>
        <v>--</v>
      </c>
      <c r="J4" s="940"/>
      <c r="L4" s="929">
        <v>1</v>
      </c>
      <c r="M4" s="930"/>
      <c r="N4" s="931"/>
      <c r="O4" s="932"/>
      <c r="P4" s="933"/>
      <c r="Q4" s="932" t="e">
        <f t="shared" ref="Q4:Q11" si="2">+O4/P4</f>
        <v>#DIV/0!</v>
      </c>
      <c r="R4" s="932"/>
      <c r="S4" s="932" t="e">
        <f t="shared" ref="S4:S11" si="3">O4/R4</f>
        <v>#DIV/0!</v>
      </c>
      <c r="T4" s="934"/>
      <c r="U4" s="1027" t="str">
        <f>+IFERROR(O4*T4/P4,"--")</f>
        <v>--</v>
      </c>
      <c r="V4" s="398" t="str">
        <f t="shared" ref="V4:V11" si="4">+IFERROR(O4*T4/R4,"--")</f>
        <v>--</v>
      </c>
      <c r="W4" s="940"/>
    </row>
    <row r="5" spans="2:23" x14ac:dyDescent="0.25">
      <c r="B5" s="898">
        <v>2</v>
      </c>
      <c r="C5" s="936"/>
      <c r="D5" s="937"/>
      <c r="E5" s="925"/>
      <c r="F5" s="938"/>
      <c r="G5" s="925" t="e">
        <f t="shared" si="0"/>
        <v>#DIV/0!</v>
      </c>
      <c r="H5" s="939"/>
      <c r="I5" s="926" t="str">
        <f t="shared" si="1"/>
        <v>--</v>
      </c>
      <c r="J5" s="899"/>
      <c r="L5" s="898">
        <v>2</v>
      </c>
      <c r="M5" s="936"/>
      <c r="N5" s="937"/>
      <c r="O5" s="925"/>
      <c r="P5" s="938"/>
      <c r="Q5" s="925" t="e">
        <f t="shared" si="2"/>
        <v>#DIV/0!</v>
      </c>
      <c r="R5" s="925"/>
      <c r="S5" s="316" t="e">
        <f t="shared" si="3"/>
        <v>#DIV/0!</v>
      </c>
      <c r="T5" s="939"/>
      <c r="U5" s="925" t="str">
        <f t="shared" ref="U5:U11" si="5">+IFERROR(O5*T5/P5,"--")</f>
        <v>--</v>
      </c>
      <c r="V5" s="1031" t="str">
        <f t="shared" si="4"/>
        <v>--</v>
      </c>
      <c r="W5" s="1029"/>
    </row>
    <row r="6" spans="2:23" x14ac:dyDescent="0.25">
      <c r="B6" s="898">
        <v>3</v>
      </c>
      <c r="C6" s="936"/>
      <c r="D6" s="937"/>
      <c r="E6" s="925"/>
      <c r="F6" s="938"/>
      <c r="G6" s="925" t="e">
        <f t="shared" si="0"/>
        <v>#DIV/0!</v>
      </c>
      <c r="H6" s="939"/>
      <c r="I6" s="926" t="str">
        <f t="shared" si="1"/>
        <v>--</v>
      </c>
      <c r="J6" s="899"/>
      <c r="L6" s="898">
        <v>3</v>
      </c>
      <c r="M6" s="936"/>
      <c r="N6" s="937"/>
      <c r="O6" s="925"/>
      <c r="P6" s="938"/>
      <c r="Q6" s="925" t="e">
        <f t="shared" si="2"/>
        <v>#DIV/0!</v>
      </c>
      <c r="R6" s="925"/>
      <c r="S6" s="316" t="e">
        <f t="shared" si="3"/>
        <v>#DIV/0!</v>
      </c>
      <c r="T6" s="939"/>
      <c r="U6" s="925" t="str">
        <f t="shared" si="5"/>
        <v>--</v>
      </c>
      <c r="V6" s="1031" t="str">
        <f t="shared" si="4"/>
        <v>--</v>
      </c>
      <c r="W6" s="1029"/>
    </row>
    <row r="7" spans="2:23" x14ac:dyDescent="0.25">
      <c r="B7" s="898">
        <v>4</v>
      </c>
      <c r="C7" s="936"/>
      <c r="D7" s="937"/>
      <c r="E7" s="925"/>
      <c r="F7" s="938"/>
      <c r="G7" s="925" t="e">
        <f t="shared" si="0"/>
        <v>#DIV/0!</v>
      </c>
      <c r="H7" s="939"/>
      <c r="I7" s="926" t="str">
        <f t="shared" si="1"/>
        <v>--</v>
      </c>
      <c r="J7" s="899"/>
      <c r="L7" s="898">
        <v>4</v>
      </c>
      <c r="M7" s="936"/>
      <c r="N7" s="937"/>
      <c r="O7" s="925"/>
      <c r="P7" s="938"/>
      <c r="Q7" s="925" t="e">
        <f t="shared" si="2"/>
        <v>#DIV/0!</v>
      </c>
      <c r="R7" s="925"/>
      <c r="S7" s="316" t="e">
        <f t="shared" si="3"/>
        <v>#DIV/0!</v>
      </c>
      <c r="T7" s="939"/>
      <c r="U7" s="925" t="str">
        <f t="shared" si="5"/>
        <v>--</v>
      </c>
      <c r="V7" s="1031" t="str">
        <f t="shared" si="4"/>
        <v>--</v>
      </c>
      <c r="W7" s="1029"/>
    </row>
    <row r="8" spans="2:23" x14ac:dyDescent="0.25">
      <c r="B8" s="898">
        <v>5</v>
      </c>
      <c r="C8" s="936"/>
      <c r="D8" s="937"/>
      <c r="E8" s="925"/>
      <c r="F8" s="938"/>
      <c r="G8" s="925" t="e">
        <f t="shared" si="0"/>
        <v>#DIV/0!</v>
      </c>
      <c r="H8" s="939"/>
      <c r="I8" s="926" t="str">
        <f t="shared" si="1"/>
        <v>--</v>
      </c>
      <c r="J8" s="899"/>
      <c r="L8" s="898">
        <v>5</v>
      </c>
      <c r="M8" s="936"/>
      <c r="N8" s="937"/>
      <c r="O8" s="925"/>
      <c r="P8" s="938"/>
      <c r="Q8" s="925" t="e">
        <f t="shared" si="2"/>
        <v>#DIV/0!</v>
      </c>
      <c r="R8" s="925"/>
      <c r="S8" s="316" t="e">
        <f t="shared" si="3"/>
        <v>#DIV/0!</v>
      </c>
      <c r="T8" s="939"/>
      <c r="U8" s="925" t="str">
        <f t="shared" si="5"/>
        <v>--</v>
      </c>
      <c r="V8" s="1031" t="str">
        <f t="shared" si="4"/>
        <v>--</v>
      </c>
      <c r="W8" s="1029"/>
    </row>
    <row r="9" spans="2:23" x14ac:dyDescent="0.25">
      <c r="B9" s="898">
        <v>6</v>
      </c>
      <c r="C9" s="936"/>
      <c r="D9" s="937"/>
      <c r="E9" s="925"/>
      <c r="F9" s="938"/>
      <c r="G9" s="925" t="e">
        <f t="shared" si="0"/>
        <v>#DIV/0!</v>
      </c>
      <c r="H9" s="939"/>
      <c r="I9" s="926" t="str">
        <f t="shared" si="1"/>
        <v>--</v>
      </c>
      <c r="J9" s="899"/>
      <c r="L9" s="898">
        <v>6</v>
      </c>
      <c r="M9" s="936"/>
      <c r="N9" s="937"/>
      <c r="O9" s="925"/>
      <c r="P9" s="938"/>
      <c r="Q9" s="925" t="e">
        <f t="shared" si="2"/>
        <v>#DIV/0!</v>
      </c>
      <c r="R9" s="925"/>
      <c r="S9" s="316" t="e">
        <f t="shared" si="3"/>
        <v>#DIV/0!</v>
      </c>
      <c r="T9" s="939"/>
      <c r="U9" s="925" t="str">
        <f t="shared" si="5"/>
        <v>--</v>
      </c>
      <c r="V9" s="1031" t="str">
        <f t="shared" si="4"/>
        <v>--</v>
      </c>
      <c r="W9" s="1029"/>
    </row>
    <row r="10" spans="2:23" x14ac:dyDescent="0.25">
      <c r="B10" s="898">
        <v>7</v>
      </c>
      <c r="C10" s="936"/>
      <c r="D10" s="937"/>
      <c r="E10" s="925"/>
      <c r="F10" s="938"/>
      <c r="G10" s="925" t="e">
        <f t="shared" si="0"/>
        <v>#DIV/0!</v>
      </c>
      <c r="H10" s="939"/>
      <c r="I10" s="926" t="str">
        <f t="shared" si="1"/>
        <v>--</v>
      </c>
      <c r="J10" s="899"/>
      <c r="L10" s="898">
        <v>7</v>
      </c>
      <c r="M10" s="936"/>
      <c r="N10" s="937"/>
      <c r="O10" s="925"/>
      <c r="P10" s="938"/>
      <c r="Q10" s="925" t="e">
        <f t="shared" si="2"/>
        <v>#DIV/0!</v>
      </c>
      <c r="R10" s="925"/>
      <c r="S10" s="316" t="e">
        <f t="shared" si="3"/>
        <v>#DIV/0!</v>
      </c>
      <c r="T10" s="939"/>
      <c r="U10" s="925" t="str">
        <f t="shared" si="5"/>
        <v>--</v>
      </c>
      <c r="V10" s="1031" t="str">
        <f t="shared" si="4"/>
        <v>--</v>
      </c>
      <c r="W10" s="1029"/>
    </row>
    <row r="11" spans="2:23" x14ac:dyDescent="0.25">
      <c r="B11" s="900">
        <v>8</v>
      </c>
      <c r="C11" s="901"/>
      <c r="D11" s="902"/>
      <c r="E11" s="903"/>
      <c r="F11" s="904"/>
      <c r="G11" s="903" t="e">
        <f t="shared" si="0"/>
        <v>#DIV/0!</v>
      </c>
      <c r="H11" s="905"/>
      <c r="I11" s="906" t="str">
        <f t="shared" si="1"/>
        <v>--</v>
      </c>
      <c r="J11" s="941"/>
      <c r="L11" s="900">
        <v>8</v>
      </c>
      <c r="M11" s="901"/>
      <c r="N11" s="902"/>
      <c r="O11" s="903"/>
      <c r="P11" s="904"/>
      <c r="Q11" s="903" t="e">
        <f t="shared" si="2"/>
        <v>#DIV/0!</v>
      </c>
      <c r="R11" s="903"/>
      <c r="S11" s="1026" t="e">
        <f t="shared" si="3"/>
        <v>#DIV/0!</v>
      </c>
      <c r="T11" s="905"/>
      <c r="U11" s="903" t="str">
        <f t="shared" si="5"/>
        <v>--</v>
      </c>
      <c r="V11" s="1030" t="str">
        <f t="shared" si="4"/>
        <v>--</v>
      </c>
      <c r="W11" s="941"/>
    </row>
    <row r="12" spans="2:23" ht="13.9" customHeight="1" x14ac:dyDescent="0.25">
      <c r="B12"/>
      <c r="C12"/>
      <c r="D12" s="907" t="s">
        <v>475</v>
      </c>
      <c r="E12" s="369">
        <f>MIN(E4:E11)</f>
        <v>0</v>
      </c>
      <c r="F12" s="908">
        <f>MIN(F4:F11)</f>
        <v>0</v>
      </c>
      <c r="G12" s="369" t="e">
        <f>MIN(G4:G11)</f>
        <v>#DIV/0!</v>
      </c>
      <c r="H12" s="909">
        <f>MIN(H4:H11)</f>
        <v>0</v>
      </c>
      <c r="I12" s="376">
        <f>MIN(I4:I11)</f>
        <v>0</v>
      </c>
      <c r="J12" s="1614" t="s">
        <v>508</v>
      </c>
      <c r="L12"/>
      <c r="M12"/>
      <c r="N12" s="907" t="s">
        <v>475</v>
      </c>
      <c r="O12" s="369">
        <f t="shared" ref="O12:V12" si="6">MIN(O4:O11)</f>
        <v>0</v>
      </c>
      <c r="P12" s="908">
        <f t="shared" si="6"/>
        <v>0</v>
      </c>
      <c r="Q12" s="369" t="e">
        <f t="shared" si="6"/>
        <v>#DIV/0!</v>
      </c>
      <c r="R12" s="369">
        <f t="shared" si="6"/>
        <v>0</v>
      </c>
      <c r="S12" s="369" t="e">
        <f t="shared" si="6"/>
        <v>#DIV/0!</v>
      </c>
      <c r="T12" s="909">
        <f t="shared" si="6"/>
        <v>0</v>
      </c>
      <c r="U12" s="369">
        <f t="shared" si="6"/>
        <v>0</v>
      </c>
      <c r="V12" s="369">
        <f t="shared" si="6"/>
        <v>0</v>
      </c>
      <c r="W12" s="1614" t="s">
        <v>508</v>
      </c>
    </row>
    <row r="13" spans="2:23" ht="15" x14ac:dyDescent="0.25">
      <c r="B13"/>
      <c r="C13"/>
      <c r="D13" s="907" t="s">
        <v>436</v>
      </c>
      <c r="E13" s="369">
        <f>MAX(E4:E11)</f>
        <v>0</v>
      </c>
      <c r="F13" s="908">
        <f>MAX(F4:F11)</f>
        <v>0</v>
      </c>
      <c r="G13" s="369" t="e">
        <f>MAX(G4:G11)</f>
        <v>#DIV/0!</v>
      </c>
      <c r="H13" s="909">
        <f>MAX(H4:H11)</f>
        <v>0</v>
      </c>
      <c r="I13" s="376">
        <f>MAX(I4:I11)</f>
        <v>0</v>
      </c>
      <c r="J13" s="1615"/>
      <c r="L13"/>
      <c r="M13"/>
      <c r="N13" s="907" t="s">
        <v>436</v>
      </c>
      <c r="O13" s="369">
        <f t="shared" ref="O13:V13" si="7">MAX(O4:O11)</f>
        <v>0</v>
      </c>
      <c r="P13" s="908">
        <f t="shared" si="7"/>
        <v>0</v>
      </c>
      <c r="Q13" s="369" t="e">
        <f t="shared" si="7"/>
        <v>#DIV/0!</v>
      </c>
      <c r="R13" s="369">
        <f t="shared" si="7"/>
        <v>0</v>
      </c>
      <c r="S13" s="369" t="e">
        <f t="shared" si="7"/>
        <v>#DIV/0!</v>
      </c>
      <c r="T13" s="909">
        <f t="shared" si="7"/>
        <v>0</v>
      </c>
      <c r="U13" s="369">
        <f t="shared" si="7"/>
        <v>0</v>
      </c>
      <c r="V13" s="369">
        <f t="shared" si="7"/>
        <v>0</v>
      </c>
      <c r="W13" s="1615"/>
    </row>
    <row r="14" spans="2:23" ht="15" x14ac:dyDescent="0.25">
      <c r="B14"/>
      <c r="C14"/>
      <c r="D14" s="907" t="s">
        <v>476</v>
      </c>
      <c r="E14" s="369" t="e">
        <f>MEDIAN(E4:E11)</f>
        <v>#NUM!</v>
      </c>
      <c r="F14" s="908" t="e">
        <f>MEDIAN(F4:F11)</f>
        <v>#NUM!</v>
      </c>
      <c r="G14" s="369" t="e">
        <f>MEDIAN(G4:G11)</f>
        <v>#DIV/0!</v>
      </c>
      <c r="H14" s="909" t="e">
        <f>MEDIAN(H4:H11)</f>
        <v>#NUM!</v>
      </c>
      <c r="I14" s="376" t="e">
        <f>MEDIAN(I4:I11)</f>
        <v>#NUM!</v>
      </c>
      <c r="J14" s="1615"/>
      <c r="L14"/>
      <c r="M14"/>
      <c r="N14" s="907" t="s">
        <v>476</v>
      </c>
      <c r="O14" s="369" t="e">
        <f t="shared" ref="O14:V14" si="8">MEDIAN(O4:O11)</f>
        <v>#NUM!</v>
      </c>
      <c r="P14" s="908" t="e">
        <f t="shared" si="8"/>
        <v>#NUM!</v>
      </c>
      <c r="Q14" s="369" t="e">
        <f t="shared" si="8"/>
        <v>#DIV/0!</v>
      </c>
      <c r="R14" s="369" t="e">
        <f t="shared" si="8"/>
        <v>#NUM!</v>
      </c>
      <c r="S14" s="369" t="e">
        <f t="shared" si="8"/>
        <v>#DIV/0!</v>
      </c>
      <c r="T14" s="909" t="e">
        <f t="shared" si="8"/>
        <v>#NUM!</v>
      </c>
      <c r="U14" s="369" t="e">
        <f t="shared" si="8"/>
        <v>#NUM!</v>
      </c>
      <c r="V14" s="369" t="e">
        <f t="shared" si="8"/>
        <v>#NUM!</v>
      </c>
      <c r="W14" s="1615"/>
    </row>
    <row r="15" spans="2:23" ht="15" x14ac:dyDescent="0.25">
      <c r="B15"/>
      <c r="C15"/>
      <c r="D15" s="910" t="s">
        <v>477</v>
      </c>
      <c r="E15" s="374" t="e">
        <f>AVERAGE(E4:E11)</f>
        <v>#DIV/0!</v>
      </c>
      <c r="F15" s="911" t="e">
        <f>AVERAGE(F4:F11)</f>
        <v>#DIV/0!</v>
      </c>
      <c r="G15" s="374" t="e">
        <f>AVERAGE(G4:G11)</f>
        <v>#DIV/0!</v>
      </c>
      <c r="H15" s="912" t="e">
        <f>AVERAGE(H4:H11)</f>
        <v>#DIV/0!</v>
      </c>
      <c r="I15" s="376" t="e">
        <f>AVERAGE(I4:I11)</f>
        <v>#DIV/0!</v>
      </c>
      <c r="J15" s="1615"/>
      <c r="L15"/>
      <c r="M15"/>
      <c r="N15" s="910" t="s">
        <v>477</v>
      </c>
      <c r="O15" s="374" t="e">
        <f t="shared" ref="O15:V15" si="9">AVERAGE(O4:O11)</f>
        <v>#DIV/0!</v>
      </c>
      <c r="P15" s="911" t="e">
        <f t="shared" si="9"/>
        <v>#DIV/0!</v>
      </c>
      <c r="Q15" s="374" t="e">
        <f t="shared" si="9"/>
        <v>#DIV/0!</v>
      </c>
      <c r="R15" s="374" t="e">
        <f t="shared" si="9"/>
        <v>#DIV/0!</v>
      </c>
      <c r="S15" s="374" t="e">
        <f t="shared" si="9"/>
        <v>#DIV/0!</v>
      </c>
      <c r="T15" s="912" t="e">
        <f t="shared" si="9"/>
        <v>#DIV/0!</v>
      </c>
      <c r="U15" s="369" t="e">
        <f t="shared" si="9"/>
        <v>#DIV/0!</v>
      </c>
      <c r="V15" s="369" t="e">
        <f t="shared" si="9"/>
        <v>#DIV/0!</v>
      </c>
      <c r="W15" s="1615"/>
    </row>
    <row r="16" spans="2:23" ht="15" x14ac:dyDescent="0.25">
      <c r="B16"/>
      <c r="C16"/>
      <c r="D16" s="913" t="s">
        <v>478</v>
      </c>
      <c r="E16" s="374">
        <f>+Economics!H34</f>
        <v>0</v>
      </c>
      <c r="F16" s="914">
        <f>+Economics!F15</f>
        <v>0</v>
      </c>
      <c r="G16" s="1069" t="e">
        <f>E16/F16</f>
        <v>#DIV/0!</v>
      </c>
      <c r="H16" s="915">
        <f>+Economics!G34</f>
        <v>0</v>
      </c>
      <c r="I16" s="377" t="e">
        <f>+Economics!I33</f>
        <v>#DIV/0!</v>
      </c>
      <c r="J16" s="1616"/>
      <c r="L16"/>
      <c r="M16"/>
      <c r="N16" s="913" t="s">
        <v>478</v>
      </c>
      <c r="O16" s="374">
        <f>+Economics!H34</f>
        <v>0</v>
      </c>
      <c r="P16" s="914">
        <f>+Economics!F15</f>
        <v>0</v>
      </c>
      <c r="Q16" s="1023" t="e">
        <f>O16/P16</f>
        <v>#DIV/0!</v>
      </c>
      <c r="R16" s="1023"/>
      <c r="S16" s="1023" t="e">
        <f>P16/R16</f>
        <v>#DIV/0!</v>
      </c>
      <c r="T16" s="915">
        <f>+Economics!G53</f>
        <v>0</v>
      </c>
      <c r="U16" s="1028" t="e">
        <f>+Economics!I52</f>
        <v>#DIV/0!</v>
      </c>
      <c r="V16" s="1028"/>
      <c r="W16" s="1616"/>
    </row>
    <row r="21" ht="5.25" customHeight="1" x14ac:dyDescent="0.25"/>
    <row r="31" ht="13.9" customHeight="1" x14ac:dyDescent="0.25"/>
  </sheetData>
  <mergeCells count="2">
    <mergeCell ref="J12:J16"/>
    <mergeCell ref="W12:W1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70A4-D5E3-4AC7-B281-83FD8288D5C5}">
  <sheetPr codeName="Sheet11"/>
  <dimension ref="B2:H57"/>
  <sheetViews>
    <sheetView showGridLines="0" zoomScaleNormal="100" workbookViewId="0"/>
  </sheetViews>
  <sheetFormatPr defaultColWidth="7.7109375" defaultRowHeight="14.25" x14ac:dyDescent="0.25"/>
  <cols>
    <col min="1" max="1" width="6.7109375" style="458" customWidth="1"/>
    <col min="2" max="2" width="4.7109375" style="458" customWidth="1"/>
    <col min="3" max="3" width="19.140625" style="458" customWidth="1"/>
    <col min="4" max="4" width="12.7109375" style="459" customWidth="1"/>
    <col min="5" max="5" width="5.7109375" style="459" customWidth="1"/>
    <col min="6" max="7" width="7.7109375" style="458" customWidth="1"/>
    <col min="8" max="8" width="43" style="458" customWidth="1"/>
    <col min="9" max="16384" width="7.7109375" style="458"/>
  </cols>
  <sheetData>
    <row r="2" spans="2:8" x14ac:dyDescent="0.25">
      <c r="B2" s="916" t="s">
        <v>479</v>
      </c>
      <c r="D2" s="917"/>
    </row>
    <row r="3" spans="2:8" x14ac:dyDescent="0.25">
      <c r="B3" s="175" t="s">
        <v>467</v>
      </c>
      <c r="C3" s="290" t="s">
        <v>468</v>
      </c>
      <c r="D3" s="20" t="s">
        <v>480</v>
      </c>
      <c r="E3" s="312" t="s">
        <v>62</v>
      </c>
      <c r="F3" s="312" t="s">
        <v>448</v>
      </c>
      <c r="G3" s="312" t="s">
        <v>65</v>
      </c>
      <c r="H3" s="230" t="s">
        <v>474</v>
      </c>
    </row>
    <row r="4" spans="2:8" x14ac:dyDescent="0.25">
      <c r="B4" s="313">
        <v>1</v>
      </c>
      <c r="C4" s="314"/>
      <c r="D4" s="315"/>
      <c r="E4" s="389"/>
      <c r="F4" s="316"/>
      <c r="G4" s="388" t="str">
        <f>IFERROR(F4/E4,"--")</f>
        <v>--</v>
      </c>
      <c r="H4" s="317"/>
    </row>
    <row r="5" spans="2:8" x14ac:dyDescent="0.25">
      <c r="B5" s="313">
        <v>2</v>
      </c>
      <c r="C5" s="314"/>
      <c r="D5" s="315"/>
      <c r="E5" s="389"/>
      <c r="F5" s="318"/>
      <c r="G5" s="391" t="str">
        <f t="shared" ref="G5:G10" si="0">IFERROR(F5/E5,"--")</f>
        <v>--</v>
      </c>
      <c r="H5" s="319"/>
    </row>
    <row r="6" spans="2:8" x14ac:dyDescent="0.25">
      <c r="B6" s="313">
        <v>3</v>
      </c>
      <c r="C6" s="314"/>
      <c r="D6" s="315"/>
      <c r="E6" s="389"/>
      <c r="F6" s="318"/>
      <c r="G6" s="391" t="str">
        <f t="shared" si="0"/>
        <v>--</v>
      </c>
      <c r="H6" s="319"/>
    </row>
    <row r="7" spans="2:8" x14ac:dyDescent="0.25">
      <c r="B7" s="313">
        <v>5</v>
      </c>
      <c r="C7" s="314"/>
      <c r="D7" s="315"/>
      <c r="E7" s="389"/>
      <c r="F7" s="318"/>
      <c r="G7" s="391" t="str">
        <f t="shared" si="0"/>
        <v>--</v>
      </c>
      <c r="H7" s="319"/>
    </row>
    <row r="8" spans="2:8" x14ac:dyDescent="0.25">
      <c r="B8" s="313">
        <v>6</v>
      </c>
      <c r="C8" s="314"/>
      <c r="D8" s="315"/>
      <c r="E8" s="389"/>
      <c r="F8" s="318"/>
      <c r="G8" s="391" t="str">
        <f t="shared" si="0"/>
        <v>--</v>
      </c>
      <c r="H8" s="319"/>
    </row>
    <row r="9" spans="2:8" x14ac:dyDescent="0.25">
      <c r="B9" s="313">
        <v>7</v>
      </c>
      <c r="C9" s="314"/>
      <c r="D9" s="315"/>
      <c r="E9" s="389"/>
      <c r="F9" s="318"/>
      <c r="G9" s="391" t="str">
        <f t="shared" si="0"/>
        <v>--</v>
      </c>
      <c r="H9" s="319"/>
    </row>
    <row r="10" spans="2:8" x14ac:dyDescent="0.25">
      <c r="B10" s="320">
        <v>8</v>
      </c>
      <c r="C10" s="321"/>
      <c r="D10" s="322"/>
      <c r="E10" s="390"/>
      <c r="F10" s="323"/>
      <c r="G10" s="393" t="str">
        <f t="shared" si="0"/>
        <v>--</v>
      </c>
      <c r="H10" s="324"/>
    </row>
    <row r="11" spans="2:8" x14ac:dyDescent="0.25">
      <c r="D11" s="367" t="s">
        <v>475</v>
      </c>
      <c r="E11" s="368">
        <f>MIN(E4:E10)</f>
        <v>0</v>
      </c>
      <c r="F11" s="369">
        <f>MIN(F4:F10)</f>
        <v>0</v>
      </c>
      <c r="G11" s="370">
        <f>MIN(G4:G10)</f>
        <v>0</v>
      </c>
      <c r="H11" s="1614" t="s">
        <v>508</v>
      </c>
    </row>
    <row r="12" spans="2:8" x14ac:dyDescent="0.25">
      <c r="D12" s="371" t="s">
        <v>436</v>
      </c>
      <c r="E12" s="368">
        <f>MAX(E4:E10)</f>
        <v>0</v>
      </c>
      <c r="F12" s="369">
        <f>MAX(F4:F10)</f>
        <v>0</v>
      </c>
      <c r="G12" s="370">
        <f>MAX(G4:G10)</f>
        <v>0</v>
      </c>
      <c r="H12" s="1615"/>
    </row>
    <row r="13" spans="2:8" x14ac:dyDescent="0.25">
      <c r="D13" s="371" t="s">
        <v>476</v>
      </c>
      <c r="E13" s="368" t="e">
        <f>MEDIAN(E4:E10)</f>
        <v>#NUM!</v>
      </c>
      <c r="F13" s="369" t="e">
        <f>MEDIAN(F4:F10)</f>
        <v>#NUM!</v>
      </c>
      <c r="G13" s="370" t="e">
        <f>MEDIAN(G4:G10)</f>
        <v>#NUM!</v>
      </c>
      <c r="H13" s="1615"/>
    </row>
    <row r="14" spans="2:8" x14ac:dyDescent="0.25">
      <c r="D14" s="372" t="s">
        <v>477</v>
      </c>
      <c r="E14" s="373" t="e">
        <f>AVERAGE(E4:E10)</f>
        <v>#DIV/0!</v>
      </c>
      <c r="F14" s="374" t="e">
        <f>AVERAGE(F4:F10)</f>
        <v>#DIV/0!</v>
      </c>
      <c r="G14" s="375" t="e">
        <f>AVERAGE(G4:G10)</f>
        <v>#DIV/0!</v>
      </c>
      <c r="H14" s="1615"/>
    </row>
    <row r="15" spans="2:8" x14ac:dyDescent="0.25">
      <c r="D15" s="372" t="s">
        <v>478</v>
      </c>
      <c r="E15" s="373" t="str">
        <f>+Economics!G5</f>
        <v>-</v>
      </c>
      <c r="F15" s="374" t="str">
        <f>+Economics!I5</f>
        <v>-</v>
      </c>
      <c r="G15" s="375" t="e">
        <f>F15/E15</f>
        <v>#VALUE!</v>
      </c>
      <c r="H15" s="1616"/>
    </row>
    <row r="17" spans="2:8" x14ac:dyDescent="0.25">
      <c r="B17" s="916" t="s">
        <v>481</v>
      </c>
      <c r="D17" s="917"/>
    </row>
    <row r="18" spans="2:8" x14ac:dyDescent="0.25">
      <c r="B18" s="175" t="s">
        <v>467</v>
      </c>
      <c r="C18" s="290" t="s">
        <v>468</v>
      </c>
      <c r="D18" s="20" t="s">
        <v>480</v>
      </c>
      <c r="E18" s="312" t="s">
        <v>62</v>
      </c>
      <c r="F18" s="312" t="s">
        <v>448</v>
      </c>
      <c r="G18" s="312" t="s">
        <v>65</v>
      </c>
      <c r="H18" s="927" t="s">
        <v>474</v>
      </c>
    </row>
    <row r="19" spans="2:8" x14ac:dyDescent="0.25">
      <c r="B19" s="313">
        <v>1</v>
      </c>
      <c r="C19" s="314"/>
      <c r="D19" s="315"/>
      <c r="E19" s="389"/>
      <c r="F19" s="316"/>
      <c r="G19" s="388" t="str">
        <f>IFERROR(F19/E19,"--")</f>
        <v>--</v>
      </c>
      <c r="H19" s="319"/>
    </row>
    <row r="20" spans="2:8" x14ac:dyDescent="0.25">
      <c r="B20" s="313">
        <v>2</v>
      </c>
      <c r="C20" s="314"/>
      <c r="D20" s="315"/>
      <c r="E20" s="389"/>
      <c r="F20" s="318"/>
      <c r="G20" s="391" t="str">
        <f t="shared" ref="G20:G24" si="1">IFERROR(F20/E20,"--")</f>
        <v>--</v>
      </c>
      <c r="H20" s="319"/>
    </row>
    <row r="21" spans="2:8" x14ac:dyDescent="0.25">
      <c r="B21" s="313">
        <v>3</v>
      </c>
      <c r="C21" s="314"/>
      <c r="D21" s="315"/>
      <c r="E21" s="389"/>
      <c r="F21" s="318"/>
      <c r="G21" s="391" t="str">
        <f t="shared" si="1"/>
        <v>--</v>
      </c>
      <c r="H21" s="319"/>
    </row>
    <row r="22" spans="2:8" x14ac:dyDescent="0.25">
      <c r="B22" s="313">
        <v>4</v>
      </c>
      <c r="C22" s="314"/>
      <c r="D22" s="315"/>
      <c r="E22" s="389"/>
      <c r="F22" s="318"/>
      <c r="G22" s="391" t="str">
        <f t="shared" si="1"/>
        <v>--</v>
      </c>
      <c r="H22" s="319"/>
    </row>
    <row r="23" spans="2:8" x14ac:dyDescent="0.25">
      <c r="B23" s="313">
        <v>5</v>
      </c>
      <c r="C23" s="314"/>
      <c r="D23" s="315"/>
      <c r="E23" s="389"/>
      <c r="F23" s="318"/>
      <c r="G23" s="391" t="str">
        <f t="shared" si="1"/>
        <v>--</v>
      </c>
      <c r="H23" s="319"/>
    </row>
    <row r="24" spans="2:8" x14ac:dyDescent="0.25">
      <c r="B24" s="320">
        <v>6</v>
      </c>
      <c r="C24" s="321"/>
      <c r="D24" s="322"/>
      <c r="E24" s="390"/>
      <c r="F24" s="323"/>
      <c r="G24" s="393" t="str">
        <f t="shared" si="1"/>
        <v>--</v>
      </c>
      <c r="H24" s="324"/>
    </row>
    <row r="25" spans="2:8" ht="13.9" customHeight="1" x14ac:dyDescent="0.25">
      <c r="D25" s="371" t="s">
        <v>475</v>
      </c>
      <c r="E25" s="368">
        <f>MIN(E19:E24)</f>
        <v>0</v>
      </c>
      <c r="F25" s="369">
        <f>MIN(F19:F24)</f>
        <v>0</v>
      </c>
      <c r="G25" s="370">
        <f>MIN(G19:G24)</f>
        <v>0</v>
      </c>
    </row>
    <row r="26" spans="2:8" x14ac:dyDescent="0.25">
      <c r="D26" s="371" t="s">
        <v>436</v>
      </c>
      <c r="E26" s="368">
        <f>MAX(E19:E24)</f>
        <v>0</v>
      </c>
      <c r="F26" s="369">
        <f>MAX(F19:F24)</f>
        <v>0</v>
      </c>
      <c r="G26" s="370">
        <f>MAX(G19:G24)</f>
        <v>0</v>
      </c>
    </row>
    <row r="27" spans="2:8" x14ac:dyDescent="0.25">
      <c r="D27" s="371" t="s">
        <v>476</v>
      </c>
      <c r="E27" s="368" t="e">
        <f>MEDIAN(E19:E24)</f>
        <v>#NUM!</v>
      </c>
      <c r="F27" s="369" t="e">
        <f>MEDIAN(F19:F24)</f>
        <v>#NUM!</v>
      </c>
      <c r="G27" s="370" t="e">
        <f>MEDIAN(G19:G24)</f>
        <v>#NUM!</v>
      </c>
    </row>
    <row r="28" spans="2:8" x14ac:dyDescent="0.25">
      <c r="D28" s="372" t="s">
        <v>477</v>
      </c>
      <c r="E28" s="373" t="e">
        <f>AVERAGE(E19:E24)</f>
        <v>#DIV/0!</v>
      </c>
      <c r="F28" s="374" t="e">
        <f>AVERAGE(F19:F24)</f>
        <v>#DIV/0!</v>
      </c>
      <c r="G28" s="375" t="e">
        <f>AVERAGE(G19:G24)</f>
        <v>#DIV/0!</v>
      </c>
    </row>
    <row r="29" spans="2:8" x14ac:dyDescent="0.25">
      <c r="D29" s="372" t="s">
        <v>478</v>
      </c>
      <c r="E29" s="373" t="str">
        <f>+Economics!G6</f>
        <v>-</v>
      </c>
      <c r="F29" s="374" t="str">
        <f>+Economics!I6</f>
        <v>-</v>
      </c>
      <c r="G29" s="375" t="e">
        <f>F29/E29</f>
        <v>#VALUE!</v>
      </c>
    </row>
    <row r="30" spans="2:8" x14ac:dyDescent="0.25">
      <c r="G30" s="460"/>
      <c r="H30" s="461"/>
    </row>
    <row r="31" spans="2:8" x14ac:dyDescent="0.25">
      <c r="B31" s="916" t="s">
        <v>482</v>
      </c>
      <c r="E31" s="918"/>
    </row>
    <row r="32" spans="2:8" x14ac:dyDescent="0.25">
      <c r="B32" s="175" t="s">
        <v>467</v>
      </c>
      <c r="C32" s="290" t="s">
        <v>468</v>
      </c>
      <c r="D32" s="20" t="s">
        <v>480</v>
      </c>
      <c r="E32" s="325" t="s">
        <v>62</v>
      </c>
      <c r="F32" s="312" t="s">
        <v>448</v>
      </c>
      <c r="G32" s="312" t="s">
        <v>65</v>
      </c>
      <c r="H32" s="927" t="s">
        <v>474</v>
      </c>
    </row>
    <row r="33" spans="2:8" x14ac:dyDescent="0.25">
      <c r="B33" s="394">
        <f>B19</f>
        <v>1</v>
      </c>
      <c r="C33" s="314"/>
      <c r="D33" s="396"/>
      <c r="E33" s="397"/>
      <c r="F33" s="398"/>
      <c r="G33" s="399" t="str">
        <f t="shared" ref="G33:G38" si="2">IFERROR(F33/E33,"--")</f>
        <v>--</v>
      </c>
      <c r="H33" s="319"/>
    </row>
    <row r="34" spans="2:8" x14ac:dyDescent="0.25">
      <c r="B34" s="313">
        <f>B20</f>
        <v>2</v>
      </c>
      <c r="C34" s="314"/>
      <c r="D34" s="315"/>
      <c r="E34" s="389"/>
      <c r="F34" s="326"/>
      <c r="G34" s="391" t="str">
        <f t="shared" si="2"/>
        <v>--</v>
      </c>
      <c r="H34" s="319"/>
    </row>
    <row r="35" spans="2:8" x14ac:dyDescent="0.25">
      <c r="B35" s="313">
        <f>B21</f>
        <v>3</v>
      </c>
      <c r="C35" s="314"/>
      <c r="D35" s="315"/>
      <c r="E35" s="389"/>
      <c r="F35" s="326"/>
      <c r="G35" s="391" t="str">
        <f t="shared" si="2"/>
        <v>--</v>
      </c>
      <c r="H35" s="319"/>
    </row>
    <row r="36" spans="2:8" x14ac:dyDescent="0.25">
      <c r="B36" s="313">
        <f>B22</f>
        <v>4</v>
      </c>
      <c r="C36" s="314"/>
      <c r="D36" s="315"/>
      <c r="E36" s="389"/>
      <c r="F36" s="326"/>
      <c r="G36" s="391" t="str">
        <f t="shared" si="2"/>
        <v>--</v>
      </c>
      <c r="H36" s="319"/>
    </row>
    <row r="37" spans="2:8" x14ac:dyDescent="0.25">
      <c r="B37" s="313">
        <f>B23</f>
        <v>5</v>
      </c>
      <c r="C37" s="314"/>
      <c r="D37" s="315"/>
      <c r="E37" s="389"/>
      <c r="F37" s="326"/>
      <c r="G37" s="392" t="str">
        <f t="shared" si="2"/>
        <v>--</v>
      </c>
      <c r="H37" s="319"/>
    </row>
    <row r="38" spans="2:8" x14ac:dyDescent="0.25">
      <c r="B38" s="320">
        <v>7</v>
      </c>
      <c r="C38" s="321"/>
      <c r="D38" s="322"/>
      <c r="E38" s="390"/>
      <c r="F38" s="928"/>
      <c r="G38" s="393" t="str">
        <f t="shared" si="2"/>
        <v>--</v>
      </c>
      <c r="H38" s="324"/>
    </row>
    <row r="39" spans="2:8" ht="14.25" customHeight="1" x14ac:dyDescent="0.25">
      <c r="D39" s="371" t="s">
        <v>475</v>
      </c>
      <c r="E39" s="382">
        <f>MIN(E33:E38)</f>
        <v>0</v>
      </c>
      <c r="F39" s="383">
        <f>MIN(F33:F38)</f>
        <v>0</v>
      </c>
      <c r="G39" s="384">
        <f>MIN(G33:G38)</f>
        <v>0</v>
      </c>
      <c r="H39" s="1614" t="s">
        <v>508</v>
      </c>
    </row>
    <row r="40" spans="2:8" x14ac:dyDescent="0.25">
      <c r="D40" s="371" t="s">
        <v>436</v>
      </c>
      <c r="E40" s="382">
        <f>MAX(E33:E38)</f>
        <v>0</v>
      </c>
      <c r="F40" s="383">
        <f>MAX(F33:F38)</f>
        <v>0</v>
      </c>
      <c r="G40" s="384">
        <f>MAX(G33:G38)</f>
        <v>0</v>
      </c>
      <c r="H40" s="1615"/>
    </row>
    <row r="41" spans="2:8" x14ac:dyDescent="0.25">
      <c r="D41" s="371" t="s">
        <v>476</v>
      </c>
      <c r="E41" s="382" t="e">
        <f>MEDIAN(E33:E38)</f>
        <v>#NUM!</v>
      </c>
      <c r="F41" s="383" t="e">
        <f>MEDIAN(F33:F38)</f>
        <v>#NUM!</v>
      </c>
      <c r="G41" s="384" t="e">
        <f>MEDIAN(G33:G38)</f>
        <v>#NUM!</v>
      </c>
      <c r="H41" s="1615"/>
    </row>
    <row r="42" spans="2:8" x14ac:dyDescent="0.25">
      <c r="D42" s="372" t="s">
        <v>477</v>
      </c>
      <c r="E42" s="385" t="e">
        <f>AVERAGE(E33:E38)</f>
        <v>#DIV/0!</v>
      </c>
      <c r="F42" s="386" t="e">
        <f>AVERAGE(F33:F38)</f>
        <v>#DIV/0!</v>
      </c>
      <c r="G42" s="387" t="e">
        <f>AVERAGE(G33:G38)</f>
        <v>#DIV/0!</v>
      </c>
      <c r="H42" s="1615"/>
    </row>
    <row r="43" spans="2:8" x14ac:dyDescent="0.25">
      <c r="D43" s="372" t="s">
        <v>478</v>
      </c>
      <c r="E43" s="373" t="str">
        <f>+Economics!G7</f>
        <v>-</v>
      </c>
      <c r="F43" s="374" t="str">
        <f>+Economics!I7</f>
        <v>-</v>
      </c>
      <c r="G43" s="375" t="e">
        <f>F43/E43</f>
        <v>#VALUE!</v>
      </c>
      <c r="H43" s="1616"/>
    </row>
    <row r="45" spans="2:8" x14ac:dyDescent="0.25">
      <c r="B45" s="916" t="s">
        <v>483</v>
      </c>
      <c r="E45" s="918"/>
    </row>
    <row r="46" spans="2:8" x14ac:dyDescent="0.25">
      <c r="B46" s="175" t="s">
        <v>467</v>
      </c>
      <c r="C46" s="290" t="s">
        <v>468</v>
      </c>
      <c r="D46" s="20" t="s">
        <v>480</v>
      </c>
      <c r="E46" s="325" t="s">
        <v>62</v>
      </c>
      <c r="F46" s="312" t="s">
        <v>448</v>
      </c>
      <c r="G46" s="312" t="s">
        <v>65</v>
      </c>
      <c r="H46" s="230" t="s">
        <v>474</v>
      </c>
    </row>
    <row r="47" spans="2:8" x14ac:dyDescent="0.25">
      <c r="B47" s="394">
        <v>1</v>
      </c>
      <c r="C47" s="395"/>
      <c r="D47" s="396"/>
      <c r="E47" s="397"/>
      <c r="F47" s="398"/>
      <c r="G47" s="399" t="str">
        <f t="shared" ref="G47:G52" si="3">IFERROR(F47/E47,"--")</f>
        <v>--</v>
      </c>
      <c r="H47" s="317"/>
    </row>
    <row r="48" spans="2:8" x14ac:dyDescent="0.25">
      <c r="B48" s="313">
        <v>2</v>
      </c>
      <c r="C48" s="314"/>
      <c r="D48" s="315"/>
      <c r="E48" s="389"/>
      <c r="F48" s="326"/>
      <c r="G48" s="391" t="str">
        <f t="shared" si="3"/>
        <v>--</v>
      </c>
      <c r="H48" s="319"/>
    </row>
    <row r="49" spans="2:8" x14ac:dyDescent="0.25">
      <c r="B49" s="313">
        <v>3</v>
      </c>
      <c r="C49" s="314"/>
      <c r="D49" s="315"/>
      <c r="E49" s="389"/>
      <c r="F49" s="326"/>
      <c r="G49" s="391" t="str">
        <f t="shared" si="3"/>
        <v>--</v>
      </c>
      <c r="H49" s="319"/>
    </row>
    <row r="50" spans="2:8" x14ac:dyDescent="0.25">
      <c r="B50" s="313">
        <v>7</v>
      </c>
      <c r="C50" s="314"/>
      <c r="D50" s="315"/>
      <c r="E50" s="389"/>
      <c r="F50" s="326"/>
      <c r="G50" s="391" t="str">
        <f t="shared" si="3"/>
        <v>--</v>
      </c>
      <c r="H50" s="319"/>
    </row>
    <row r="51" spans="2:8" x14ac:dyDescent="0.25">
      <c r="B51" s="313">
        <v>8</v>
      </c>
      <c r="C51" s="314"/>
      <c r="D51" s="315"/>
      <c r="E51" s="389"/>
      <c r="F51" s="326"/>
      <c r="G51" s="392" t="str">
        <f t="shared" si="3"/>
        <v>--</v>
      </c>
      <c r="H51" s="327"/>
    </row>
    <row r="52" spans="2:8" x14ac:dyDescent="0.25">
      <c r="B52" s="320">
        <v>9</v>
      </c>
      <c r="C52" s="321"/>
      <c r="D52" s="322"/>
      <c r="E52" s="389"/>
      <c r="F52" s="326"/>
      <c r="G52" s="391" t="str">
        <f t="shared" si="3"/>
        <v>--</v>
      </c>
      <c r="H52" s="324"/>
    </row>
    <row r="53" spans="2:8" x14ac:dyDescent="0.25">
      <c r="D53" s="367" t="s">
        <v>475</v>
      </c>
      <c r="E53" s="379">
        <f>MIN(E47:E52)</f>
        <v>0</v>
      </c>
      <c r="F53" s="380">
        <f>MIN(F47:F52)</f>
        <v>0</v>
      </c>
      <c r="G53" s="381">
        <f>MIN(G47:G52)</f>
        <v>0</v>
      </c>
      <c r="H53" s="1614" t="s">
        <v>508</v>
      </c>
    </row>
    <row r="54" spans="2:8" x14ac:dyDescent="0.25">
      <c r="D54" s="371" t="s">
        <v>436</v>
      </c>
      <c r="E54" s="382">
        <f>MAX(E47:E52)</f>
        <v>0</v>
      </c>
      <c r="F54" s="383">
        <f>MAX(F47:F52)</f>
        <v>0</v>
      </c>
      <c r="G54" s="384">
        <f>MAX(G47:G52)</f>
        <v>0</v>
      </c>
      <c r="H54" s="1615"/>
    </row>
    <row r="55" spans="2:8" x14ac:dyDescent="0.25">
      <c r="D55" s="371" t="s">
        <v>476</v>
      </c>
      <c r="E55" s="382" t="e">
        <f>MEDIAN(E47:E52)</f>
        <v>#NUM!</v>
      </c>
      <c r="F55" s="383" t="e">
        <f>MEDIAN(F47:F52)</f>
        <v>#NUM!</v>
      </c>
      <c r="G55" s="384" t="e">
        <f>MEDIAN(G47:G52)</f>
        <v>#NUM!</v>
      </c>
      <c r="H55" s="1615"/>
    </row>
    <row r="56" spans="2:8" x14ac:dyDescent="0.25">
      <c r="D56" s="372" t="s">
        <v>477</v>
      </c>
      <c r="E56" s="385" t="e">
        <f>AVERAGE(E47:E52)</f>
        <v>#DIV/0!</v>
      </c>
      <c r="F56" s="386" t="e">
        <f>AVERAGE(F47:F52)</f>
        <v>#DIV/0!</v>
      </c>
      <c r="G56" s="387" t="e">
        <f>AVERAGE(G47:G52)</f>
        <v>#DIV/0!</v>
      </c>
      <c r="H56" s="1615"/>
    </row>
    <row r="57" spans="2:8" x14ac:dyDescent="0.25">
      <c r="D57" s="372" t="s">
        <v>478</v>
      </c>
      <c r="E57" s="373" t="str">
        <f>+Economics!G8</f>
        <v>-</v>
      </c>
      <c r="F57" s="374" t="str">
        <f>+Economics!I8</f>
        <v>-</v>
      </c>
      <c r="G57" s="387" t="e">
        <f>F57/E57</f>
        <v>#VALUE!</v>
      </c>
      <c r="H57" s="1616"/>
    </row>
  </sheetData>
  <mergeCells count="3">
    <mergeCell ref="H39:H43"/>
    <mergeCell ref="H53:H57"/>
    <mergeCell ref="H11:H1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435E-4AC3-4DFC-9845-DB03AD3067CC}">
  <dimension ref="A2:Q80"/>
  <sheetViews>
    <sheetView showGridLines="0" zoomScale="90" zoomScaleNormal="90" workbookViewId="0"/>
  </sheetViews>
  <sheetFormatPr defaultRowHeight="15" x14ac:dyDescent="0.25"/>
  <cols>
    <col min="1" max="1" width="11.5703125" style="510" bestFit="1" customWidth="1"/>
    <col min="2" max="2" width="31.42578125" customWidth="1"/>
    <col min="3" max="3" width="21.85546875" bestFit="1" customWidth="1"/>
    <col min="4" max="4" width="16.28515625" bestFit="1" customWidth="1"/>
    <col min="5" max="5" width="18.85546875" bestFit="1" customWidth="1"/>
    <col min="6" max="6" width="7.7109375" customWidth="1"/>
    <col min="7" max="7" width="33.5703125" bestFit="1" customWidth="1"/>
    <col min="8" max="8" width="12" customWidth="1"/>
    <col min="9" max="9" width="15.5703125" customWidth="1"/>
    <col min="10" max="11" width="14.85546875" customWidth="1"/>
    <col min="12" max="12" width="23.42578125" customWidth="1"/>
    <col min="13" max="13" width="9.5703125" customWidth="1"/>
    <col min="15" max="15" width="14.42578125" customWidth="1"/>
    <col min="17" max="17" width="11.85546875" customWidth="1"/>
  </cols>
  <sheetData>
    <row r="2" spans="1:16" ht="30" x14ac:dyDescent="0.25">
      <c r="B2" s="1394" t="s">
        <v>588</v>
      </c>
      <c r="C2" s="1099"/>
      <c r="D2" s="1099"/>
      <c r="E2" s="1099"/>
      <c r="G2" s="1100" t="s">
        <v>589</v>
      </c>
      <c r="H2" s="1099"/>
      <c r="I2" s="1099"/>
      <c r="J2" s="1099"/>
      <c r="K2" s="1099"/>
      <c r="L2" s="1099"/>
      <c r="M2" s="1099"/>
    </row>
    <row r="3" spans="1:16" x14ac:dyDescent="0.25">
      <c r="J3" s="1101" t="s">
        <v>590</v>
      </c>
      <c r="K3" s="1101" t="s">
        <v>591</v>
      </c>
    </row>
    <row r="4" spans="1:16" x14ac:dyDescent="0.25">
      <c r="B4" s="1102" t="s">
        <v>230</v>
      </c>
      <c r="C4" s="1102" t="s">
        <v>61</v>
      </c>
      <c r="D4" s="1103" t="s">
        <v>592</v>
      </c>
      <c r="E4" s="1103" t="s">
        <v>593</v>
      </c>
      <c r="G4" s="1104" t="s">
        <v>594</v>
      </c>
      <c r="H4" s="1105"/>
      <c r="I4" s="1106"/>
      <c r="J4" s="1107" t="s">
        <v>63</v>
      </c>
      <c r="K4" s="1107" t="s">
        <v>63</v>
      </c>
      <c r="L4" s="1107" t="s">
        <v>64</v>
      </c>
      <c r="M4" s="1108" t="s">
        <v>595</v>
      </c>
      <c r="N4" s="1109"/>
      <c r="O4" s="1110" t="s">
        <v>596</v>
      </c>
      <c r="P4" s="1111" t="s">
        <v>597</v>
      </c>
    </row>
    <row r="5" spans="1:16" x14ac:dyDescent="0.25">
      <c r="A5" s="510" t="s">
        <v>598</v>
      </c>
      <c r="B5" s="1112">
        <v>0</v>
      </c>
      <c r="C5" s="960">
        <f>Economics!$F$15</f>
        <v>0</v>
      </c>
      <c r="D5" s="1113">
        <v>0</v>
      </c>
      <c r="E5" s="1114" t="e">
        <f>Economics!$H$125</f>
        <v>#DIV/0!</v>
      </c>
      <c r="G5" s="1115" t="s">
        <v>599</v>
      </c>
      <c r="H5" s="608"/>
      <c r="I5" s="97"/>
      <c r="J5" s="96"/>
      <c r="K5" s="96"/>
      <c r="L5" s="97"/>
      <c r="M5" s="97"/>
      <c r="N5" s="1109"/>
      <c r="O5" s="96"/>
      <c r="P5" s="1116"/>
    </row>
    <row r="6" spans="1:16" x14ac:dyDescent="0.25">
      <c r="A6" s="510" t="s">
        <v>600</v>
      </c>
      <c r="B6" s="1112">
        <v>0</v>
      </c>
      <c r="C6" s="1117">
        <v>0</v>
      </c>
      <c r="D6" s="1113">
        <v>0</v>
      </c>
      <c r="E6" s="1114" t="e">
        <f>Economics!$I$125</f>
        <v>#DIV/0!</v>
      </c>
      <c r="G6" s="1118" t="s">
        <v>601</v>
      </c>
      <c r="H6" s="608"/>
      <c r="I6" s="2"/>
      <c r="J6" s="1119">
        <v>0</v>
      </c>
      <c r="K6" s="1119">
        <v>0</v>
      </c>
      <c r="L6" s="95">
        <f>IFERROR(K6/$C$7,0)</f>
        <v>0</v>
      </c>
      <c r="M6" s="95" t="e">
        <f>K6/$D$7</f>
        <v>#DIV/0!</v>
      </c>
      <c r="N6" s="1109"/>
      <c r="O6" s="95">
        <f>+K6-J6</f>
        <v>0</v>
      </c>
      <c r="P6" s="1120"/>
    </row>
    <row r="7" spans="1:16" x14ac:dyDescent="0.25">
      <c r="A7" s="1121" t="s">
        <v>63</v>
      </c>
      <c r="B7" s="1122">
        <f>SUM(B5:B6)</f>
        <v>0</v>
      </c>
      <c r="C7" s="245">
        <f>SUM(C5:C6)</f>
        <v>0</v>
      </c>
      <c r="D7" s="1123">
        <f>SUM(D5:D6)</f>
        <v>0</v>
      </c>
      <c r="E7" s="1124" t="e">
        <f>Economics!$J$125</f>
        <v>#DIV/0!</v>
      </c>
      <c r="G7" s="1118" t="s">
        <v>602</v>
      </c>
      <c r="H7" s="608"/>
      <c r="I7" s="97"/>
      <c r="J7" s="1125">
        <v>0</v>
      </c>
      <c r="K7" s="1125">
        <v>0</v>
      </c>
      <c r="L7" s="97">
        <f>IFERROR(K7/$C$7,0)</f>
        <v>0</v>
      </c>
      <c r="M7" s="97" t="e">
        <f>K7/$D$7</f>
        <v>#DIV/0!</v>
      </c>
      <c r="N7" s="1109"/>
      <c r="O7" s="97">
        <f>+K7-J7</f>
        <v>0</v>
      </c>
      <c r="P7" s="1116" t="s">
        <v>603</v>
      </c>
    </row>
    <row r="8" spans="1:16" x14ac:dyDescent="0.25">
      <c r="A8" s="510" t="s">
        <v>466</v>
      </c>
      <c r="B8" s="1126">
        <v>0</v>
      </c>
      <c r="C8" s="1127">
        <v>0</v>
      </c>
      <c r="G8" s="1118" t="s">
        <v>604</v>
      </c>
      <c r="H8" s="608"/>
      <c r="I8" s="97"/>
      <c r="J8" s="1128">
        <f>J9-J7-J6</f>
        <v>0</v>
      </c>
      <c r="K8" s="1128">
        <f>K9-K7-K6</f>
        <v>0</v>
      </c>
      <c r="L8" s="1128">
        <f>IFERROR(K8/$C$7,0)</f>
        <v>0</v>
      </c>
      <c r="M8" s="1128" t="e">
        <f>K8/$D$7</f>
        <v>#DIV/0!</v>
      </c>
      <c r="N8" s="1109"/>
      <c r="O8" s="1128">
        <f>+K8-J8</f>
        <v>0</v>
      </c>
      <c r="P8" s="1129"/>
    </row>
    <row r="9" spans="1:16" x14ac:dyDescent="0.25">
      <c r="F9" s="1130"/>
      <c r="G9" s="1131" t="s">
        <v>605</v>
      </c>
      <c r="H9" s="1132"/>
      <c r="I9" s="1133"/>
      <c r="J9" s="1134">
        <v>0</v>
      </c>
      <c r="K9" s="1134">
        <v>0</v>
      </c>
      <c r="L9" s="1135">
        <f>IFERROR(K9/$C$7,0)</f>
        <v>0</v>
      </c>
      <c r="M9" s="1135" t="e">
        <f>K9/$D$7</f>
        <v>#DIV/0!</v>
      </c>
      <c r="N9" s="1109"/>
      <c r="O9" s="1135">
        <f>+K9-J9</f>
        <v>0</v>
      </c>
      <c r="P9" s="1136"/>
    </row>
    <row r="10" spans="1:16" x14ac:dyDescent="0.25">
      <c r="B10" s="1098" t="s">
        <v>606</v>
      </c>
      <c r="C10" s="1099"/>
      <c r="D10" s="1099"/>
      <c r="E10" s="1099"/>
      <c r="F10" s="1130"/>
      <c r="G10" s="1115" t="s">
        <v>607</v>
      </c>
      <c r="H10" s="608"/>
      <c r="I10" s="97"/>
      <c r="J10" s="96"/>
      <c r="K10" s="96"/>
      <c r="L10" s="97"/>
      <c r="M10" s="97"/>
      <c r="N10" s="1109"/>
      <c r="O10" s="97"/>
      <c r="P10" s="1116"/>
    </row>
    <row r="11" spans="1:16" x14ac:dyDescent="0.25">
      <c r="F11" s="1130"/>
      <c r="G11" s="1118" t="s">
        <v>608</v>
      </c>
      <c r="H11" s="608"/>
      <c r="I11" s="97"/>
      <c r="J11" s="1125">
        <v>0</v>
      </c>
      <c r="K11" s="1125">
        <v>0</v>
      </c>
      <c r="L11" s="97">
        <f t="shared" ref="L11:L19" si="0">IFERROR(K11/$C$7,0)</f>
        <v>0</v>
      </c>
      <c r="M11" s="97" t="e">
        <f t="shared" ref="M11:M19" si="1">K11/$D$7</f>
        <v>#DIV/0!</v>
      </c>
      <c r="N11" s="1109"/>
      <c r="O11" s="97">
        <f t="shared" ref="O11:O19" si="2">+K11-J11</f>
        <v>0</v>
      </c>
      <c r="P11" s="1116" t="s">
        <v>609</v>
      </c>
    </row>
    <row r="12" spans="1:16" x14ac:dyDescent="0.25">
      <c r="B12" s="1137" t="s">
        <v>610</v>
      </c>
      <c r="C12" s="1138" t="s">
        <v>611</v>
      </c>
      <c r="D12" s="1139" t="s">
        <v>63</v>
      </c>
      <c r="E12" s="1140" t="s">
        <v>595</v>
      </c>
      <c r="F12" s="1130"/>
      <c r="G12" s="1118" t="s">
        <v>319</v>
      </c>
      <c r="H12" s="608"/>
      <c r="I12" s="97"/>
      <c r="J12" s="1125">
        <v>0</v>
      </c>
      <c r="K12" s="1125">
        <v>0</v>
      </c>
      <c r="L12" s="97">
        <f t="shared" si="0"/>
        <v>0</v>
      </c>
      <c r="M12" s="97" t="e">
        <f t="shared" si="1"/>
        <v>#DIV/0!</v>
      </c>
      <c r="N12" s="1109"/>
      <c r="O12" s="97">
        <f t="shared" si="2"/>
        <v>0</v>
      </c>
      <c r="P12" s="1116" t="s">
        <v>612</v>
      </c>
    </row>
    <row r="13" spans="1:16" x14ac:dyDescent="0.25">
      <c r="B13" s="1141" t="s">
        <v>613</v>
      </c>
      <c r="C13" s="1142">
        <v>0</v>
      </c>
      <c r="D13" s="1143">
        <f>+C13*$D$7</f>
        <v>0</v>
      </c>
      <c r="E13" s="1144" t="e">
        <f>D13/$D$7</f>
        <v>#DIV/0!</v>
      </c>
      <c r="F13" s="1130"/>
      <c r="G13" s="1118" t="s">
        <v>614</v>
      </c>
      <c r="H13" s="608"/>
      <c r="I13" s="97"/>
      <c r="J13" s="1125">
        <v>0</v>
      </c>
      <c r="K13" s="1125">
        <v>0</v>
      </c>
      <c r="L13" s="97">
        <f t="shared" si="0"/>
        <v>0</v>
      </c>
      <c r="M13" s="97" t="e">
        <f t="shared" si="1"/>
        <v>#DIV/0!</v>
      </c>
      <c r="N13" s="1109"/>
      <c r="O13" s="97">
        <f t="shared" si="2"/>
        <v>0</v>
      </c>
      <c r="P13" s="1116" t="s">
        <v>615</v>
      </c>
    </row>
    <row r="14" spans="1:16" x14ac:dyDescent="0.25">
      <c r="B14" s="1141" t="s">
        <v>616</v>
      </c>
      <c r="C14" s="1145">
        <f>AVERAGE(C13,C15)</f>
        <v>0</v>
      </c>
      <c r="D14" s="1146">
        <f>AVERAGE(D13,D15)</f>
        <v>0</v>
      </c>
      <c r="E14" s="1147" t="e">
        <f>D14/$D$7</f>
        <v>#DIV/0!</v>
      </c>
      <c r="F14" s="1130"/>
      <c r="G14" s="1118" t="s">
        <v>617</v>
      </c>
      <c r="H14" s="608"/>
      <c r="I14" s="97"/>
      <c r="J14" s="1125">
        <v>0</v>
      </c>
      <c r="K14" s="1125">
        <v>0</v>
      </c>
      <c r="L14" s="97">
        <f t="shared" si="0"/>
        <v>0</v>
      </c>
      <c r="M14" s="97" t="e">
        <f t="shared" si="1"/>
        <v>#DIV/0!</v>
      </c>
      <c r="N14" s="1109"/>
      <c r="O14" s="97">
        <f t="shared" si="2"/>
        <v>0</v>
      </c>
      <c r="P14" s="1116" t="s">
        <v>618</v>
      </c>
    </row>
    <row r="15" spans="1:16" x14ac:dyDescent="0.25">
      <c r="B15" s="1141" t="s">
        <v>619</v>
      </c>
      <c r="C15" s="1119">
        <v>0</v>
      </c>
      <c r="D15" s="1146">
        <f>+C15*$D$7</f>
        <v>0</v>
      </c>
      <c r="E15" s="1147" t="e">
        <f t="shared" ref="E15" si="3">D15/$D$7</f>
        <v>#DIV/0!</v>
      </c>
      <c r="F15" s="1130"/>
      <c r="G15" s="1118" t="s">
        <v>620</v>
      </c>
      <c r="H15" s="608"/>
      <c r="I15" s="97"/>
      <c r="J15" s="1125">
        <v>0</v>
      </c>
      <c r="K15" s="1125">
        <v>0</v>
      </c>
      <c r="L15" s="97">
        <f t="shared" si="0"/>
        <v>0</v>
      </c>
      <c r="M15" s="97" t="e">
        <f t="shared" si="1"/>
        <v>#DIV/0!</v>
      </c>
      <c r="N15" s="1109"/>
      <c r="O15" s="97">
        <f t="shared" si="2"/>
        <v>0</v>
      </c>
      <c r="P15" s="1116" t="s">
        <v>621</v>
      </c>
    </row>
    <row r="16" spans="1:16" x14ac:dyDescent="0.25">
      <c r="B16" s="1148" t="s">
        <v>619</v>
      </c>
      <c r="C16" s="1149">
        <f>_xlfn.XLOOKUP($B$16,$B$13:$B$15,C$13:C$15)</f>
        <v>0</v>
      </c>
      <c r="D16" s="1149">
        <f>_xlfn.XLOOKUP($B$16,$B$13:$B$15,D$13:D$15)</f>
        <v>0</v>
      </c>
      <c r="E16" s="1150" t="e">
        <f>_xlfn.XLOOKUP($B$16,$B$13:$B$15,E$13:E$15)</f>
        <v>#DIV/0!</v>
      </c>
      <c r="F16" s="1130"/>
      <c r="G16" s="1118" t="s">
        <v>622</v>
      </c>
      <c r="H16" s="608"/>
      <c r="I16" s="97"/>
      <c r="J16" s="1125">
        <v>0</v>
      </c>
      <c r="K16" s="1125">
        <v>0</v>
      </c>
      <c r="L16" s="97">
        <f t="shared" si="0"/>
        <v>0</v>
      </c>
      <c r="M16" s="97" t="e">
        <f t="shared" si="1"/>
        <v>#DIV/0!</v>
      </c>
      <c r="N16" s="1109"/>
      <c r="O16" s="97">
        <f t="shared" si="2"/>
        <v>0</v>
      </c>
      <c r="P16" s="1116"/>
    </row>
    <row r="17" spans="2:16" x14ac:dyDescent="0.25">
      <c r="B17" s="1151" t="s">
        <v>623</v>
      </c>
      <c r="C17" s="1152"/>
      <c r="D17" s="1146">
        <f>$J$19-$J$17</f>
        <v>0</v>
      </c>
      <c r="E17" s="1147" t="e">
        <f>D17/$D$7</f>
        <v>#DIV/0!</v>
      </c>
      <c r="F17" s="510"/>
      <c r="G17" s="1118" t="s">
        <v>624</v>
      </c>
      <c r="H17" s="608"/>
      <c r="I17" s="1153" t="e">
        <f>+K17/(VLOOKUP("Total Hard Costs",$G$5:$K$52,5,FALSE)-K17)</f>
        <v>#DIV/0!</v>
      </c>
      <c r="J17" s="1125">
        <v>0</v>
      </c>
      <c r="K17" s="1125">
        <v>0</v>
      </c>
      <c r="L17" s="97">
        <f t="shared" si="0"/>
        <v>0</v>
      </c>
      <c r="M17" s="97" t="e">
        <f t="shared" si="1"/>
        <v>#DIV/0!</v>
      </c>
      <c r="N17" s="1109"/>
      <c r="O17" s="97">
        <f t="shared" si="2"/>
        <v>0</v>
      </c>
      <c r="P17" s="1116" t="s">
        <v>625</v>
      </c>
    </row>
    <row r="18" spans="2:16" x14ac:dyDescent="0.25">
      <c r="B18" s="1154" t="s">
        <v>626</v>
      </c>
      <c r="C18" s="1155" t="e">
        <f>D18/D16</f>
        <v>#DIV/0!</v>
      </c>
      <c r="D18" s="1156">
        <f>D17-D16</f>
        <v>0</v>
      </c>
      <c r="E18" s="1157" t="e">
        <f>D18/$D$7</f>
        <v>#DIV/0!</v>
      </c>
      <c r="F18" s="1130"/>
      <c r="G18" s="1118" t="s">
        <v>627</v>
      </c>
      <c r="H18" s="608"/>
      <c r="I18" s="97"/>
      <c r="J18" s="352">
        <v>0</v>
      </c>
      <c r="K18" s="352">
        <v>0</v>
      </c>
      <c r="L18" s="1128">
        <f t="shared" si="0"/>
        <v>0</v>
      </c>
      <c r="M18" s="1128" t="e">
        <f t="shared" si="1"/>
        <v>#DIV/0!</v>
      </c>
      <c r="N18" s="1109"/>
      <c r="O18" s="1128">
        <f t="shared" si="2"/>
        <v>0</v>
      </c>
      <c r="P18" s="1158"/>
    </row>
    <row r="19" spans="2:16" x14ac:dyDescent="0.25">
      <c r="G19" s="1131" t="s">
        <v>628</v>
      </c>
      <c r="H19" s="1131"/>
      <c r="I19" s="1135"/>
      <c r="J19" s="1135">
        <f>SUM(J11:J18)</f>
        <v>0</v>
      </c>
      <c r="K19" s="1135">
        <f>SUM(K11:K18)</f>
        <v>0</v>
      </c>
      <c r="L19" s="1135">
        <f t="shared" si="0"/>
        <v>0</v>
      </c>
      <c r="M19" s="1135" t="e">
        <f t="shared" si="1"/>
        <v>#DIV/0!</v>
      </c>
      <c r="N19" s="1109"/>
      <c r="O19" s="1135">
        <f t="shared" si="2"/>
        <v>0</v>
      </c>
      <c r="P19" s="1136"/>
    </row>
    <row r="20" spans="2:16" x14ac:dyDescent="0.25">
      <c r="B20" s="1137" t="s">
        <v>629</v>
      </c>
      <c r="C20" s="1138" t="s">
        <v>611</v>
      </c>
      <c r="D20" s="1139" t="s">
        <v>63</v>
      </c>
      <c r="E20" s="1140" t="s">
        <v>595</v>
      </c>
      <c r="G20" s="608"/>
      <c r="H20" s="608"/>
      <c r="I20" s="97"/>
      <c r="J20" s="96"/>
      <c r="K20" s="96"/>
      <c r="L20" s="97"/>
      <c r="M20" s="97"/>
      <c r="N20" s="1109"/>
      <c r="O20" s="97"/>
      <c r="P20" s="1116"/>
    </row>
    <row r="21" spans="2:16" x14ac:dyDescent="0.25">
      <c r="B21" s="1141" t="s">
        <v>630</v>
      </c>
      <c r="C21" s="1159">
        <v>3.5000000000000003E-2</v>
      </c>
      <c r="D21" s="1145">
        <f>+C21*$K$19</f>
        <v>0</v>
      </c>
      <c r="E21" s="1160" t="e">
        <f>D21/$D$7</f>
        <v>#DIV/0!</v>
      </c>
      <c r="G21" s="1115" t="s">
        <v>631</v>
      </c>
      <c r="H21" s="608"/>
      <c r="I21" s="97"/>
      <c r="J21" s="96"/>
      <c r="K21" s="96"/>
      <c r="L21" s="97"/>
      <c r="M21" s="97"/>
      <c r="N21" s="1109"/>
      <c r="O21" s="97"/>
      <c r="P21" s="1116"/>
    </row>
    <row r="22" spans="2:16" x14ac:dyDescent="0.25">
      <c r="B22" s="1141" t="s">
        <v>632</v>
      </c>
      <c r="C22" s="1159">
        <v>1.4999999999999999E-2</v>
      </c>
      <c r="D22" s="1146">
        <f>+C22*$K$19</f>
        <v>0</v>
      </c>
      <c r="E22" s="1147" t="e">
        <f t="shared" ref="E22:E25" si="4">D22/$D$7</f>
        <v>#DIV/0!</v>
      </c>
      <c r="G22" s="1118" t="s">
        <v>633</v>
      </c>
      <c r="H22" s="608"/>
      <c r="I22" s="97"/>
      <c r="J22" s="1125">
        <v>0</v>
      </c>
      <c r="K22" s="97">
        <f>D75</f>
        <v>0</v>
      </c>
      <c r="L22" s="97">
        <f t="shared" ref="L22:L32" si="5">IFERROR(K22/$C$7,0)</f>
        <v>0</v>
      </c>
      <c r="M22" s="97" t="e">
        <f t="shared" ref="M22:M32" si="6">K22/$D$7</f>
        <v>#DIV/0!</v>
      </c>
      <c r="N22" s="1109"/>
      <c r="O22" s="97">
        <f t="shared" ref="O22:O44" si="7">+K22-J22</f>
        <v>0</v>
      </c>
      <c r="P22" s="1116" t="s">
        <v>634</v>
      </c>
    </row>
    <row r="23" spans="2:16" x14ac:dyDescent="0.25">
      <c r="B23" s="1141" t="s">
        <v>635</v>
      </c>
      <c r="C23" s="1161" t="s">
        <v>636</v>
      </c>
      <c r="D23" s="1146" t="e">
        <f>Economics!$I$15*Economics!$F$15*50%</f>
        <v>#DIV/0!</v>
      </c>
      <c r="E23" s="1147" t="e">
        <f t="shared" si="4"/>
        <v>#DIV/0!</v>
      </c>
      <c r="G23" s="1118" t="s">
        <v>630</v>
      </c>
      <c r="H23" s="608"/>
      <c r="I23" s="1153" t="e">
        <f>+K23/VLOOKUP("Total Hard Costs",$G$5:$K$52,5,FALSE)</f>
        <v>#DIV/0!</v>
      </c>
      <c r="J23" s="1125">
        <v>0</v>
      </c>
      <c r="K23" s="1125">
        <v>0</v>
      </c>
      <c r="L23" s="97">
        <f t="shared" si="5"/>
        <v>0</v>
      </c>
      <c r="M23" s="97" t="e">
        <f t="shared" si="6"/>
        <v>#DIV/0!</v>
      </c>
      <c r="N23" s="1109"/>
      <c r="O23" s="97">
        <f t="shared" si="7"/>
        <v>0</v>
      </c>
      <c r="P23" s="1116" t="s">
        <v>637</v>
      </c>
    </row>
    <row r="24" spans="2:16" x14ac:dyDescent="0.25">
      <c r="B24" s="1141" t="s">
        <v>638</v>
      </c>
      <c r="C24" s="1162" t="s">
        <v>639</v>
      </c>
      <c r="D24" s="1146" t="e">
        <f>IF(C24="Single Loan (1st)",'Int Reserve - Single Loan'!$I$88,IF(C24="Single Loan (2nd)",'Int Reserve - Single Loan'!$V$88,'Int Reserve - A-B Loan'!$I$88))+Economics!$J$66</f>
        <v>#N/A</v>
      </c>
      <c r="E24" s="1147" t="e">
        <f t="shared" si="4"/>
        <v>#N/A</v>
      </c>
      <c r="G24" s="1118" t="s">
        <v>640</v>
      </c>
      <c r="H24" s="608"/>
      <c r="I24" s="1153" t="e">
        <f>+K24/VLOOKUP("Total Hard Costs",$G$5:$K$52,5,FALSE)</f>
        <v>#DIV/0!</v>
      </c>
      <c r="J24" s="1125">
        <v>0</v>
      </c>
      <c r="K24" s="1125">
        <v>0</v>
      </c>
      <c r="L24" s="97">
        <f t="shared" si="5"/>
        <v>0</v>
      </c>
      <c r="M24" s="97" t="e">
        <f t="shared" si="6"/>
        <v>#DIV/0!</v>
      </c>
      <c r="N24" s="1109"/>
      <c r="O24" s="97">
        <f t="shared" si="7"/>
        <v>0</v>
      </c>
      <c r="P24" s="1116" t="s">
        <v>641</v>
      </c>
    </row>
    <row r="25" spans="2:16" x14ac:dyDescent="0.25">
      <c r="B25" s="1141" t="s">
        <v>760</v>
      </c>
      <c r="C25" s="1395">
        <v>0.05</v>
      </c>
      <c r="D25" s="1146" t="e">
        <f>D24*$C$25</f>
        <v>#N/A</v>
      </c>
      <c r="E25" s="1147" t="e">
        <f t="shared" si="4"/>
        <v>#N/A</v>
      </c>
      <c r="G25" s="1118" t="s">
        <v>642</v>
      </c>
      <c r="H25" s="608"/>
      <c r="I25" s="97"/>
      <c r="J25" s="1125">
        <v>0</v>
      </c>
      <c r="K25" s="1125">
        <v>0</v>
      </c>
      <c r="L25" s="97">
        <f t="shared" si="5"/>
        <v>0</v>
      </c>
      <c r="M25" s="97" t="e">
        <f t="shared" si="6"/>
        <v>#DIV/0!</v>
      </c>
      <c r="N25" s="1109"/>
      <c r="O25" s="97">
        <f t="shared" si="7"/>
        <v>0</v>
      </c>
      <c r="P25" s="1169" t="s">
        <v>761</v>
      </c>
    </row>
    <row r="26" spans="2:16" x14ac:dyDescent="0.25">
      <c r="B26" s="1164" t="s">
        <v>63</v>
      </c>
      <c r="C26" s="1165"/>
      <c r="D26" s="1166" t="e">
        <f>SUM(D21:D25)</f>
        <v>#DIV/0!</v>
      </c>
      <c r="E26" s="1167" t="e">
        <f>D26/$D$7</f>
        <v>#DIV/0!</v>
      </c>
      <c r="G26" s="1118" t="s">
        <v>635</v>
      </c>
      <c r="H26" s="1168">
        <v>0.5</v>
      </c>
      <c r="I26" s="1168"/>
      <c r="J26" s="1125">
        <v>0</v>
      </c>
      <c r="K26" s="97">
        <f>IFERROR(IF(OR(K9&lt;&gt;0,K19&lt;&gt;0),Economics!$H$15/12*H26,0),0)</f>
        <v>0</v>
      </c>
      <c r="L26" s="97">
        <f t="shared" si="5"/>
        <v>0</v>
      </c>
      <c r="M26" s="97" t="e">
        <f t="shared" si="6"/>
        <v>#DIV/0!</v>
      </c>
      <c r="N26" s="1109"/>
      <c r="O26" s="97">
        <f t="shared" si="7"/>
        <v>0</v>
      </c>
      <c r="P26" s="1169" t="s">
        <v>643</v>
      </c>
    </row>
    <row r="27" spans="2:16" x14ac:dyDescent="0.25">
      <c r="B27" s="1151" t="s">
        <v>644</v>
      </c>
      <c r="C27" s="1152"/>
      <c r="D27" s="1146">
        <f>J23+J24+J25+J46</f>
        <v>0</v>
      </c>
      <c r="E27" s="1147" t="e">
        <f>D27/$D$7</f>
        <v>#DIV/0!</v>
      </c>
      <c r="G27" s="1118" t="s">
        <v>645</v>
      </c>
      <c r="H27" s="1170" t="e">
        <f>+K27/(K54-K27)</f>
        <v>#DIV/0!</v>
      </c>
      <c r="I27" s="1170"/>
      <c r="J27" s="1125">
        <v>0</v>
      </c>
      <c r="K27" s="1125">
        <v>0</v>
      </c>
      <c r="L27" s="97">
        <f t="shared" si="5"/>
        <v>0</v>
      </c>
      <c r="M27" s="97" t="e">
        <f t="shared" si="6"/>
        <v>#DIV/0!</v>
      </c>
      <c r="N27" s="1109"/>
      <c r="O27" s="97">
        <f t="shared" si="7"/>
        <v>0</v>
      </c>
      <c r="P27" s="1116" t="s">
        <v>646</v>
      </c>
    </row>
    <row r="28" spans="2:16" x14ac:dyDescent="0.25">
      <c r="B28" s="1154" t="s">
        <v>626</v>
      </c>
      <c r="C28" s="1155" t="e">
        <f>D28/D26</f>
        <v>#DIV/0!</v>
      </c>
      <c r="D28" s="1156" t="e">
        <f>D27-D26</f>
        <v>#DIV/0!</v>
      </c>
      <c r="E28" s="1157" t="e">
        <f>D28/$D$7</f>
        <v>#DIV/0!</v>
      </c>
      <c r="G28" s="1118" t="s">
        <v>647</v>
      </c>
      <c r="H28" s="1162"/>
      <c r="I28" s="1396" t="str">
        <f>IFERROR(VLOOKUP($H$28,$G$62:$H$71,2,FALSE),"N/A")</f>
        <v>N/A</v>
      </c>
      <c r="J28" s="1125">
        <v>0</v>
      </c>
      <c r="K28" s="97">
        <f>IFERROR(Economics!$H$34*-I28,0)</f>
        <v>0</v>
      </c>
      <c r="L28" s="97">
        <f t="shared" si="5"/>
        <v>0</v>
      </c>
      <c r="M28" s="97" t="e">
        <f t="shared" si="6"/>
        <v>#DIV/0!</v>
      </c>
      <c r="N28" s="1397"/>
      <c r="O28" s="97">
        <f t="shared" si="7"/>
        <v>0</v>
      </c>
      <c r="P28" s="1169" t="s">
        <v>648</v>
      </c>
    </row>
    <row r="29" spans="2:16" x14ac:dyDescent="0.25">
      <c r="G29" s="1118" t="s">
        <v>649</v>
      </c>
      <c r="H29" s="608"/>
      <c r="I29" s="97"/>
      <c r="J29" s="1125">
        <v>0</v>
      </c>
      <c r="K29" s="1125">
        <v>0</v>
      </c>
      <c r="L29" s="97">
        <f t="shared" si="5"/>
        <v>0</v>
      </c>
      <c r="M29" s="97" t="e">
        <f t="shared" si="6"/>
        <v>#DIV/0!</v>
      </c>
      <c r="N29" s="1109"/>
      <c r="O29" s="97">
        <f t="shared" si="7"/>
        <v>0</v>
      </c>
      <c r="P29" s="1169" t="s">
        <v>650</v>
      </c>
    </row>
    <row r="30" spans="2:16" x14ac:dyDescent="0.25">
      <c r="B30" s="1137" t="s">
        <v>651</v>
      </c>
      <c r="C30" s="1138" t="s">
        <v>611</v>
      </c>
      <c r="D30" s="1139" t="s">
        <v>63</v>
      </c>
      <c r="E30" s="1140" t="s">
        <v>595</v>
      </c>
      <c r="G30" s="1118" t="s">
        <v>652</v>
      </c>
      <c r="H30" s="608"/>
      <c r="I30" s="97"/>
      <c r="J30" s="1125">
        <v>0</v>
      </c>
      <c r="K30" s="1125">
        <v>0</v>
      </c>
      <c r="L30" s="97">
        <f t="shared" si="5"/>
        <v>0</v>
      </c>
      <c r="M30" s="97" t="e">
        <f t="shared" si="6"/>
        <v>#DIV/0!</v>
      </c>
      <c r="N30" s="1109"/>
      <c r="O30" s="97">
        <f t="shared" si="7"/>
        <v>0</v>
      </c>
      <c r="P30" s="1169" t="s">
        <v>653</v>
      </c>
    </row>
    <row r="31" spans="2:16" x14ac:dyDescent="0.25">
      <c r="B31" s="1141" t="s">
        <v>654</v>
      </c>
      <c r="C31" s="1159">
        <v>3.5000000000000003E-2</v>
      </c>
      <c r="D31" s="1145">
        <f>+C31*$K$19</f>
        <v>0</v>
      </c>
      <c r="E31" s="1160" t="e">
        <f>D31/$D$7</f>
        <v>#DIV/0!</v>
      </c>
      <c r="G31" s="1118" t="s">
        <v>226</v>
      </c>
      <c r="H31" s="608"/>
      <c r="I31" s="97"/>
      <c r="J31" s="352">
        <v>0</v>
      </c>
      <c r="K31" s="352">
        <v>0</v>
      </c>
      <c r="L31" s="1128">
        <f t="shared" si="5"/>
        <v>0</v>
      </c>
      <c r="M31" s="1128" t="e">
        <f t="shared" si="6"/>
        <v>#DIV/0!</v>
      </c>
      <c r="N31" s="1109"/>
      <c r="O31" s="1128">
        <f t="shared" si="7"/>
        <v>0</v>
      </c>
      <c r="P31" s="1158"/>
    </row>
    <row r="32" spans="2:16" x14ac:dyDescent="0.25">
      <c r="B32" s="1141" t="s">
        <v>655</v>
      </c>
      <c r="C32" s="1159">
        <v>2.5000000000000001E-2</v>
      </c>
      <c r="D32" s="1146">
        <f>+C32*$K$19</f>
        <v>0</v>
      </c>
      <c r="E32" s="1147" t="e">
        <f t="shared" ref="E32" si="8">D32/$D$7</f>
        <v>#DIV/0!</v>
      </c>
      <c r="G32" s="1131" t="s">
        <v>656</v>
      </c>
      <c r="H32" s="1131"/>
      <c r="I32" s="1135"/>
      <c r="J32" s="1135">
        <f>SUM(J22:J31)</f>
        <v>0</v>
      </c>
      <c r="K32" s="1135">
        <f>SUM(K22:K31)</f>
        <v>0</v>
      </c>
      <c r="L32" s="1135">
        <f t="shared" si="5"/>
        <v>0</v>
      </c>
      <c r="M32" s="1135" t="e">
        <f t="shared" si="6"/>
        <v>#DIV/0!</v>
      </c>
      <c r="N32" s="1109"/>
      <c r="O32" s="1135">
        <f t="shared" si="7"/>
        <v>0</v>
      </c>
      <c r="P32" s="1136"/>
    </row>
    <row r="33" spans="2:17" x14ac:dyDescent="0.25">
      <c r="B33" s="1164" t="s">
        <v>63</v>
      </c>
      <c r="C33" s="1165"/>
      <c r="D33" s="1166">
        <f>SUM(D31:D32)</f>
        <v>0</v>
      </c>
      <c r="E33" s="1167" t="e">
        <f>D33/$D$7</f>
        <v>#DIV/0!</v>
      </c>
      <c r="O33" s="34"/>
      <c r="P33" s="1171"/>
      <c r="Q33" s="1172" t="s">
        <v>657</v>
      </c>
    </row>
    <row r="34" spans="2:17" x14ac:dyDescent="0.25">
      <c r="B34" s="1151" t="s">
        <v>658</v>
      </c>
      <c r="C34" s="1152"/>
      <c r="D34" s="1146">
        <f>J17+J27</f>
        <v>0</v>
      </c>
      <c r="E34" s="1147" t="e">
        <f>D34/$D$7</f>
        <v>#DIV/0!</v>
      </c>
      <c r="G34" s="1115" t="s">
        <v>659</v>
      </c>
      <c r="H34" s="608"/>
      <c r="I34" s="97"/>
      <c r="J34" s="96"/>
      <c r="K34" s="96"/>
      <c r="L34" s="97"/>
      <c r="M34" s="97"/>
      <c r="N34" s="1109"/>
      <c r="O34" s="97"/>
      <c r="P34" s="1171"/>
      <c r="Q34" s="97" t="e">
        <f>K35-Economics!J66</f>
        <v>#N/A</v>
      </c>
    </row>
    <row r="35" spans="2:17" x14ac:dyDescent="0.25">
      <c r="B35" s="1154" t="s">
        <v>626</v>
      </c>
      <c r="C35" s="1155" t="e">
        <f>D35/D33</f>
        <v>#DIV/0!</v>
      </c>
      <c r="D35" s="1156">
        <f>D34-D33</f>
        <v>0</v>
      </c>
      <c r="E35" s="1157" t="e">
        <f>D35/$D$7</f>
        <v>#DIV/0!</v>
      </c>
      <c r="G35" s="1118" t="s">
        <v>660</v>
      </c>
      <c r="H35" s="608"/>
      <c r="I35" s="97"/>
      <c r="J35" s="1125">
        <v>0</v>
      </c>
      <c r="K35" s="1125">
        <v>0</v>
      </c>
      <c r="L35" s="97">
        <f t="shared" ref="L35:L43" si="9">IFERROR(K35/$C$7,0)</f>
        <v>0</v>
      </c>
      <c r="M35" s="97" t="e">
        <f t="shared" ref="M35:M44" si="10">K35/$D$7</f>
        <v>#DIV/0!</v>
      </c>
      <c r="N35" s="1109"/>
      <c r="O35" s="97">
        <f t="shared" si="7"/>
        <v>0</v>
      </c>
      <c r="P35" s="1171" t="s">
        <v>661</v>
      </c>
    </row>
    <row r="36" spans="2:17" x14ac:dyDescent="0.25">
      <c r="G36" s="1118" t="s">
        <v>662</v>
      </c>
      <c r="H36" s="608"/>
      <c r="I36" s="97"/>
      <c r="J36" s="1125">
        <v>0</v>
      </c>
      <c r="K36" s="97">
        <f>IF(C24="Single Loan (1st)",'Int Reserve - Single Loan'!$H$14,IF(C24="Single Loan (2nd)",'Int Reserve - Single Loan'!$H$15,'Int Reserve - A-B Loan'!$H$16))</f>
        <v>0</v>
      </c>
      <c r="L36" s="97">
        <f t="shared" si="9"/>
        <v>0</v>
      </c>
      <c r="M36" s="97" t="e">
        <f t="shared" si="10"/>
        <v>#DIV/0!</v>
      </c>
      <c r="N36" s="1109"/>
      <c r="O36" s="97">
        <f t="shared" si="7"/>
        <v>0</v>
      </c>
      <c r="P36" s="1171" t="s">
        <v>663</v>
      </c>
    </row>
    <row r="37" spans="2:17" x14ac:dyDescent="0.25">
      <c r="B37" s="1173" t="s">
        <v>664</v>
      </c>
      <c r="C37" s="1174"/>
      <c r="D37" s="1174"/>
      <c r="E37" s="1174"/>
      <c r="G37" s="1118" t="s">
        <v>665</v>
      </c>
      <c r="H37" s="608"/>
      <c r="I37" s="97"/>
      <c r="J37" s="1125">
        <v>0</v>
      </c>
      <c r="K37" s="1125">
        <v>0</v>
      </c>
      <c r="L37" s="97">
        <f t="shared" si="9"/>
        <v>0</v>
      </c>
      <c r="M37" s="97" t="e">
        <f t="shared" si="10"/>
        <v>#DIV/0!</v>
      </c>
      <c r="N37" s="1109"/>
      <c r="O37" s="97">
        <f t="shared" si="7"/>
        <v>0</v>
      </c>
      <c r="P37" s="1171"/>
    </row>
    <row r="38" spans="2:17" x14ac:dyDescent="0.25">
      <c r="G38" s="1118" t="s">
        <v>666</v>
      </c>
      <c r="H38" s="608"/>
      <c r="I38" s="97"/>
      <c r="J38" s="1125">
        <v>0</v>
      </c>
      <c r="K38" s="1125">
        <v>0</v>
      </c>
      <c r="L38" s="97">
        <f t="shared" si="9"/>
        <v>0</v>
      </c>
      <c r="M38" s="97" t="e">
        <f t="shared" si="10"/>
        <v>#DIV/0!</v>
      </c>
      <c r="N38" s="1109"/>
      <c r="O38" s="97">
        <f t="shared" si="7"/>
        <v>0</v>
      </c>
      <c r="P38" s="1171"/>
    </row>
    <row r="39" spans="2:17" ht="17.25" x14ac:dyDescent="0.25">
      <c r="B39" s="1175" t="s">
        <v>667</v>
      </c>
      <c r="C39" s="1102" t="s">
        <v>668</v>
      </c>
      <c r="D39" s="1176" t="s">
        <v>63</v>
      </c>
      <c r="E39" s="1176" t="s">
        <v>669</v>
      </c>
      <c r="G39" s="1118" t="s">
        <v>670</v>
      </c>
      <c r="H39" s="608"/>
      <c r="I39" s="97"/>
      <c r="J39" s="1125">
        <v>0</v>
      </c>
      <c r="K39" s="1125">
        <v>0</v>
      </c>
      <c r="L39" s="97">
        <f t="shared" si="9"/>
        <v>0</v>
      </c>
      <c r="M39" s="97" t="e">
        <f t="shared" si="10"/>
        <v>#DIV/0!</v>
      </c>
      <c r="N39" s="1109"/>
      <c r="O39" s="97">
        <f t="shared" si="7"/>
        <v>0</v>
      </c>
      <c r="P39" s="1171"/>
    </row>
    <row r="40" spans="2:17" x14ac:dyDescent="0.25">
      <c r="B40" s="1177" t="str">
        <f>Economics!$C5</f>
        <v>Bachelor</v>
      </c>
      <c r="C40" s="960">
        <f>_xlfn.XLOOKUP($B40,Economics!$C$5:$C$14,Economics!$F$5:$F$14,0)</f>
        <v>0</v>
      </c>
      <c r="D40" s="95">
        <f>+C40*E40</f>
        <v>0</v>
      </c>
      <c r="E40" s="1119">
        <v>0</v>
      </c>
      <c r="G40" s="1118" t="s">
        <v>671</v>
      </c>
      <c r="H40" s="608"/>
      <c r="I40" s="97"/>
      <c r="J40" s="1125">
        <v>0</v>
      </c>
      <c r="K40" s="1125">
        <v>0</v>
      </c>
      <c r="L40" s="97">
        <f t="shared" si="9"/>
        <v>0</v>
      </c>
      <c r="M40" s="97" t="e">
        <f t="shared" si="10"/>
        <v>#DIV/0!</v>
      </c>
      <c r="N40" s="1109"/>
      <c r="O40" s="97">
        <f t="shared" si="7"/>
        <v>0</v>
      </c>
      <c r="P40" s="1171"/>
    </row>
    <row r="41" spans="2:17" x14ac:dyDescent="0.25">
      <c r="B41" s="1177" t="str">
        <f>Economics!$C6</f>
        <v>1 Bedroom</v>
      </c>
      <c r="C41" s="960">
        <f>_xlfn.XLOOKUP($B41,Economics!$C$5:$C$14,Economics!$F$5:$F$14,0)</f>
        <v>0</v>
      </c>
      <c r="D41" s="1146">
        <f>+C41*E41</f>
        <v>0</v>
      </c>
      <c r="E41" s="1163">
        <v>0</v>
      </c>
      <c r="G41" s="1118" t="s">
        <v>672</v>
      </c>
      <c r="H41" s="608"/>
      <c r="I41" s="97"/>
      <c r="J41" s="1125">
        <v>0</v>
      </c>
      <c r="K41" s="1125">
        <v>0</v>
      </c>
      <c r="L41" s="97">
        <f t="shared" si="9"/>
        <v>0</v>
      </c>
      <c r="M41" s="97" t="e">
        <f t="shared" si="10"/>
        <v>#DIV/0!</v>
      </c>
      <c r="N41" s="1109"/>
      <c r="O41" s="97">
        <f t="shared" si="7"/>
        <v>0</v>
      </c>
      <c r="P41" s="1171"/>
    </row>
    <row r="42" spans="2:17" x14ac:dyDescent="0.25">
      <c r="B42" s="1177" t="str">
        <f>Economics!$C7</f>
        <v>2 Bedroom</v>
      </c>
      <c r="C42" s="960">
        <f>_xlfn.XLOOKUP($B42,Economics!$C$5:$C$14,Economics!$F$5:$F$14,0)</f>
        <v>0</v>
      </c>
      <c r="D42" s="1146">
        <f>+C42*E42</f>
        <v>0</v>
      </c>
      <c r="E42" s="1163">
        <v>0</v>
      </c>
      <c r="G42" s="1118" t="s">
        <v>673</v>
      </c>
      <c r="H42" s="608"/>
      <c r="I42" s="97"/>
      <c r="J42" s="1125">
        <v>0</v>
      </c>
      <c r="K42" s="1125">
        <v>0</v>
      </c>
      <c r="L42" s="97">
        <f t="shared" si="9"/>
        <v>0</v>
      </c>
      <c r="M42" s="97" t="e">
        <f t="shared" si="10"/>
        <v>#DIV/0!</v>
      </c>
      <c r="N42" s="1109"/>
      <c r="O42" s="97">
        <f t="shared" si="7"/>
        <v>0</v>
      </c>
      <c r="P42" s="1171"/>
    </row>
    <row r="43" spans="2:17" x14ac:dyDescent="0.25">
      <c r="B43" s="1177" t="str">
        <f>Economics!$C8</f>
        <v>3 Bedroom</v>
      </c>
      <c r="C43" s="960">
        <f>_xlfn.XLOOKUP($B43,Economics!$C$5:$C$14,Economics!$F$5:$F$14,0)</f>
        <v>0</v>
      </c>
      <c r="D43" s="1146">
        <f>+C43*E43</f>
        <v>0</v>
      </c>
      <c r="E43" s="1163">
        <v>0</v>
      </c>
      <c r="G43" s="1118" t="s">
        <v>674</v>
      </c>
      <c r="H43" s="608"/>
      <c r="I43" s="97"/>
      <c r="J43" s="1125">
        <v>0</v>
      </c>
      <c r="K43" s="1125">
        <v>0</v>
      </c>
      <c r="L43" s="97">
        <f t="shared" si="9"/>
        <v>0</v>
      </c>
      <c r="M43" s="97" t="e">
        <f t="shared" si="10"/>
        <v>#DIV/0!</v>
      </c>
      <c r="N43" s="1109"/>
      <c r="O43" s="97">
        <f t="shared" si="7"/>
        <v>0</v>
      </c>
      <c r="P43" s="1171"/>
    </row>
    <row r="44" spans="2:17" x14ac:dyDescent="0.25">
      <c r="B44" s="1177" t="str">
        <f>Economics!$C9</f>
        <v>4+ Bedroom</v>
      </c>
      <c r="C44" s="960">
        <f>_xlfn.XLOOKUP($B44,Economics!$C$5:$C$14,Economics!$F$5:$F$14,0)</f>
        <v>0</v>
      </c>
      <c r="D44" s="1146">
        <f>+C44*E44</f>
        <v>0</v>
      </c>
      <c r="E44" s="1163">
        <v>0</v>
      </c>
      <c r="G44" s="1118" t="s">
        <v>675</v>
      </c>
      <c r="H44" s="608"/>
      <c r="I44" s="97"/>
      <c r="J44" s="1125">
        <v>0</v>
      </c>
      <c r="K44" s="1125">
        <v>0</v>
      </c>
      <c r="L44" s="97">
        <f>IFERROR(K44/$C$7,0)</f>
        <v>0</v>
      </c>
      <c r="M44" s="97" t="e">
        <f t="shared" si="10"/>
        <v>#DIV/0!</v>
      </c>
      <c r="N44" s="1109"/>
      <c r="O44" s="97">
        <f t="shared" si="7"/>
        <v>0</v>
      </c>
      <c r="P44" s="1171" t="s">
        <v>676</v>
      </c>
    </row>
    <row r="45" spans="2:17" x14ac:dyDescent="0.25">
      <c r="B45" s="1178" t="s">
        <v>63</v>
      </c>
      <c r="C45" s="245">
        <f>SUM(C40:C44)</f>
        <v>0</v>
      </c>
      <c r="D45" s="194">
        <f>SUM(D40:D44)</f>
        <v>0</v>
      </c>
      <c r="E45" s="194" t="e">
        <f>D45/C45</f>
        <v>#DIV/0!</v>
      </c>
      <c r="G45" s="1118" t="s">
        <v>678</v>
      </c>
      <c r="H45" s="608"/>
      <c r="I45" s="97"/>
      <c r="J45" s="352">
        <v>0</v>
      </c>
      <c r="K45" s="352">
        <v>0</v>
      </c>
      <c r="L45" s="1128">
        <f>IFERROR(K45/$C$7,0)</f>
        <v>0</v>
      </c>
      <c r="M45" s="1128" t="e">
        <f>K45/$D$7</f>
        <v>#DIV/0!</v>
      </c>
      <c r="N45" s="1109"/>
      <c r="O45" s="1128">
        <f>+K45-J45</f>
        <v>0</v>
      </c>
      <c r="P45" s="1171"/>
    </row>
    <row r="46" spans="2:17" ht="17.25" x14ac:dyDescent="0.25">
      <c r="B46" s="1130" t="s">
        <v>677</v>
      </c>
      <c r="C46" s="960">
        <f>Economics!$G$42*0.09290304</f>
        <v>0</v>
      </c>
      <c r="D46" s="1146">
        <f>+C46*E46</f>
        <v>0</v>
      </c>
      <c r="E46" s="1163">
        <v>0</v>
      </c>
      <c r="G46" s="1131" t="s">
        <v>680</v>
      </c>
      <c r="H46" s="1131"/>
      <c r="I46" s="1135"/>
      <c r="J46" s="1135">
        <f>SUM(J35:J45)</f>
        <v>0</v>
      </c>
      <c r="K46" s="1135">
        <f>SUM(K35:K45)</f>
        <v>0</v>
      </c>
      <c r="L46" s="1135">
        <f>IFERROR(K46/$C$7,0)</f>
        <v>0</v>
      </c>
      <c r="M46" s="1135" t="e">
        <f>K46/$D$7</f>
        <v>#DIV/0!</v>
      </c>
      <c r="N46" s="1109"/>
      <c r="O46" s="1135">
        <f>+K46-J46</f>
        <v>0</v>
      </c>
      <c r="P46" s="1171"/>
    </row>
    <row r="47" spans="2:17" x14ac:dyDescent="0.25">
      <c r="B47" s="1179" t="s">
        <v>679</v>
      </c>
      <c r="C47" s="1180">
        <f>C45</f>
        <v>0</v>
      </c>
      <c r="D47" s="1181">
        <f>SUM(D45:D46)</f>
        <v>0</v>
      </c>
      <c r="E47" s="1181" t="e">
        <f>D47/C47</f>
        <v>#DIV/0!</v>
      </c>
      <c r="G47" s="608"/>
      <c r="H47" s="608"/>
      <c r="I47" s="97"/>
      <c r="J47" s="96"/>
      <c r="K47" s="96"/>
      <c r="L47" s="97"/>
      <c r="M47" s="97"/>
      <c r="N47" s="1109"/>
      <c r="O47" s="97"/>
      <c r="P47" s="1171"/>
    </row>
    <row r="48" spans="2:17" x14ac:dyDescent="0.25">
      <c r="B48" s="1177"/>
      <c r="C48" s="1182"/>
      <c r="D48" s="1183"/>
      <c r="E48" s="1183"/>
      <c r="G48" s="1115" t="s">
        <v>684</v>
      </c>
      <c r="H48" s="608"/>
      <c r="I48" s="97"/>
      <c r="J48" s="96"/>
      <c r="K48" s="96"/>
      <c r="L48" s="97"/>
      <c r="M48" s="97"/>
      <c r="N48" s="1109"/>
      <c r="O48" s="97"/>
      <c r="P48" s="1171"/>
    </row>
    <row r="49" spans="2:16" ht="17.25" x14ac:dyDescent="0.25">
      <c r="B49" s="1175" t="s">
        <v>681</v>
      </c>
      <c r="C49" s="1102" t="s">
        <v>682</v>
      </c>
      <c r="D49" s="1176" t="s">
        <v>63</v>
      </c>
      <c r="E49" s="1176" t="s">
        <v>683</v>
      </c>
      <c r="G49" s="1118" t="s">
        <v>685</v>
      </c>
      <c r="H49" s="608"/>
      <c r="I49" s="1184">
        <v>0.05</v>
      </c>
      <c r="J49" s="1125">
        <v>0</v>
      </c>
      <c r="K49" s="97">
        <f>I49*VLOOKUP("Total Hard Costs",$G$5:$K$52,5,FALSE)</f>
        <v>0</v>
      </c>
      <c r="L49" s="97">
        <f>IFERROR(K49/$C$7,0)</f>
        <v>0</v>
      </c>
      <c r="M49" s="97" t="e">
        <f>K49/$D$7</f>
        <v>#DIV/0!</v>
      </c>
      <c r="N49" s="1109"/>
      <c r="O49" s="97">
        <f>+K49-J49</f>
        <v>0</v>
      </c>
      <c r="P49" s="1171" t="s">
        <v>686</v>
      </c>
    </row>
    <row r="50" spans="2:16" x14ac:dyDescent="0.25">
      <c r="B50" s="1177" t="str">
        <f>Economics!$C5</f>
        <v>Bachelor</v>
      </c>
      <c r="C50" s="960">
        <f>C40</f>
        <v>0</v>
      </c>
      <c r="D50" s="95">
        <f>+C50*E50</f>
        <v>0</v>
      </c>
      <c r="E50" s="1119">
        <v>0</v>
      </c>
      <c r="G50" s="1118" t="s">
        <v>687</v>
      </c>
      <c r="H50" s="608"/>
      <c r="I50" s="1185">
        <v>0.05</v>
      </c>
      <c r="J50" s="1125">
        <v>0</v>
      </c>
      <c r="K50" s="97">
        <f>I50*(VLOOKUP("Total Soft Costs",$G$5:$K$52,5,FALSE)+VLOOKUP("Total Financing Costs",$G$5:$K$52,5,FALSE))</f>
        <v>0</v>
      </c>
      <c r="L50" s="97">
        <f>IFERROR(K50/$C$7,0)</f>
        <v>0</v>
      </c>
      <c r="M50" s="97" t="e">
        <f>K50/$D$7</f>
        <v>#DIV/0!</v>
      </c>
      <c r="N50" s="1109"/>
      <c r="O50" s="97">
        <f>+K50-J50</f>
        <v>0</v>
      </c>
      <c r="P50" s="1171" t="s">
        <v>688</v>
      </c>
    </row>
    <row r="51" spans="2:16" x14ac:dyDescent="0.25">
      <c r="B51" s="1177" t="str">
        <f>Economics!$C6</f>
        <v>1 Bedroom</v>
      </c>
      <c r="C51" s="960">
        <f>C41</f>
        <v>0</v>
      </c>
      <c r="D51" s="1146">
        <f>+C51*E51</f>
        <v>0</v>
      </c>
      <c r="E51" s="1163">
        <v>0</v>
      </c>
      <c r="G51" s="1118" t="s">
        <v>689</v>
      </c>
      <c r="H51" s="608"/>
      <c r="I51" s="97"/>
      <c r="J51" s="352">
        <v>0</v>
      </c>
      <c r="K51" s="352">
        <v>0</v>
      </c>
      <c r="L51" s="1128">
        <f>IFERROR(K51/$C$7,0)</f>
        <v>0</v>
      </c>
      <c r="M51" s="1128" t="e">
        <f>K51/$D$7</f>
        <v>#DIV/0!</v>
      </c>
      <c r="N51" s="1109"/>
      <c r="O51" s="97">
        <f>+K51-J51</f>
        <v>0</v>
      </c>
      <c r="P51" s="1171"/>
    </row>
    <row r="52" spans="2:16" x14ac:dyDescent="0.25">
      <c r="B52" s="1177" t="str">
        <f>Economics!$C7</f>
        <v>2 Bedroom</v>
      </c>
      <c r="C52" s="960">
        <f>C42</f>
        <v>0</v>
      </c>
      <c r="D52" s="1146">
        <f>+C52*E52</f>
        <v>0</v>
      </c>
      <c r="E52" s="1163">
        <v>0</v>
      </c>
      <c r="G52" s="1131" t="s">
        <v>690</v>
      </c>
      <c r="H52" s="1131"/>
      <c r="I52" s="1186" t="e">
        <f>+K52/(VLOOKUP("Total Hard Costs",$G$5:$K$52,5,FALSE)+VLOOKUP("Total Soft Costs",$G$5:$K$52,5,FALSE)+VLOOKUP("Total Financing Costs",$G$5:$K$52,5,FALSE))</f>
        <v>#DIV/0!</v>
      </c>
      <c r="J52" s="1135">
        <f>SUM(J49:J51)</f>
        <v>0</v>
      </c>
      <c r="K52" s="1135">
        <f>SUM(K49:K51)</f>
        <v>0</v>
      </c>
      <c r="L52" s="1135">
        <f>IFERROR(K52/$C$7,0)</f>
        <v>0</v>
      </c>
      <c r="M52" s="1135" t="e">
        <f>K52/$D$7</f>
        <v>#DIV/0!</v>
      </c>
      <c r="N52" s="1109"/>
      <c r="O52" s="1135">
        <f>+K52-J52</f>
        <v>0</v>
      </c>
      <c r="P52" s="1171"/>
    </row>
    <row r="53" spans="2:16" x14ac:dyDescent="0.25">
      <c r="B53" s="1177" t="str">
        <f>Economics!$C8</f>
        <v>3 Bedroom</v>
      </c>
      <c r="C53" s="960">
        <f>C43</f>
        <v>0</v>
      </c>
      <c r="D53" s="1146">
        <f>+C53*E53</f>
        <v>0</v>
      </c>
      <c r="E53" s="1163">
        <v>0</v>
      </c>
      <c r="G53" s="608"/>
      <c r="H53" s="608"/>
      <c r="I53" s="97"/>
      <c r="J53" s="96"/>
      <c r="K53" s="96"/>
      <c r="L53" s="97"/>
      <c r="M53" s="97"/>
      <c r="N53" s="1109"/>
      <c r="O53" s="96"/>
      <c r="P53" s="1171"/>
    </row>
    <row r="54" spans="2:16" x14ac:dyDescent="0.25">
      <c r="B54" s="1177" t="str">
        <f>Economics!$C9</f>
        <v>4+ Bedroom</v>
      </c>
      <c r="C54" s="960">
        <f>C44</f>
        <v>0</v>
      </c>
      <c r="D54" s="1146">
        <f>+C54*E54</f>
        <v>0</v>
      </c>
      <c r="E54" s="1163">
        <v>0</v>
      </c>
      <c r="G54" s="1187" t="s">
        <v>691</v>
      </c>
      <c r="H54" s="1188"/>
      <c r="I54" s="1189"/>
      <c r="J54" s="1190">
        <f>+J9+J19+J32+J46+J52</f>
        <v>0</v>
      </c>
      <c r="K54" s="1190">
        <f>+K9+K19+K32+K46+K52</f>
        <v>0</v>
      </c>
      <c r="L54" s="1190">
        <f>IFERROR(K54/$C$7,0)</f>
        <v>0</v>
      </c>
      <c r="M54" s="1190" t="e">
        <f>K54/$D$7</f>
        <v>#DIV/0!</v>
      </c>
      <c r="N54" s="1109"/>
      <c r="O54" s="1191">
        <f>+K54-J54</f>
        <v>0</v>
      </c>
      <c r="P54" s="1171"/>
    </row>
    <row r="55" spans="2:16" x14ac:dyDescent="0.25">
      <c r="B55" s="1178" t="s">
        <v>63</v>
      </c>
      <c r="C55" s="245">
        <f>SUM(C50:C54)</f>
        <v>0</v>
      </c>
      <c r="D55" s="194">
        <f>SUM(D50:D54)</f>
        <v>0</v>
      </c>
      <c r="E55" s="194" t="e">
        <f>D55/C55</f>
        <v>#DIV/0!</v>
      </c>
      <c r="G55" s="1192"/>
      <c r="H55" s="1192"/>
      <c r="J55" s="93"/>
      <c r="K55" s="93"/>
      <c r="L55" s="93"/>
      <c r="M55" s="93"/>
      <c r="N55" s="1109"/>
      <c r="O55" s="93"/>
    </row>
    <row r="56" spans="2:16" ht="17.25" x14ac:dyDescent="0.25">
      <c r="B56" s="1130" t="s">
        <v>677</v>
      </c>
      <c r="C56" s="960">
        <f>C46</f>
        <v>0</v>
      </c>
      <c r="D56" s="1146">
        <f>+C56*E56</f>
        <v>0</v>
      </c>
      <c r="E56" s="1163">
        <v>0</v>
      </c>
      <c r="G56" s="1192" t="s">
        <v>693</v>
      </c>
      <c r="H56" s="1192"/>
      <c r="J56" s="1193">
        <v>0</v>
      </c>
      <c r="K56" s="93">
        <f>Economics!$H$54</f>
        <v>0</v>
      </c>
      <c r="L56" s="93"/>
      <c r="M56" s="93"/>
      <c r="N56" s="1109"/>
      <c r="O56" s="93"/>
    </row>
    <row r="57" spans="2:16" x14ac:dyDescent="0.25">
      <c r="B57" s="1179" t="s">
        <v>692</v>
      </c>
      <c r="C57" s="1180">
        <f>C55</f>
        <v>0</v>
      </c>
      <c r="D57" s="1181">
        <f>SUM(D55:D56)</f>
        <v>0</v>
      </c>
      <c r="E57" s="1181" t="e">
        <f>D57/C57</f>
        <v>#DIV/0!</v>
      </c>
      <c r="G57" s="1192"/>
      <c r="H57" s="1192"/>
      <c r="J57" s="93"/>
      <c r="K57" s="93"/>
      <c r="L57" s="93"/>
      <c r="M57" s="93"/>
      <c r="N57" s="1109"/>
      <c r="O57" s="93"/>
    </row>
    <row r="58" spans="2:16" x14ac:dyDescent="0.25">
      <c r="G58" s="1194" t="s">
        <v>196</v>
      </c>
      <c r="H58" s="1195" t="e">
        <f>J58/J54</f>
        <v>#DIV/0!</v>
      </c>
      <c r="I58" s="1195"/>
      <c r="J58" s="1196">
        <f>J56-J54</f>
        <v>0</v>
      </c>
      <c r="K58" s="1196">
        <f>K56-K54</f>
        <v>0</v>
      </c>
      <c r="L58" s="1197" t="e">
        <f>K58/K54</f>
        <v>#DIV/0!</v>
      </c>
      <c r="M58" s="1198"/>
      <c r="N58" s="1109"/>
      <c r="O58" s="1199">
        <f>+K58-J58</f>
        <v>0</v>
      </c>
    </row>
    <row r="59" spans="2:16" x14ac:dyDescent="0.25">
      <c r="B59" s="1175" t="s">
        <v>694</v>
      </c>
      <c r="C59" s="1102" t="s">
        <v>695</v>
      </c>
      <c r="D59" s="1176" t="s">
        <v>63</v>
      </c>
      <c r="E59" s="1176" t="s">
        <v>696</v>
      </c>
      <c r="G59" s="1194" t="s">
        <v>698</v>
      </c>
      <c r="H59" s="1197"/>
      <c r="I59" s="1197"/>
      <c r="J59" s="1201" t="e">
        <f>+J58/Economics!$H$107</f>
        <v>#DIV/0!</v>
      </c>
      <c r="K59" s="1201" t="e">
        <f>+K58/Economics!$H$107</f>
        <v>#DIV/0!</v>
      </c>
      <c r="L59" s="1197"/>
      <c r="M59" s="1198"/>
      <c r="N59" s="1109"/>
      <c r="O59" s="1202" t="e">
        <f>+K59-J59</f>
        <v>#DIV/0!</v>
      </c>
    </row>
    <row r="60" spans="2:16" x14ac:dyDescent="0.25">
      <c r="B60" s="1177" t="s">
        <v>229</v>
      </c>
      <c r="C60" s="1182">
        <f>+C45</f>
        <v>0</v>
      </c>
      <c r="D60" s="95">
        <f>+C60*E60</f>
        <v>0</v>
      </c>
      <c r="E60" s="1119">
        <v>0</v>
      </c>
    </row>
    <row r="61" spans="2:16" x14ac:dyDescent="0.25">
      <c r="B61" s="1177" t="s">
        <v>697</v>
      </c>
      <c r="C61" s="1182">
        <f>D6</f>
        <v>0</v>
      </c>
      <c r="D61" s="1146">
        <f>+C61*E61</f>
        <v>0</v>
      </c>
      <c r="E61" s="1200">
        <v>0</v>
      </c>
      <c r="G61" s="1203" t="s">
        <v>485</v>
      </c>
      <c r="H61" s="1204" t="s">
        <v>700</v>
      </c>
      <c r="K61" s="1047" t="str">
        <f>IF(K54=Economics!H118,"OK","CHECK BUDGET")</f>
        <v>OK</v>
      </c>
    </row>
    <row r="62" spans="2:16" x14ac:dyDescent="0.25">
      <c r="B62" s="1179" t="s">
        <v>699</v>
      </c>
      <c r="C62" s="1180">
        <f>C60</f>
        <v>0</v>
      </c>
      <c r="D62" s="1181">
        <f>SUM(D60:D61)</f>
        <v>0</v>
      </c>
      <c r="E62" s="1181" t="e">
        <f>D62/C62</f>
        <v>#DIV/0!</v>
      </c>
      <c r="G62" s="1205" t="s">
        <v>320</v>
      </c>
      <c r="H62" s="1206">
        <v>0.13</v>
      </c>
    </row>
    <row r="63" spans="2:16" x14ac:dyDescent="0.25">
      <c r="G63" s="1205" t="s">
        <v>321</v>
      </c>
      <c r="H63" s="1206">
        <v>0.05</v>
      </c>
    </row>
    <row r="64" spans="2:16" x14ac:dyDescent="0.25">
      <c r="B64" s="1175" t="s">
        <v>701</v>
      </c>
      <c r="C64" s="1102" t="s">
        <v>61</v>
      </c>
      <c r="D64" s="1176" t="s">
        <v>63</v>
      </c>
      <c r="E64" s="1176" t="s">
        <v>702</v>
      </c>
      <c r="G64" s="1205" t="s">
        <v>322</v>
      </c>
      <c r="H64" s="1206">
        <v>0.05</v>
      </c>
    </row>
    <row r="65" spans="1:8" x14ac:dyDescent="0.25">
      <c r="B65" s="1177" t="s">
        <v>703</v>
      </c>
      <c r="C65" s="1207">
        <v>0</v>
      </c>
      <c r="D65" s="95">
        <f>C65*$J$9</f>
        <v>0</v>
      </c>
      <c r="E65" s="95" t="e">
        <f>D65/$C$5</f>
        <v>#DIV/0!</v>
      </c>
      <c r="G65" s="1205" t="s">
        <v>705</v>
      </c>
      <c r="H65" s="1206">
        <v>0.05</v>
      </c>
    </row>
    <row r="66" spans="1:8" x14ac:dyDescent="0.25">
      <c r="B66" s="1177" t="s">
        <v>704</v>
      </c>
      <c r="C66" s="1207">
        <v>0</v>
      </c>
      <c r="D66" s="1146">
        <f>C66*$J$9</f>
        <v>0</v>
      </c>
      <c r="E66" s="1208" t="e">
        <f>D66/$C$5</f>
        <v>#DIV/0!</v>
      </c>
      <c r="G66" s="1205" t="s">
        <v>707</v>
      </c>
      <c r="H66" s="1206">
        <v>0.05</v>
      </c>
    </row>
    <row r="67" spans="1:8" x14ac:dyDescent="0.25">
      <c r="B67" s="1177" t="s">
        <v>762</v>
      </c>
      <c r="C67" s="1117">
        <v>0</v>
      </c>
      <c r="D67" s="1146">
        <f t="shared" ref="D67" si="11">+C67*E67</f>
        <v>0</v>
      </c>
      <c r="E67" s="1209">
        <v>0</v>
      </c>
      <c r="G67" s="1205" t="s">
        <v>708</v>
      </c>
      <c r="H67" s="1206">
        <v>0.05</v>
      </c>
    </row>
    <row r="68" spans="1:8" x14ac:dyDescent="0.25">
      <c r="A68" s="1210"/>
      <c r="B68" s="1179" t="s">
        <v>706</v>
      </c>
      <c r="C68" s="1180">
        <f>C47</f>
        <v>0</v>
      </c>
      <c r="D68" s="1181">
        <f>SUM(D65:D67)</f>
        <v>0</v>
      </c>
      <c r="E68" s="1181" t="e">
        <f>D68/C68</f>
        <v>#DIV/0!</v>
      </c>
      <c r="G68" s="1205" t="s">
        <v>710</v>
      </c>
      <c r="H68" s="1206">
        <v>0.15</v>
      </c>
    </row>
    <row r="69" spans="1:8" x14ac:dyDescent="0.25">
      <c r="G69" s="1205" t="s">
        <v>711</v>
      </c>
      <c r="H69" s="1206">
        <v>0.15</v>
      </c>
    </row>
    <row r="70" spans="1:8" x14ac:dyDescent="0.25">
      <c r="A70" s="1210"/>
      <c r="B70" s="1173" t="s">
        <v>709</v>
      </c>
      <c r="C70" s="1174"/>
      <c r="D70" s="1174"/>
      <c r="E70" s="1211"/>
      <c r="G70" s="1205" t="s">
        <v>713</v>
      </c>
      <c r="H70" s="1206">
        <v>0.15</v>
      </c>
    </row>
    <row r="71" spans="1:8" x14ac:dyDescent="0.25">
      <c r="A71" s="1210"/>
      <c r="G71" s="1216" t="s">
        <v>715</v>
      </c>
      <c r="H71" s="1217">
        <v>0.15</v>
      </c>
    </row>
    <row r="72" spans="1:8" x14ac:dyDescent="0.25">
      <c r="A72" s="1210"/>
      <c r="B72" s="1137" t="s">
        <v>633</v>
      </c>
      <c r="C72" s="1212" t="s">
        <v>611</v>
      </c>
      <c r="D72" s="1139" t="s">
        <v>63</v>
      </c>
      <c r="E72" s="1140" t="s">
        <v>712</v>
      </c>
    </row>
    <row r="73" spans="1:8" x14ac:dyDescent="0.25">
      <c r="B73" s="1213" t="s">
        <v>714</v>
      </c>
      <c r="C73" s="1214"/>
      <c r="D73" s="95">
        <f>D47+D62+D57+D68</f>
        <v>0</v>
      </c>
      <c r="E73" s="1215" t="e">
        <f>D73/$C$7</f>
        <v>#DIV/0!</v>
      </c>
    </row>
    <row r="74" spans="1:8" x14ac:dyDescent="0.25">
      <c r="B74" s="1213" t="s">
        <v>716</v>
      </c>
      <c r="C74" s="1218">
        <v>5.0000000000000001E-3</v>
      </c>
      <c r="D74" s="1146">
        <f>$K$19*C74</f>
        <v>0</v>
      </c>
      <c r="E74" s="1219" t="e">
        <f t="shared" ref="E74:E75" si="12">D74/$C$7</f>
        <v>#DIV/0!</v>
      </c>
    </row>
    <row r="75" spans="1:8" x14ac:dyDescent="0.25">
      <c r="B75" s="1220" t="s">
        <v>63</v>
      </c>
      <c r="C75" s="1221"/>
      <c r="D75" s="194">
        <f>+SUM(D73:D74)</f>
        <v>0</v>
      </c>
      <c r="E75" s="1222" t="e">
        <f t="shared" si="12"/>
        <v>#DIV/0!</v>
      </c>
    </row>
    <row r="76" spans="1:8" x14ac:dyDescent="0.25">
      <c r="B76" s="1223" t="s">
        <v>595</v>
      </c>
      <c r="C76" s="1224"/>
      <c r="D76" s="1225" t="e">
        <f>+D75/$D$7</f>
        <v>#DIV/0!</v>
      </c>
      <c r="E76" s="1226"/>
    </row>
    <row r="77" spans="1:8" x14ac:dyDescent="0.25">
      <c r="B77" s="1227" t="s">
        <v>717</v>
      </c>
      <c r="C77" s="1228"/>
      <c r="D77" s="95">
        <f>J22</f>
        <v>0</v>
      </c>
      <c r="E77" s="95" t="e">
        <f>D77/$C$7</f>
        <v>#DIV/0!</v>
      </c>
    </row>
    <row r="78" spans="1:8" x14ac:dyDescent="0.25">
      <c r="B78" s="1229" t="s">
        <v>626</v>
      </c>
      <c r="C78" s="1230"/>
      <c r="D78" s="1231">
        <f>D77-D75</f>
        <v>0</v>
      </c>
      <c r="E78" s="1232" t="e">
        <f>D78/$C$7</f>
        <v>#DIV/0!</v>
      </c>
    </row>
    <row r="79" spans="1:8" ht="15.75" thickBot="1" x14ac:dyDescent="0.3">
      <c r="B79" s="1233" t="s">
        <v>718</v>
      </c>
      <c r="C79" s="1234" t="e">
        <f>D79/SUM(D77,D34,D27,D17)</f>
        <v>#DIV/0!</v>
      </c>
      <c r="D79" s="1235" t="e">
        <f>D78+D35+D28+D18</f>
        <v>#DIV/0!</v>
      </c>
      <c r="E79" s="1236" t="e">
        <f>D79/$C$7</f>
        <v>#DIV/0!</v>
      </c>
    </row>
    <row r="80" spans="1:8" ht="15.75" thickTop="1" x14ac:dyDescent="0.25"/>
  </sheetData>
  <phoneticPr fontId="86" type="noConversion"/>
  <conditionalFormatting sqref="K61">
    <cfRule type="cellIs" dxfId="2" priority="1" operator="equal">
      <formula>"CHECK BUDGET"</formula>
    </cfRule>
    <cfRule type="cellIs" dxfId="1" priority="2" operator="equal">
      <formula>"ok"</formula>
    </cfRule>
  </conditionalFormatting>
  <conditionalFormatting sqref="Q34">
    <cfRule type="cellIs" dxfId="0" priority="3" operator="lessThan">
      <formula>0</formula>
    </cfRule>
  </conditionalFormatting>
  <dataValidations count="12">
    <dataValidation type="list" allowBlank="1" showInputMessage="1" showErrorMessage="1" sqref="H28" xr:uid="{BB1D5DF2-DE23-495B-89EF-CE8FB6CAB161}">
      <formula1>$G$62:$G$71</formula1>
    </dataValidation>
    <dataValidation allowBlank="1" showInputMessage="1" showErrorMessage="1" prompt="MP &amp; JT will estimate applicable below grade costs" sqref="C8" xr:uid="{76AB46DE-F6B9-4B05-BA39-8355BEDCBC5A}"/>
    <dataValidation allowBlank="1" showInputMessage="1" showErrorMessage="1" prompt="Verify this with the QS report (if available)" sqref="D5:D6" xr:uid="{9944F332-A9E9-4CD1-9675-B1A4470F342F}"/>
    <dataValidation type="list" allowBlank="1" showInputMessage="1" showErrorMessage="1" sqref="B16" xr:uid="{1496EB8F-CC16-4FDC-85F0-A01EC68E66E4}">
      <formula1>$B$13:$B$15</formula1>
    </dataValidation>
    <dataValidation type="list" allowBlank="1" showInputMessage="1" showErrorMessage="1" sqref="C24" xr:uid="{3A2460E8-CD5E-4BA8-8B0B-3E40D6F41C0E}">
      <formula1>"Single Loan (1st), Single Loan (2nd), A-B Loan"</formula1>
    </dataValidation>
    <dataValidation allowBlank="1" showInputMessage="1" showErrorMessage="1" prompt="3.00% - 4.00% of HC" sqref="C31" xr:uid="{20E373FC-0FDB-4FD2-A993-377E912D832F}"/>
    <dataValidation allowBlank="1" showInputMessage="1" showErrorMessage="1" prompt="2.00% - 3.00% of HC" sqref="C32" xr:uid="{3B23EAD4-5D24-4CBF-9A4C-5D88A3230756}"/>
    <dataValidation allowBlank="1" showInputMessage="1" showErrorMessage="1" prompt="Est. 5% - 10%" sqref="C25" xr:uid="{1574672D-12C6-400A-ADB0-9D36DF3E045D}"/>
    <dataValidation allowBlank="1" showInputMessage="1" showErrorMessage="1" prompt="This may or may not be required in your municipality" sqref="C65 C66" xr:uid="{2A7D0AA4-3CFB-45D1-B3C7-E4CC25F4644E}"/>
    <dataValidation allowBlank="1" showInputMessage="1" showErrorMessage="1" prompt="In the event there is another type of charge, add it here" sqref="C67" xr:uid="{29CF58B0-B27B-4CC2-AD7C-2D15101439DB}"/>
    <dataValidation allowBlank="1" showInputMessage="1" showErrorMessage="1" prompt="Affordable units are typically exempt from DCs" sqref="C40 C41 C42 C43 C44" xr:uid="{DCE7E4A1-A5BC-4F1D-94DC-C46F162F3E0F}"/>
    <dataValidation allowBlank="1" showInputMessage="1" showErrorMessage="1" prompt="Est. 0.50% - 1.00%" sqref="C74" xr:uid="{2788D712-08F5-45DF-9905-27027E45A1F2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F8B0-BF3D-4099-A999-FD7ABC25091E}">
  <dimension ref="C2:Y92"/>
  <sheetViews>
    <sheetView showGridLines="0" topLeftCell="B1" zoomScale="85" zoomScaleNormal="85" workbookViewId="0">
      <selection activeCell="B1" sqref="B1"/>
    </sheetView>
  </sheetViews>
  <sheetFormatPr defaultColWidth="10.42578125" defaultRowHeight="12.75" x14ac:dyDescent="0.2"/>
  <cols>
    <col min="1" max="1" width="0" style="1239" hidden="1" customWidth="1"/>
    <col min="2" max="2" width="3.140625" style="1239" customWidth="1"/>
    <col min="3" max="3" width="21.7109375" style="1239" customWidth="1"/>
    <col min="4" max="4" width="14.140625" style="1239" customWidth="1"/>
    <col min="5" max="5" width="16.140625" style="1239" customWidth="1"/>
    <col min="6" max="6" width="15.42578125" style="1239" customWidth="1"/>
    <col min="7" max="7" width="12.85546875" style="1239" customWidth="1"/>
    <col min="8" max="8" width="14.140625" style="1239" customWidth="1"/>
    <col min="9" max="9" width="12.7109375" style="1239" customWidth="1"/>
    <col min="10" max="10" width="12.140625" style="1239" customWidth="1"/>
    <col min="11" max="11" width="13.5703125" style="1239" customWidth="1"/>
    <col min="12" max="12" width="13.42578125" style="1239" customWidth="1"/>
    <col min="13" max="13" width="11.7109375" style="1239" bestFit="1" customWidth="1"/>
    <col min="14" max="14" width="13.140625" style="1239" bestFit="1" customWidth="1"/>
    <col min="15" max="15" width="5.5703125" style="1239" customWidth="1"/>
    <col min="16" max="16" width="17.28515625" style="1239" customWidth="1"/>
    <col min="17" max="17" width="12.5703125" style="1239" customWidth="1"/>
    <col min="18" max="18" width="17.42578125" style="1239" customWidth="1"/>
    <col min="19" max="19" width="14.28515625" style="1239" bestFit="1" customWidth="1"/>
    <col min="20" max="20" width="15.5703125" style="1239" customWidth="1"/>
    <col min="21" max="21" width="15.140625" style="1239" customWidth="1"/>
    <col min="22" max="22" width="13.28515625" style="1239" customWidth="1"/>
    <col min="23" max="23" width="11.5703125" style="1239" customWidth="1"/>
    <col min="24" max="24" width="11.7109375" style="1239" customWidth="1"/>
    <col min="25" max="25" width="18" style="1239" customWidth="1"/>
    <col min="26" max="16384" width="10.42578125" style="1239"/>
  </cols>
  <sheetData>
    <row r="2" spans="3:25" ht="12.75" customHeight="1" x14ac:dyDescent="0.2">
      <c r="C2" s="1237" t="s">
        <v>767</v>
      </c>
      <c r="D2" s="1238"/>
      <c r="E2" s="1238"/>
      <c r="F2" s="1238"/>
      <c r="G2" s="1238"/>
      <c r="H2" s="1238"/>
      <c r="I2" s="1238"/>
      <c r="J2" s="1238"/>
      <c r="K2" s="1238"/>
      <c r="L2" s="1238"/>
    </row>
    <row r="3" spans="3:25" x14ac:dyDescent="0.2">
      <c r="C3" s="1240" t="s">
        <v>719</v>
      </c>
      <c r="D3" s="1241"/>
      <c r="E3" s="1241"/>
      <c r="F3" s="1241"/>
      <c r="G3" s="1241"/>
      <c r="H3" s="1241"/>
      <c r="I3" s="1241"/>
      <c r="J3" s="1241"/>
      <c r="K3" s="1241"/>
      <c r="L3" s="1241"/>
    </row>
    <row r="4" spans="3:25" x14ac:dyDescent="0.2">
      <c r="C4" s="1403" t="s">
        <v>720</v>
      </c>
      <c r="D4" s="1242" t="s">
        <v>765</v>
      </c>
      <c r="E4" s="1242"/>
    </row>
    <row r="5" spans="3:25" x14ac:dyDescent="0.2">
      <c r="C5" s="1403" t="s">
        <v>721</v>
      </c>
      <c r="D5" s="1242" t="s">
        <v>722</v>
      </c>
      <c r="E5" s="1242"/>
    </row>
    <row r="7" spans="3:25" x14ac:dyDescent="0.2">
      <c r="C7" s="1617" t="s">
        <v>723</v>
      </c>
      <c r="D7" s="1618"/>
      <c r="E7" s="1618"/>
      <c r="F7" s="1618"/>
      <c r="G7" s="1618"/>
      <c r="H7" s="1618"/>
      <c r="I7" s="1619"/>
      <c r="P7" s="1617" t="s">
        <v>723</v>
      </c>
      <c r="Q7" s="1618"/>
      <c r="R7" s="1618"/>
      <c r="S7" s="1618"/>
      <c r="T7" s="1618"/>
      <c r="U7" s="1618"/>
      <c r="V7" s="1619"/>
    </row>
    <row r="8" spans="3:25" x14ac:dyDescent="0.2">
      <c r="C8" s="1243" t="s">
        <v>7</v>
      </c>
      <c r="D8" s="1244"/>
      <c r="E8" s="1245" t="s">
        <v>63</v>
      </c>
      <c r="F8" s="1246" t="s">
        <v>114</v>
      </c>
      <c r="G8" s="1245" t="s">
        <v>146</v>
      </c>
      <c r="H8" s="1247" t="s">
        <v>724</v>
      </c>
      <c r="I8" s="1246" t="s">
        <v>725</v>
      </c>
      <c r="P8" s="1243" t="s">
        <v>7</v>
      </c>
      <c r="Q8" s="1244"/>
      <c r="R8" s="1245" t="s">
        <v>63</v>
      </c>
      <c r="S8" s="1246" t="s">
        <v>114</v>
      </c>
      <c r="T8" s="1245" t="s">
        <v>146</v>
      </c>
      <c r="U8" s="1247" t="s">
        <v>724</v>
      </c>
      <c r="V8" s="1246" t="s">
        <v>725</v>
      </c>
    </row>
    <row r="9" spans="3:25" x14ac:dyDescent="0.2">
      <c r="C9" s="1248" t="s">
        <v>726</v>
      </c>
      <c r="D9" s="1249"/>
      <c r="E9" s="1409" t="e">
        <f>Economics!$I$64</f>
        <v>#N/A</v>
      </c>
      <c r="F9" s="1410">
        <f>Economics!$I$67</f>
        <v>0</v>
      </c>
      <c r="G9" s="1411">
        <f>Economics!$I$66</f>
        <v>0</v>
      </c>
      <c r="H9" s="1250" t="e">
        <f>G9*E9</f>
        <v>#N/A</v>
      </c>
      <c r="I9" s="1251">
        <f>F9-$Q$14</f>
        <v>-4.9500000000000002E-2</v>
      </c>
      <c r="P9" s="1248" t="s">
        <v>296</v>
      </c>
      <c r="Q9" s="1249"/>
      <c r="R9" s="1402">
        <v>0</v>
      </c>
      <c r="S9" s="1403">
        <v>0</v>
      </c>
      <c r="T9" s="1404">
        <v>0</v>
      </c>
      <c r="U9" s="1250">
        <f>T9*R9</f>
        <v>0</v>
      </c>
      <c r="V9" s="1251">
        <f>S9-$Q$14</f>
        <v>-4.9500000000000002E-2</v>
      </c>
    </row>
    <row r="10" spans="3:25" x14ac:dyDescent="0.2">
      <c r="R10" s="1252"/>
      <c r="S10" s="1253"/>
    </row>
    <row r="12" spans="3:25" x14ac:dyDescent="0.2">
      <c r="F12" s="1254"/>
      <c r="G12" s="1254"/>
      <c r="H12" s="1254"/>
      <c r="J12" s="1254"/>
      <c r="L12" s="1254"/>
      <c r="S12" s="1254"/>
      <c r="T12" s="1254"/>
      <c r="U12" s="1254"/>
      <c r="W12" s="1254"/>
    </row>
    <row r="13" spans="3:25" x14ac:dyDescent="0.2">
      <c r="C13" s="1617" t="s">
        <v>764</v>
      </c>
      <c r="D13" s="1619"/>
      <c r="F13" s="1255"/>
      <c r="G13" s="1256" t="s">
        <v>177</v>
      </c>
      <c r="H13" s="1257" t="s">
        <v>155</v>
      </c>
      <c r="I13" s="1256" t="s">
        <v>170</v>
      </c>
      <c r="J13" s="1258" t="s">
        <v>728</v>
      </c>
      <c r="K13" s="1259" t="s">
        <v>729</v>
      </c>
      <c r="L13" s="1260" t="s">
        <v>730</v>
      </c>
      <c r="M13" s="1261" t="s">
        <v>731</v>
      </c>
      <c r="P13" s="1617" t="s">
        <v>763</v>
      </c>
      <c r="Q13" s="1619"/>
      <c r="U13" s="1254"/>
      <c r="V13" s="1254"/>
      <c r="W13" s="1254"/>
    </row>
    <row r="14" spans="3:25" x14ac:dyDescent="0.2">
      <c r="C14" s="1262" t="s">
        <v>145</v>
      </c>
      <c r="D14" s="1407">
        <f>Q14</f>
        <v>4.9500000000000002E-2</v>
      </c>
      <c r="F14" s="1263" t="str">
        <f>+C9</f>
        <v>First Mortgage</v>
      </c>
      <c r="G14" s="1264" t="e">
        <f>+E9</f>
        <v>#N/A</v>
      </c>
      <c r="H14" s="1265">
        <v>0</v>
      </c>
      <c r="I14" s="1264" t="e">
        <f>+G14-H14</f>
        <v>#N/A</v>
      </c>
      <c r="J14" s="1266" t="e">
        <f>+I14/$I$16</f>
        <v>#N/A</v>
      </c>
      <c r="K14" s="1264" t="e">
        <f>K88</f>
        <v>#N/A</v>
      </c>
      <c r="L14" s="1267" t="str">
        <f>I92</f>
        <v>N/A</v>
      </c>
      <c r="M14" s="1268" t="e">
        <f>+H14-K14</f>
        <v>#N/A</v>
      </c>
      <c r="P14" s="1262" t="s">
        <v>145</v>
      </c>
      <c r="Q14" s="1408">
        <f>Economics!$AI$45</f>
        <v>4.9500000000000002E-2</v>
      </c>
      <c r="U14" s="1254"/>
      <c r="V14" s="1254"/>
      <c r="W14" s="1254"/>
    </row>
    <row r="15" spans="3:25" x14ac:dyDescent="0.2">
      <c r="C15" s="1262" t="s">
        <v>732</v>
      </c>
      <c r="D15" s="1269">
        <v>46023</v>
      </c>
      <c r="F15" s="1270" t="str">
        <f>+P9</f>
        <v>Second Mortgage</v>
      </c>
      <c r="G15" s="1271">
        <f>+R9</f>
        <v>0</v>
      </c>
      <c r="H15" s="1272">
        <v>0</v>
      </c>
      <c r="I15" s="1271">
        <f>+G15-H15</f>
        <v>0</v>
      </c>
      <c r="J15" s="1273" t="e">
        <f>+I15/$I$16</f>
        <v>#N/A</v>
      </c>
      <c r="K15" s="1274">
        <f>X88</f>
        <v>0</v>
      </c>
      <c r="L15" s="1275" t="str">
        <f>V92</f>
        <v>Okay</v>
      </c>
      <c r="M15" s="1276">
        <f>+H15-K15</f>
        <v>0</v>
      </c>
      <c r="P15" s="1262" t="s">
        <v>732</v>
      </c>
      <c r="Q15" s="1269">
        <v>46023</v>
      </c>
      <c r="U15" s="1254"/>
      <c r="V15" s="1254"/>
      <c r="W15" s="1254"/>
    </row>
    <row r="16" spans="3:25" x14ac:dyDescent="0.2">
      <c r="C16" s="1262" t="s">
        <v>733</v>
      </c>
      <c r="D16" s="1277" t="s">
        <v>734</v>
      </c>
      <c r="F16" s="1278" t="s">
        <v>63</v>
      </c>
      <c r="G16" s="1271" t="e">
        <f>SUM(G14:G15)</f>
        <v>#N/A</v>
      </c>
      <c r="H16" s="1271">
        <f>SUM(H14:H15)</f>
        <v>0</v>
      </c>
      <c r="I16" s="1271" t="e">
        <f>SUM(I14:I15)</f>
        <v>#N/A</v>
      </c>
      <c r="J16" s="1273" t="e">
        <f>SUM(J14:J15)</f>
        <v>#N/A</v>
      </c>
      <c r="K16" s="1279" t="e">
        <f>SUM(K14:K15)</f>
        <v>#N/A</v>
      </c>
      <c r="L16" s="1280"/>
      <c r="M16" s="1281" t="e">
        <f>+H16-K16</f>
        <v>#N/A</v>
      </c>
      <c r="N16" s="1254" t="s">
        <v>735</v>
      </c>
      <c r="P16" s="1262" t="s">
        <v>733</v>
      </c>
      <c r="Q16" s="1277" t="s">
        <v>734</v>
      </c>
      <c r="U16" s="1254"/>
      <c r="V16" s="1254"/>
      <c r="W16" s="1254"/>
      <c r="X16" s="1254"/>
      <c r="Y16" s="1254"/>
    </row>
    <row r="17" spans="3:25" x14ac:dyDescent="0.2">
      <c r="C17" s="1282" t="s">
        <v>19</v>
      </c>
      <c r="D17" s="1283" t="s">
        <v>736</v>
      </c>
      <c r="G17" s="1254"/>
      <c r="H17" s="1254"/>
      <c r="I17" s="1254"/>
      <c r="J17" s="1254"/>
      <c r="P17" s="1282" t="s">
        <v>19</v>
      </c>
      <c r="Q17" s="1283" t="s">
        <v>736</v>
      </c>
      <c r="U17" s="1254"/>
      <c r="V17" s="1254"/>
      <c r="W17" s="1254"/>
      <c r="X17" s="1254"/>
      <c r="Y17" s="1254"/>
    </row>
    <row r="18" spans="3:25" x14ac:dyDescent="0.2">
      <c r="C18" s="1284" t="s">
        <v>737</v>
      </c>
      <c r="D18" s="1406">
        <v>1</v>
      </c>
      <c r="F18" s="1254"/>
      <c r="G18" s="1254"/>
      <c r="H18" s="1254"/>
      <c r="I18" s="1286" t="s">
        <v>738</v>
      </c>
      <c r="J18" s="1254"/>
      <c r="U18" s="1254"/>
      <c r="V18" s="1254"/>
      <c r="W18" s="1254"/>
      <c r="X18" s="1254"/>
      <c r="Y18" s="1254"/>
    </row>
    <row r="19" spans="3:25" x14ac:dyDescent="0.2">
      <c r="C19" s="1284" t="s">
        <v>739</v>
      </c>
      <c r="D19" s="1405">
        <f>D20</f>
        <v>0</v>
      </c>
      <c r="F19" s="1254"/>
      <c r="G19" s="1254"/>
      <c r="H19" s="1254"/>
      <c r="I19" s="1254"/>
      <c r="J19" s="1254"/>
      <c r="S19" s="1254"/>
      <c r="T19" s="1254"/>
      <c r="U19" s="1254"/>
      <c r="V19" s="1254"/>
      <c r="W19" s="1254"/>
      <c r="X19" s="1254"/>
      <c r="Y19" s="1254"/>
    </row>
    <row r="20" spans="3:25" ht="13.5" thickBot="1" x14ac:dyDescent="0.25">
      <c r="C20" s="1239" t="s">
        <v>18</v>
      </c>
      <c r="D20" s="1287">
        <f>Economics!$I$65*12</f>
        <v>0</v>
      </c>
      <c r="F20" s="1288"/>
      <c r="G20" s="1288"/>
      <c r="S20" s="1288"/>
      <c r="T20" s="1288"/>
    </row>
    <row r="21" spans="3:25" ht="13.5" thickBot="1" x14ac:dyDescent="0.25">
      <c r="F21" s="1289" t="str">
        <f>C9</f>
        <v>First Mortgage</v>
      </c>
      <c r="G21" s="1290"/>
      <c r="H21" s="1290"/>
      <c r="I21" s="1290"/>
      <c r="J21" s="1290"/>
      <c r="K21" s="1290"/>
      <c r="L21" s="1291"/>
      <c r="S21" s="1289" t="str">
        <f>P9</f>
        <v>Second Mortgage</v>
      </c>
      <c r="T21" s="1290"/>
      <c r="U21" s="1290"/>
      <c r="V21" s="1290"/>
      <c r="W21" s="1290"/>
      <c r="X21" s="1290"/>
      <c r="Y21" s="1291"/>
    </row>
    <row r="23" spans="3:25" ht="15.75" thickBot="1" x14ac:dyDescent="0.4">
      <c r="C23" s="1288"/>
      <c r="F23" s="1292" t="s">
        <v>146</v>
      </c>
      <c r="G23" s="1293" t="s">
        <v>126</v>
      </c>
      <c r="H23" s="1294" t="str">
        <f t="shared" ref="H23:I29" si="0">U23</f>
        <v>Loan Rate Start</v>
      </c>
      <c r="I23" s="1295" t="str">
        <f t="shared" si="0"/>
        <v>Loan Rate End</v>
      </c>
      <c r="J23" s="1292" t="s">
        <v>309</v>
      </c>
      <c r="K23" s="1292" t="s">
        <v>742</v>
      </c>
      <c r="P23" s="1288"/>
      <c r="S23" s="1292" t="s">
        <v>146</v>
      </c>
      <c r="T23" s="1293" t="s">
        <v>126</v>
      </c>
      <c r="U23" s="1294" t="s">
        <v>740</v>
      </c>
      <c r="V23" s="1295" t="s">
        <v>741</v>
      </c>
      <c r="W23" s="1292" t="s">
        <v>309</v>
      </c>
      <c r="X23" s="1292" t="s">
        <v>742</v>
      </c>
    </row>
    <row r="24" spans="3:25" ht="13.5" thickBot="1" x14ac:dyDescent="0.25">
      <c r="C24" s="1288"/>
      <c r="E24" s="1296" t="s">
        <v>743</v>
      </c>
      <c r="F24" s="1297">
        <f>G9</f>
        <v>0</v>
      </c>
      <c r="G24" s="1298" t="e">
        <f>E9</f>
        <v>#N/A</v>
      </c>
      <c r="H24" s="1299">
        <f t="shared" si="0"/>
        <v>0</v>
      </c>
      <c r="I24" s="1300">
        <f t="shared" si="0"/>
        <v>3</v>
      </c>
      <c r="J24" s="1297">
        <f>+F9+K24</f>
        <v>0</v>
      </c>
      <c r="K24" s="1302">
        <f t="shared" ref="K24:K29" si="1">+X24</f>
        <v>0</v>
      </c>
      <c r="P24" s="1288"/>
      <c r="R24" s="1296" t="s">
        <v>743</v>
      </c>
      <c r="S24" s="1297">
        <f>T9</f>
        <v>0</v>
      </c>
      <c r="T24" s="1298">
        <f>R9</f>
        <v>0</v>
      </c>
      <c r="U24" s="1299">
        <v>0</v>
      </c>
      <c r="V24" s="1300">
        <v>3</v>
      </c>
      <c r="W24" s="1301">
        <f>+S9+X24</f>
        <v>0</v>
      </c>
      <c r="X24" s="1302">
        <v>0</v>
      </c>
    </row>
    <row r="25" spans="3:25" ht="13.5" thickBot="1" x14ac:dyDescent="0.25">
      <c r="C25" s="1288"/>
      <c r="F25" s="1288"/>
      <c r="G25" s="1288"/>
      <c r="H25" s="1299">
        <f t="shared" si="0"/>
        <v>4</v>
      </c>
      <c r="I25" s="1300">
        <f t="shared" si="0"/>
        <v>6</v>
      </c>
      <c r="J25" s="1297">
        <f>+J24+K25</f>
        <v>0</v>
      </c>
      <c r="K25" s="1302">
        <f t="shared" si="1"/>
        <v>0</v>
      </c>
      <c r="L25" s="1288"/>
      <c r="O25" s="1288"/>
      <c r="P25" s="1288"/>
      <c r="S25" s="1288"/>
      <c r="U25" s="1299">
        <v>4</v>
      </c>
      <c r="V25" s="1300">
        <v>6</v>
      </c>
      <c r="W25" s="1301">
        <f>+W24+X25</f>
        <v>0</v>
      </c>
      <c r="X25" s="1302">
        <v>0</v>
      </c>
      <c r="Y25" s="1288"/>
    </row>
    <row r="26" spans="3:25" ht="13.5" thickBot="1" x14ac:dyDescent="0.25">
      <c r="C26" s="1288"/>
      <c r="D26" s="1288"/>
      <c r="E26" s="1288"/>
      <c r="F26" s="1288"/>
      <c r="G26" s="1288"/>
      <c r="H26" s="1299">
        <f t="shared" si="0"/>
        <v>7</v>
      </c>
      <c r="I26" s="1300">
        <f t="shared" si="0"/>
        <v>9</v>
      </c>
      <c r="J26" s="1297">
        <f t="shared" ref="J26:J29" si="2">+J25+K26</f>
        <v>0</v>
      </c>
      <c r="K26" s="1302">
        <f t="shared" si="1"/>
        <v>0</v>
      </c>
      <c r="L26" s="1288"/>
      <c r="O26" s="1288"/>
      <c r="P26" s="1288"/>
      <c r="Q26" s="1288"/>
      <c r="R26" s="1288"/>
      <c r="S26" s="1288"/>
      <c r="U26" s="1299">
        <v>7</v>
      </c>
      <c r="V26" s="1300">
        <v>9</v>
      </c>
      <c r="W26" s="1301">
        <f t="shared" ref="W26:W29" si="3">+W25+X26</f>
        <v>0</v>
      </c>
      <c r="X26" s="1302">
        <v>0</v>
      </c>
      <c r="Y26" s="1288"/>
    </row>
    <row r="27" spans="3:25" ht="13.5" thickBot="1" x14ac:dyDescent="0.25">
      <c r="H27" s="1299">
        <f t="shared" si="0"/>
        <v>10</v>
      </c>
      <c r="I27" s="1300">
        <f t="shared" si="0"/>
        <v>12</v>
      </c>
      <c r="J27" s="1297">
        <f t="shared" si="2"/>
        <v>0</v>
      </c>
      <c r="K27" s="1302">
        <f t="shared" si="1"/>
        <v>0</v>
      </c>
      <c r="U27" s="1299">
        <v>10</v>
      </c>
      <c r="V27" s="1300">
        <v>12</v>
      </c>
      <c r="W27" s="1301">
        <f t="shared" si="3"/>
        <v>0</v>
      </c>
      <c r="X27" s="1302">
        <v>0</v>
      </c>
    </row>
    <row r="28" spans="3:25" ht="13.5" thickBot="1" x14ac:dyDescent="0.25">
      <c r="H28" s="1299">
        <f t="shared" si="0"/>
        <v>13</v>
      </c>
      <c r="I28" s="1300">
        <f t="shared" si="0"/>
        <v>15</v>
      </c>
      <c r="J28" s="1297">
        <f t="shared" si="2"/>
        <v>0</v>
      </c>
      <c r="K28" s="1302">
        <f t="shared" si="1"/>
        <v>0</v>
      </c>
      <c r="U28" s="1299">
        <v>13</v>
      </c>
      <c r="V28" s="1300">
        <v>15</v>
      </c>
      <c r="W28" s="1301">
        <f t="shared" si="3"/>
        <v>0</v>
      </c>
      <c r="X28" s="1302">
        <v>0</v>
      </c>
    </row>
    <row r="29" spans="3:25" ht="13.5" thickBot="1" x14ac:dyDescent="0.25">
      <c r="H29" s="1299">
        <f t="shared" si="0"/>
        <v>16</v>
      </c>
      <c r="I29" s="1300">
        <f t="shared" si="0"/>
        <v>52</v>
      </c>
      <c r="J29" s="1297">
        <f t="shared" si="2"/>
        <v>0</v>
      </c>
      <c r="K29" s="1302">
        <f t="shared" si="1"/>
        <v>0</v>
      </c>
      <c r="U29" s="1299">
        <v>16</v>
      </c>
      <c r="V29" s="1300">
        <v>52</v>
      </c>
      <c r="W29" s="1301">
        <f t="shared" si="3"/>
        <v>0</v>
      </c>
      <c r="X29" s="1302">
        <v>0</v>
      </c>
    </row>
    <row r="31" spans="3:25" x14ac:dyDescent="0.2">
      <c r="J31" s="1304" t="s">
        <v>315</v>
      </c>
      <c r="K31" s="1304" t="s">
        <v>315</v>
      </c>
      <c r="U31" s="1303"/>
      <c r="W31" s="1304" t="s">
        <v>315</v>
      </c>
      <c r="X31" s="1304" t="s">
        <v>315</v>
      </c>
    </row>
    <row r="32" spans="3:25" x14ac:dyDescent="0.2">
      <c r="F32" s="1305" t="s">
        <v>132</v>
      </c>
      <c r="G32" s="1305" t="s">
        <v>16</v>
      </c>
      <c r="H32" s="1305" t="s">
        <v>16</v>
      </c>
      <c r="I32" s="1305" t="s">
        <v>16</v>
      </c>
      <c r="J32" s="1304" t="s">
        <v>744</v>
      </c>
      <c r="K32" s="1304" t="s">
        <v>734</v>
      </c>
      <c r="L32" s="1305" t="s">
        <v>16</v>
      </c>
      <c r="S32" s="1305" t="s">
        <v>132</v>
      </c>
      <c r="T32" s="1305" t="s">
        <v>16</v>
      </c>
      <c r="U32" s="1305" t="s">
        <v>16</v>
      </c>
      <c r="V32" s="1305" t="s">
        <v>16</v>
      </c>
      <c r="W32" s="1304" t="s">
        <v>744</v>
      </c>
      <c r="X32" s="1304" t="s">
        <v>734</v>
      </c>
      <c r="Y32" s="1305" t="s">
        <v>16</v>
      </c>
    </row>
    <row r="33" spans="3:25" ht="13.5" thickBot="1" x14ac:dyDescent="0.25">
      <c r="C33" s="1306" t="s">
        <v>745</v>
      </c>
      <c r="D33" s="1307" t="s">
        <v>469</v>
      </c>
      <c r="E33" s="1303" t="s">
        <v>746</v>
      </c>
      <c r="F33" s="1307" t="s">
        <v>146</v>
      </c>
      <c r="G33" s="1307" t="s">
        <v>747</v>
      </c>
      <c r="H33" s="1307" t="s">
        <v>748</v>
      </c>
      <c r="I33" s="1307" t="s">
        <v>315</v>
      </c>
      <c r="J33" s="1308" t="s">
        <v>749</v>
      </c>
      <c r="K33" s="1308" t="s">
        <v>750</v>
      </c>
      <c r="L33" s="1307" t="s">
        <v>314</v>
      </c>
      <c r="P33" s="1306" t="s">
        <v>745</v>
      </c>
      <c r="Q33" s="1307" t="s">
        <v>469</v>
      </c>
      <c r="R33" s="1303" t="s">
        <v>746</v>
      </c>
      <c r="S33" s="1307" t="s">
        <v>146</v>
      </c>
      <c r="T33" s="1307" t="s">
        <v>747</v>
      </c>
      <c r="U33" s="1307" t="s">
        <v>748</v>
      </c>
      <c r="V33" s="1307" t="s">
        <v>315</v>
      </c>
      <c r="W33" s="1308" t="s">
        <v>749</v>
      </c>
      <c r="X33" s="1308" t="s">
        <v>750</v>
      </c>
      <c r="Y33" s="1307" t="s">
        <v>314</v>
      </c>
    </row>
    <row r="34" spans="3:25" x14ac:dyDescent="0.2">
      <c r="C34" s="1309" t="s">
        <v>751</v>
      </c>
      <c r="D34" s="1310">
        <f>+D35-1</f>
        <v>46022</v>
      </c>
      <c r="E34" s="1303"/>
      <c r="F34" s="1311"/>
      <c r="G34" s="1312">
        <v>1</v>
      </c>
      <c r="H34" s="1311"/>
      <c r="I34" s="1311"/>
      <c r="J34" s="1313"/>
      <c r="K34" s="1313"/>
      <c r="L34" s="1314">
        <f>MIN(G34+I34)-H34</f>
        <v>1</v>
      </c>
      <c r="P34" s="1309" t="s">
        <v>751</v>
      </c>
      <c r="Q34" s="1310">
        <f>+Q35-1</f>
        <v>46022</v>
      </c>
      <c r="R34" s="1303"/>
      <c r="S34" s="1311"/>
      <c r="T34" s="1312">
        <v>1</v>
      </c>
      <c r="U34" s="1311"/>
      <c r="V34" s="1311"/>
      <c r="W34" s="1313"/>
      <c r="X34" s="1313"/>
      <c r="Y34" s="1314">
        <f>MIN(T34+V34)-U34</f>
        <v>1</v>
      </c>
    </row>
    <row r="35" spans="3:25" x14ac:dyDescent="0.2">
      <c r="C35" s="1315"/>
      <c r="D35" s="1316">
        <f>D15</f>
        <v>46023</v>
      </c>
      <c r="F35" s="1314" t="e">
        <f>G24*F24</f>
        <v>#N/A</v>
      </c>
      <c r="G35" s="1317" t="e">
        <f>+IF(T35=0,MIN($I$14-SUM($G34:G$34),$I$14/$D$19),0)</f>
        <v>#N/A</v>
      </c>
      <c r="H35" s="1317">
        <f t="shared" ref="H35:H66" si="4">+IF(C35=$D$20,L34+K35,0)</f>
        <v>1</v>
      </c>
      <c r="I35" s="1312">
        <v>0</v>
      </c>
      <c r="J35" s="1312"/>
      <c r="K35" s="1314"/>
      <c r="L35" s="1314" t="e">
        <f>MIN(G35+I35)-H35</f>
        <v>#N/A</v>
      </c>
      <c r="P35" s="1315"/>
      <c r="Q35" s="1316">
        <f>Q15</f>
        <v>46023</v>
      </c>
      <c r="S35" s="1314">
        <f>T24*S24</f>
        <v>0</v>
      </c>
      <c r="T35" s="1317">
        <f>+$I$15/$D$18</f>
        <v>0</v>
      </c>
      <c r="U35" s="1317">
        <f t="shared" ref="U35:U66" si="5">+IF(P35=$D$20,Y34+X35,0)</f>
        <v>1</v>
      </c>
      <c r="V35" s="1312">
        <v>0</v>
      </c>
      <c r="W35" s="1312"/>
      <c r="X35" s="1314"/>
      <c r="Y35" s="1314">
        <f>MIN(T35+V35)-U35</f>
        <v>-1</v>
      </c>
    </row>
    <row r="36" spans="3:25" x14ac:dyDescent="0.2">
      <c r="C36" s="1315">
        <f>+IF(DAY(D35)&lt;&gt;1,0,1)</f>
        <v>1</v>
      </c>
      <c r="D36" s="1316">
        <f>DATE(YEAR(D35),MONTH(D35)+1,1)</f>
        <v>46054</v>
      </c>
      <c r="E36" s="1318" cm="1">
        <f t="array" ref="E36">+IFERROR(LOOKUP(2,1/((C36&gt;=Mins2)*(C36&lt;=Maxs2)),Rates2),"N/A")</f>
        <v>0</v>
      </c>
      <c r="F36" s="1314">
        <v>0</v>
      </c>
      <c r="G36" s="1317" t="e">
        <f>+IF(T36=0,MIN($I$14-SUM($G$35:G35),$I$14/$D$19),0)</f>
        <v>#N/A</v>
      </c>
      <c r="H36" s="1317">
        <f t="shared" si="4"/>
        <v>0</v>
      </c>
      <c r="I36" s="1319" t="e">
        <f>ROUND(L35*E36/365*(D36-D35),2)</f>
        <v>#N/A</v>
      </c>
      <c r="J36" s="1319" t="e">
        <f t="shared" ref="J36:J87" si="6">I36-K36</f>
        <v>#N/A</v>
      </c>
      <c r="K36" s="1314" t="e">
        <f t="shared" ref="K36:K67" si="7">IF($Q$16="Paid Current",0,ROUND(L35*E36/365*(D36-D35),2))</f>
        <v>#N/A</v>
      </c>
      <c r="L36" s="1312" t="e">
        <f t="shared" ref="L36:L87" si="8">L35+G36+K36-H36</f>
        <v>#N/A</v>
      </c>
      <c r="P36" s="1315">
        <f>+IF(DAY(Q35)&lt;&gt;1,0,1)</f>
        <v>1</v>
      </c>
      <c r="Q36" s="1316">
        <f>DATE(YEAR(Q35),MONTH(Q35)+1,1)</f>
        <v>46054</v>
      </c>
      <c r="R36" s="1318" cm="1">
        <f t="array" ref="R36">+IFERROR(LOOKUP(2,1/((P36&gt;=Mins)*(P36&lt;=Maxs)),Rates),"N/A")</f>
        <v>0</v>
      </c>
      <c r="S36" s="1314">
        <v>0</v>
      </c>
      <c r="T36" s="1317">
        <f>+MIN($I$15-SUM($T$35:T35),$I$15/$D$18)</f>
        <v>0</v>
      </c>
      <c r="U36" s="1317">
        <f t="shared" si="5"/>
        <v>0</v>
      </c>
      <c r="V36" s="1319">
        <f>ROUND(Y35*R36/365*(Q36-Q35),2)</f>
        <v>0</v>
      </c>
      <c r="W36" s="1319">
        <f t="shared" ref="W36:W87" si="9">V36-X36</f>
        <v>0</v>
      </c>
      <c r="X36" s="1314">
        <f t="shared" ref="X36:X67" si="10">IF($Q$16="Paid Current",0,ROUND(Y35*R36/365*(Q36-Q35),2))</f>
        <v>0</v>
      </c>
      <c r="Y36" s="1312">
        <f t="shared" ref="Y36:Y87" si="11">Y35+T36+X36-U36</f>
        <v>-1</v>
      </c>
    </row>
    <row r="37" spans="3:25" x14ac:dyDescent="0.2">
      <c r="C37" s="1315">
        <f>+C36+1</f>
        <v>2</v>
      </c>
      <c r="D37" s="1316">
        <f t="shared" ref="D37:D87" si="12">EDATE(D36,1)</f>
        <v>46082</v>
      </c>
      <c r="E37" s="1318" cm="1">
        <f t="array" ref="E37">+IFERROR(LOOKUP(2,1/((C37&gt;=Mins2)*(C37&lt;=Maxs2)),Rates2),"N/A")</f>
        <v>0</v>
      </c>
      <c r="F37" s="1314">
        <v>0</v>
      </c>
      <c r="G37" s="1317" t="e">
        <f>+IF(T37=0,MIN($I$14-SUM($G$35:G36),$I$14/$D$19),0)</f>
        <v>#N/A</v>
      </c>
      <c r="H37" s="1317">
        <f t="shared" si="4"/>
        <v>0</v>
      </c>
      <c r="I37" s="1319" t="e">
        <f t="shared" ref="I37:I87" si="13">ROUND(L36*E37/365*(D37-D36),2)</f>
        <v>#N/A</v>
      </c>
      <c r="J37" s="1319" t="e">
        <f t="shared" si="6"/>
        <v>#N/A</v>
      </c>
      <c r="K37" s="1314" t="e">
        <f t="shared" si="7"/>
        <v>#N/A</v>
      </c>
      <c r="L37" s="1312" t="e">
        <f t="shared" si="8"/>
        <v>#N/A</v>
      </c>
      <c r="P37" s="1315">
        <f>+P36+1</f>
        <v>2</v>
      </c>
      <c r="Q37" s="1316">
        <f t="shared" ref="Q37:Q87" si="14">EDATE(Q36,1)</f>
        <v>46082</v>
      </c>
      <c r="R37" s="1318" cm="1">
        <f t="array" ref="R37">+IFERROR(LOOKUP(2,1/((P37&gt;=Mins)*(P37&lt;=Maxs)),Rates),"N/A")</f>
        <v>0</v>
      </c>
      <c r="S37" s="1314">
        <v>0</v>
      </c>
      <c r="T37" s="1317">
        <f>+MIN($I$15-SUM($T$35:T36),$I$15/$D$18)</f>
        <v>0</v>
      </c>
      <c r="U37" s="1317">
        <f t="shared" si="5"/>
        <v>0</v>
      </c>
      <c r="V37" s="1319">
        <f t="shared" ref="V37:V87" si="15">ROUND(Y36*R37/365*(Q37-Q36),2)</f>
        <v>0</v>
      </c>
      <c r="W37" s="1319">
        <f t="shared" si="9"/>
        <v>0</v>
      </c>
      <c r="X37" s="1314">
        <f t="shared" si="10"/>
        <v>0</v>
      </c>
      <c r="Y37" s="1312">
        <f t="shared" si="11"/>
        <v>-1</v>
      </c>
    </row>
    <row r="38" spans="3:25" x14ac:dyDescent="0.2">
      <c r="C38" s="1315">
        <f t="shared" ref="C38:C87" si="16">+C37+1</f>
        <v>3</v>
      </c>
      <c r="D38" s="1316">
        <f t="shared" si="12"/>
        <v>46113</v>
      </c>
      <c r="E38" s="1318" cm="1">
        <f t="array" ref="E38">+IFERROR(LOOKUP(2,1/((C38&gt;=Mins2)*(C38&lt;=Maxs2)),Rates2),"N/A")</f>
        <v>0</v>
      </c>
      <c r="F38" s="1314">
        <v>0</v>
      </c>
      <c r="G38" s="1317" t="e">
        <f>+IF(T38=0,MIN($I$14-SUM($G$35:G37),$I$14/$D$19),0)</f>
        <v>#N/A</v>
      </c>
      <c r="H38" s="1317">
        <f t="shared" si="4"/>
        <v>0</v>
      </c>
      <c r="I38" s="1319" t="e">
        <f t="shared" si="13"/>
        <v>#N/A</v>
      </c>
      <c r="J38" s="1319" t="e">
        <f t="shared" si="6"/>
        <v>#N/A</v>
      </c>
      <c r="K38" s="1314" t="e">
        <f t="shared" si="7"/>
        <v>#N/A</v>
      </c>
      <c r="L38" s="1312" t="e">
        <f t="shared" si="8"/>
        <v>#N/A</v>
      </c>
      <c r="P38" s="1315">
        <f t="shared" ref="P38:P87" si="17">+P37+1</f>
        <v>3</v>
      </c>
      <c r="Q38" s="1316">
        <f t="shared" si="14"/>
        <v>46113</v>
      </c>
      <c r="R38" s="1318" cm="1">
        <f t="array" ref="R38">+IFERROR(LOOKUP(2,1/((P38&gt;=Mins)*(P38&lt;=Maxs)),Rates),"N/A")</f>
        <v>0</v>
      </c>
      <c r="S38" s="1314">
        <v>0</v>
      </c>
      <c r="T38" s="1317">
        <f>+MIN($I$15-SUM($T$35:T37),$I$15/$D$18)</f>
        <v>0</v>
      </c>
      <c r="U38" s="1317">
        <f t="shared" si="5"/>
        <v>0</v>
      </c>
      <c r="V38" s="1319">
        <f t="shared" si="15"/>
        <v>0</v>
      </c>
      <c r="W38" s="1319">
        <f t="shared" si="9"/>
        <v>0</v>
      </c>
      <c r="X38" s="1314">
        <f t="shared" si="10"/>
        <v>0</v>
      </c>
      <c r="Y38" s="1312">
        <f t="shared" si="11"/>
        <v>-1</v>
      </c>
    </row>
    <row r="39" spans="3:25" x14ac:dyDescent="0.2">
      <c r="C39" s="1315">
        <f t="shared" si="16"/>
        <v>4</v>
      </c>
      <c r="D39" s="1316">
        <f t="shared" si="12"/>
        <v>46143</v>
      </c>
      <c r="E39" s="1318" cm="1">
        <f t="array" ref="E39">+IFERROR(LOOKUP(2,1/((C39&gt;=Mins2)*(C39&lt;=Maxs2)),Rates2),"N/A")</f>
        <v>0</v>
      </c>
      <c r="F39" s="1314">
        <v>0</v>
      </c>
      <c r="G39" s="1317" t="e">
        <f>+IF(T39=0,MIN($I$14-SUM($G$35:G38),$I$14/$D$19),0)</f>
        <v>#N/A</v>
      </c>
      <c r="H39" s="1317">
        <f t="shared" si="4"/>
        <v>0</v>
      </c>
      <c r="I39" s="1319" t="e">
        <f t="shared" si="13"/>
        <v>#N/A</v>
      </c>
      <c r="J39" s="1319" t="e">
        <f t="shared" si="6"/>
        <v>#N/A</v>
      </c>
      <c r="K39" s="1314" t="e">
        <f t="shared" si="7"/>
        <v>#N/A</v>
      </c>
      <c r="L39" s="1312" t="e">
        <f t="shared" si="8"/>
        <v>#N/A</v>
      </c>
      <c r="P39" s="1315">
        <f t="shared" si="17"/>
        <v>4</v>
      </c>
      <c r="Q39" s="1316">
        <f t="shared" si="14"/>
        <v>46143</v>
      </c>
      <c r="R39" s="1318" cm="1">
        <f t="array" ref="R39">+IFERROR(LOOKUP(2,1/((P39&gt;=Mins)*(P39&lt;=Maxs)),Rates),"N/A")</f>
        <v>0</v>
      </c>
      <c r="S39" s="1314">
        <v>0</v>
      </c>
      <c r="T39" s="1317">
        <f>+MIN($I$15-SUM($T$35:T38),$I$15/$D$18)</f>
        <v>0</v>
      </c>
      <c r="U39" s="1317">
        <f t="shared" si="5"/>
        <v>0</v>
      </c>
      <c r="V39" s="1319">
        <f t="shared" si="15"/>
        <v>0</v>
      </c>
      <c r="W39" s="1319">
        <f t="shared" si="9"/>
        <v>0</v>
      </c>
      <c r="X39" s="1314">
        <f t="shared" si="10"/>
        <v>0</v>
      </c>
      <c r="Y39" s="1312">
        <f t="shared" si="11"/>
        <v>-1</v>
      </c>
    </row>
    <row r="40" spans="3:25" x14ac:dyDescent="0.2">
      <c r="C40" s="1315">
        <f t="shared" si="16"/>
        <v>5</v>
      </c>
      <c r="D40" s="1316">
        <f t="shared" si="12"/>
        <v>46174</v>
      </c>
      <c r="E40" s="1318" cm="1">
        <f t="array" ref="E40">+IFERROR(LOOKUP(2,1/((C40&gt;=Mins2)*(C40&lt;=Maxs2)),Rates2),"N/A")</f>
        <v>0</v>
      </c>
      <c r="F40" s="1314">
        <v>0</v>
      </c>
      <c r="G40" s="1320" t="e">
        <f>+IF(T40=0,MIN($I$14-SUM($G$35:G39),$I$14/$D$19),0)</f>
        <v>#N/A</v>
      </c>
      <c r="H40" s="1317">
        <f t="shared" si="4"/>
        <v>0</v>
      </c>
      <c r="I40" s="1319" t="e">
        <f t="shared" si="13"/>
        <v>#N/A</v>
      </c>
      <c r="J40" s="1319" t="e">
        <f t="shared" si="6"/>
        <v>#N/A</v>
      </c>
      <c r="K40" s="1314" t="e">
        <f t="shared" si="7"/>
        <v>#N/A</v>
      </c>
      <c r="L40" s="1312" t="e">
        <f t="shared" si="8"/>
        <v>#N/A</v>
      </c>
      <c r="P40" s="1315">
        <f t="shared" si="17"/>
        <v>5</v>
      </c>
      <c r="Q40" s="1316">
        <f t="shared" si="14"/>
        <v>46174</v>
      </c>
      <c r="R40" s="1318" cm="1">
        <f t="array" ref="R40">+IFERROR(LOOKUP(2,1/((P40&gt;=Mins)*(P40&lt;=Maxs)),Rates),"N/A")</f>
        <v>0</v>
      </c>
      <c r="S40" s="1314">
        <v>0</v>
      </c>
      <c r="T40" s="1317">
        <f>+MIN($I$15-SUM($T$35:T39),$I$15/$D$18)</f>
        <v>0</v>
      </c>
      <c r="U40" s="1317">
        <f t="shared" si="5"/>
        <v>0</v>
      </c>
      <c r="V40" s="1319">
        <f t="shared" si="15"/>
        <v>0</v>
      </c>
      <c r="W40" s="1319">
        <f t="shared" si="9"/>
        <v>0</v>
      </c>
      <c r="X40" s="1314">
        <f t="shared" si="10"/>
        <v>0</v>
      </c>
      <c r="Y40" s="1312">
        <f t="shared" si="11"/>
        <v>-1</v>
      </c>
    </row>
    <row r="41" spans="3:25" x14ac:dyDescent="0.2">
      <c r="C41" s="1315">
        <f t="shared" si="16"/>
        <v>6</v>
      </c>
      <c r="D41" s="1316">
        <f t="shared" si="12"/>
        <v>46204</v>
      </c>
      <c r="E41" s="1318" cm="1">
        <f t="array" ref="E41">+IFERROR(LOOKUP(2,1/((C41&gt;=Mins2)*(C41&lt;=Maxs2)),Rates2),"N/A")</f>
        <v>0</v>
      </c>
      <c r="F41" s="1314">
        <v>0</v>
      </c>
      <c r="G41" s="1320" t="e">
        <f>+IF(T41=0,MIN($I$14-SUM($G$35:G40),$I$14/$D$19),0)</f>
        <v>#N/A</v>
      </c>
      <c r="H41" s="1317">
        <f t="shared" si="4"/>
        <v>0</v>
      </c>
      <c r="I41" s="1319" t="e">
        <f t="shared" si="13"/>
        <v>#N/A</v>
      </c>
      <c r="J41" s="1319" t="e">
        <f t="shared" si="6"/>
        <v>#N/A</v>
      </c>
      <c r="K41" s="1314" t="e">
        <f t="shared" si="7"/>
        <v>#N/A</v>
      </c>
      <c r="L41" s="1312" t="e">
        <f t="shared" si="8"/>
        <v>#N/A</v>
      </c>
      <c r="P41" s="1315">
        <f t="shared" si="17"/>
        <v>6</v>
      </c>
      <c r="Q41" s="1316">
        <f t="shared" si="14"/>
        <v>46204</v>
      </c>
      <c r="R41" s="1318" cm="1">
        <f t="array" ref="R41">+IFERROR(LOOKUP(2,1/((P41&gt;=Mins)*(P41&lt;=Maxs)),Rates),"N/A")</f>
        <v>0</v>
      </c>
      <c r="S41" s="1314">
        <v>0</v>
      </c>
      <c r="T41" s="1317">
        <f>+MIN($I$15-SUM($T$35:T40),$I$15/$D$18)</f>
        <v>0</v>
      </c>
      <c r="U41" s="1317">
        <f t="shared" si="5"/>
        <v>0</v>
      </c>
      <c r="V41" s="1319">
        <f t="shared" si="15"/>
        <v>0</v>
      </c>
      <c r="W41" s="1319">
        <f t="shared" si="9"/>
        <v>0</v>
      </c>
      <c r="X41" s="1314">
        <f t="shared" si="10"/>
        <v>0</v>
      </c>
      <c r="Y41" s="1312">
        <f t="shared" si="11"/>
        <v>-1</v>
      </c>
    </row>
    <row r="42" spans="3:25" x14ac:dyDescent="0.2">
      <c r="C42" s="1315">
        <f t="shared" si="16"/>
        <v>7</v>
      </c>
      <c r="D42" s="1316">
        <f t="shared" si="12"/>
        <v>46235</v>
      </c>
      <c r="E42" s="1318" cm="1">
        <f t="array" ref="E42">+IFERROR(LOOKUP(2,1/((C42&gt;=Mins2)*(C42&lt;=Maxs2)),Rates2),"N/A")</f>
        <v>0</v>
      </c>
      <c r="F42" s="1314">
        <v>0</v>
      </c>
      <c r="G42" s="1320" t="e">
        <f>+IF(T42=0,MIN($I$14-SUM($G$35:G41),$I$14/$D$19),0)</f>
        <v>#N/A</v>
      </c>
      <c r="H42" s="1317">
        <f t="shared" si="4"/>
        <v>0</v>
      </c>
      <c r="I42" s="1319" t="e">
        <f t="shared" si="13"/>
        <v>#N/A</v>
      </c>
      <c r="J42" s="1319" t="e">
        <f t="shared" si="6"/>
        <v>#N/A</v>
      </c>
      <c r="K42" s="1314" t="e">
        <f t="shared" si="7"/>
        <v>#N/A</v>
      </c>
      <c r="L42" s="1312" t="e">
        <f t="shared" si="8"/>
        <v>#N/A</v>
      </c>
      <c r="P42" s="1315">
        <f t="shared" si="17"/>
        <v>7</v>
      </c>
      <c r="Q42" s="1316">
        <f t="shared" si="14"/>
        <v>46235</v>
      </c>
      <c r="R42" s="1318" cm="1">
        <f t="array" ref="R42">+IFERROR(LOOKUP(2,1/((P42&gt;=Mins)*(P42&lt;=Maxs)),Rates),"N/A")</f>
        <v>0</v>
      </c>
      <c r="S42" s="1314">
        <v>0</v>
      </c>
      <c r="T42" s="1317">
        <f>+MIN($I$15-SUM($T$35:T41),$I$15/$D$18)</f>
        <v>0</v>
      </c>
      <c r="U42" s="1317">
        <f t="shared" si="5"/>
        <v>0</v>
      </c>
      <c r="V42" s="1319">
        <f t="shared" si="15"/>
        <v>0</v>
      </c>
      <c r="W42" s="1319">
        <f t="shared" si="9"/>
        <v>0</v>
      </c>
      <c r="X42" s="1314">
        <f t="shared" si="10"/>
        <v>0</v>
      </c>
      <c r="Y42" s="1312">
        <f t="shared" si="11"/>
        <v>-1</v>
      </c>
    </row>
    <row r="43" spans="3:25" x14ac:dyDescent="0.2">
      <c r="C43" s="1315">
        <f t="shared" si="16"/>
        <v>8</v>
      </c>
      <c r="D43" s="1316">
        <f t="shared" si="12"/>
        <v>46266</v>
      </c>
      <c r="E43" s="1318" cm="1">
        <f t="array" ref="E43">+IFERROR(LOOKUP(2,1/((C43&gt;=Mins2)*(C43&lt;=Maxs2)),Rates2),"N/A")</f>
        <v>0</v>
      </c>
      <c r="F43" s="1314">
        <v>0</v>
      </c>
      <c r="G43" s="1320" t="e">
        <f>+IF(T43=0,MIN($I$14-SUM($G$35:G42),$I$14/$D$19),0)</f>
        <v>#N/A</v>
      </c>
      <c r="H43" s="1317">
        <f t="shared" si="4"/>
        <v>0</v>
      </c>
      <c r="I43" s="1319" t="e">
        <f t="shared" si="13"/>
        <v>#N/A</v>
      </c>
      <c r="J43" s="1319" t="e">
        <f t="shared" si="6"/>
        <v>#N/A</v>
      </c>
      <c r="K43" s="1314" t="e">
        <f t="shared" si="7"/>
        <v>#N/A</v>
      </c>
      <c r="L43" s="1312" t="e">
        <f t="shared" si="8"/>
        <v>#N/A</v>
      </c>
      <c r="P43" s="1315">
        <f t="shared" si="17"/>
        <v>8</v>
      </c>
      <c r="Q43" s="1316">
        <f t="shared" si="14"/>
        <v>46266</v>
      </c>
      <c r="R43" s="1318" cm="1">
        <f t="array" ref="R43">+IFERROR(LOOKUP(2,1/((P43&gt;=Mins)*(P43&lt;=Maxs)),Rates),"N/A")</f>
        <v>0</v>
      </c>
      <c r="S43" s="1314">
        <v>0</v>
      </c>
      <c r="T43" s="1317">
        <f>+MIN($I$15-SUM($T$35:T42),$I$15/$D$18)</f>
        <v>0</v>
      </c>
      <c r="U43" s="1317">
        <f t="shared" si="5"/>
        <v>0</v>
      </c>
      <c r="V43" s="1319">
        <f t="shared" si="15"/>
        <v>0</v>
      </c>
      <c r="W43" s="1319">
        <f t="shared" si="9"/>
        <v>0</v>
      </c>
      <c r="X43" s="1314">
        <f t="shared" si="10"/>
        <v>0</v>
      </c>
      <c r="Y43" s="1312">
        <f t="shared" si="11"/>
        <v>-1</v>
      </c>
    </row>
    <row r="44" spans="3:25" x14ac:dyDescent="0.2">
      <c r="C44" s="1315">
        <f t="shared" si="16"/>
        <v>9</v>
      </c>
      <c r="D44" s="1316">
        <f t="shared" si="12"/>
        <v>46296</v>
      </c>
      <c r="E44" s="1318" cm="1">
        <f t="array" ref="E44">+IFERROR(LOOKUP(2,1/((C44&gt;=Mins2)*(C44&lt;=Maxs2)),Rates2),"N/A")</f>
        <v>0</v>
      </c>
      <c r="F44" s="1314">
        <v>0</v>
      </c>
      <c r="G44" s="1320" t="e">
        <f>+IF(T44=0,MIN($I$14-SUM($G$35:G43),$I$14/$D$19),0)</f>
        <v>#N/A</v>
      </c>
      <c r="H44" s="1317">
        <f t="shared" si="4"/>
        <v>0</v>
      </c>
      <c r="I44" s="1319" t="e">
        <f t="shared" si="13"/>
        <v>#N/A</v>
      </c>
      <c r="J44" s="1319" t="e">
        <f t="shared" si="6"/>
        <v>#N/A</v>
      </c>
      <c r="K44" s="1314" t="e">
        <f t="shared" si="7"/>
        <v>#N/A</v>
      </c>
      <c r="L44" s="1312" t="e">
        <f t="shared" si="8"/>
        <v>#N/A</v>
      </c>
      <c r="P44" s="1315">
        <f t="shared" si="17"/>
        <v>9</v>
      </c>
      <c r="Q44" s="1316">
        <f t="shared" si="14"/>
        <v>46296</v>
      </c>
      <c r="R44" s="1318" cm="1">
        <f t="array" ref="R44">+IFERROR(LOOKUP(2,1/((P44&gt;=Mins)*(P44&lt;=Maxs)),Rates),"N/A")</f>
        <v>0</v>
      </c>
      <c r="S44" s="1314">
        <v>0</v>
      </c>
      <c r="T44" s="1317">
        <f>+MIN($I$15-SUM($T$35:T43),$I$15/$D$18)</f>
        <v>0</v>
      </c>
      <c r="U44" s="1317">
        <f t="shared" si="5"/>
        <v>0</v>
      </c>
      <c r="V44" s="1319">
        <f t="shared" si="15"/>
        <v>0</v>
      </c>
      <c r="W44" s="1319">
        <f t="shared" si="9"/>
        <v>0</v>
      </c>
      <c r="X44" s="1314">
        <f t="shared" si="10"/>
        <v>0</v>
      </c>
      <c r="Y44" s="1312">
        <f t="shared" si="11"/>
        <v>-1</v>
      </c>
    </row>
    <row r="45" spans="3:25" x14ac:dyDescent="0.2">
      <c r="C45" s="1315">
        <f t="shared" si="16"/>
        <v>10</v>
      </c>
      <c r="D45" s="1316">
        <f t="shared" si="12"/>
        <v>46327</v>
      </c>
      <c r="E45" s="1318" cm="1">
        <f t="array" ref="E45">+IFERROR(LOOKUP(2,1/((C45&gt;=Mins2)*(C45&lt;=Maxs2)),Rates2),"N/A")</f>
        <v>0</v>
      </c>
      <c r="F45" s="1314">
        <v>0</v>
      </c>
      <c r="G45" s="1320" t="e">
        <f>+IF(T45=0,MIN($I$14-SUM($G$35:G44),$I$14/$D$19),0)</f>
        <v>#N/A</v>
      </c>
      <c r="H45" s="1317">
        <f t="shared" si="4"/>
        <v>0</v>
      </c>
      <c r="I45" s="1319" t="e">
        <f t="shared" si="13"/>
        <v>#N/A</v>
      </c>
      <c r="J45" s="1319" t="e">
        <f t="shared" si="6"/>
        <v>#N/A</v>
      </c>
      <c r="K45" s="1314" t="e">
        <f t="shared" si="7"/>
        <v>#N/A</v>
      </c>
      <c r="L45" s="1312" t="e">
        <f t="shared" si="8"/>
        <v>#N/A</v>
      </c>
      <c r="P45" s="1315">
        <f t="shared" si="17"/>
        <v>10</v>
      </c>
      <c r="Q45" s="1316">
        <f t="shared" si="14"/>
        <v>46327</v>
      </c>
      <c r="R45" s="1318" cm="1">
        <f t="array" ref="R45">+IFERROR(LOOKUP(2,1/((P45&gt;=Mins)*(P45&lt;=Maxs)),Rates),"N/A")</f>
        <v>0</v>
      </c>
      <c r="S45" s="1314">
        <v>0</v>
      </c>
      <c r="T45" s="1317">
        <f>+MIN($I$15-SUM($T$35:T44),$I$15/$D$18)</f>
        <v>0</v>
      </c>
      <c r="U45" s="1317">
        <f t="shared" si="5"/>
        <v>0</v>
      </c>
      <c r="V45" s="1319">
        <f t="shared" si="15"/>
        <v>0</v>
      </c>
      <c r="W45" s="1319">
        <f t="shared" si="9"/>
        <v>0</v>
      </c>
      <c r="X45" s="1314">
        <f t="shared" si="10"/>
        <v>0</v>
      </c>
      <c r="Y45" s="1312">
        <f t="shared" si="11"/>
        <v>-1</v>
      </c>
    </row>
    <row r="46" spans="3:25" x14ac:dyDescent="0.2">
      <c r="C46" s="1315">
        <f t="shared" si="16"/>
        <v>11</v>
      </c>
      <c r="D46" s="1316">
        <f t="shared" si="12"/>
        <v>46357</v>
      </c>
      <c r="E46" s="1318" cm="1">
        <f t="array" ref="E46">+IFERROR(LOOKUP(2,1/((C46&gt;=Mins2)*(C46&lt;=Maxs2)),Rates2),"N/A")</f>
        <v>0</v>
      </c>
      <c r="F46" s="1314">
        <v>0</v>
      </c>
      <c r="G46" s="1320" t="e">
        <f>+IF(T46=0,MIN($I$14-SUM($G$35:G45),$I$14/$D$19),0)</f>
        <v>#N/A</v>
      </c>
      <c r="H46" s="1317">
        <f t="shared" si="4"/>
        <v>0</v>
      </c>
      <c r="I46" s="1319" t="e">
        <f t="shared" si="13"/>
        <v>#N/A</v>
      </c>
      <c r="J46" s="1319" t="e">
        <f t="shared" si="6"/>
        <v>#N/A</v>
      </c>
      <c r="K46" s="1314" t="e">
        <f t="shared" si="7"/>
        <v>#N/A</v>
      </c>
      <c r="L46" s="1312" t="e">
        <f t="shared" si="8"/>
        <v>#N/A</v>
      </c>
      <c r="P46" s="1315">
        <f t="shared" si="17"/>
        <v>11</v>
      </c>
      <c r="Q46" s="1316">
        <f t="shared" si="14"/>
        <v>46357</v>
      </c>
      <c r="R46" s="1318" cm="1">
        <f t="array" ref="R46">+IFERROR(LOOKUP(2,1/((P46&gt;=Mins)*(P46&lt;=Maxs)),Rates),"N/A")</f>
        <v>0</v>
      </c>
      <c r="S46" s="1314">
        <v>0</v>
      </c>
      <c r="T46" s="1317">
        <f>+MIN($I$15-SUM($T$35:T45),$I$15/$D$18)</f>
        <v>0</v>
      </c>
      <c r="U46" s="1317">
        <f t="shared" si="5"/>
        <v>0</v>
      </c>
      <c r="V46" s="1319">
        <f t="shared" si="15"/>
        <v>0</v>
      </c>
      <c r="W46" s="1319">
        <f t="shared" si="9"/>
        <v>0</v>
      </c>
      <c r="X46" s="1314">
        <f t="shared" si="10"/>
        <v>0</v>
      </c>
      <c r="Y46" s="1312">
        <f t="shared" si="11"/>
        <v>-1</v>
      </c>
    </row>
    <row r="47" spans="3:25" x14ac:dyDescent="0.2">
      <c r="C47" s="1315">
        <f t="shared" si="16"/>
        <v>12</v>
      </c>
      <c r="D47" s="1316">
        <f t="shared" si="12"/>
        <v>46388</v>
      </c>
      <c r="E47" s="1318" cm="1">
        <f t="array" ref="E47">+IFERROR(LOOKUP(2,1/((C47&gt;=Mins2)*(C47&lt;=Maxs2)),Rates2),"N/A")</f>
        <v>0</v>
      </c>
      <c r="F47" s="1314">
        <v>0</v>
      </c>
      <c r="G47" s="1320" t="e">
        <f>+IF(T47=0,MIN($I$14-SUM($G$35:G46),$I$14/$D$19),0)</f>
        <v>#N/A</v>
      </c>
      <c r="H47" s="1317">
        <f t="shared" si="4"/>
        <v>0</v>
      </c>
      <c r="I47" s="1319" t="e">
        <f t="shared" si="13"/>
        <v>#N/A</v>
      </c>
      <c r="J47" s="1319" t="e">
        <f t="shared" si="6"/>
        <v>#N/A</v>
      </c>
      <c r="K47" s="1314" t="e">
        <f t="shared" si="7"/>
        <v>#N/A</v>
      </c>
      <c r="L47" s="1312" t="e">
        <f t="shared" si="8"/>
        <v>#N/A</v>
      </c>
      <c r="P47" s="1315">
        <f t="shared" si="17"/>
        <v>12</v>
      </c>
      <c r="Q47" s="1316">
        <f t="shared" si="14"/>
        <v>46388</v>
      </c>
      <c r="R47" s="1318" cm="1">
        <f t="array" ref="R47">+IFERROR(LOOKUP(2,1/((P47&gt;=Mins)*(P47&lt;=Maxs)),Rates),"N/A")</f>
        <v>0</v>
      </c>
      <c r="S47" s="1314">
        <v>0</v>
      </c>
      <c r="T47" s="1317">
        <f>+MIN($I$15-SUM($T$35:T46),$I$15/$D$18)</f>
        <v>0</v>
      </c>
      <c r="U47" s="1317">
        <f t="shared" si="5"/>
        <v>0</v>
      </c>
      <c r="V47" s="1319">
        <f t="shared" si="15"/>
        <v>0</v>
      </c>
      <c r="W47" s="1319">
        <f t="shared" si="9"/>
        <v>0</v>
      </c>
      <c r="X47" s="1314">
        <f t="shared" si="10"/>
        <v>0</v>
      </c>
      <c r="Y47" s="1312">
        <f t="shared" si="11"/>
        <v>-1</v>
      </c>
    </row>
    <row r="48" spans="3:25" x14ac:dyDescent="0.2">
      <c r="C48" s="1315">
        <f t="shared" si="16"/>
        <v>13</v>
      </c>
      <c r="D48" s="1316">
        <f t="shared" si="12"/>
        <v>46419</v>
      </c>
      <c r="E48" s="1318" cm="1">
        <f t="array" ref="E48">+IFERROR(LOOKUP(2,1/((C48&gt;=Mins2)*(C48&lt;=Maxs2)),Rates2),"N/A")</f>
        <v>0</v>
      </c>
      <c r="F48" s="1314">
        <v>0</v>
      </c>
      <c r="G48" s="1320" t="e">
        <f>+IF(T48=0,MIN($I$14-SUM($G$35:G47),$I$14/$D$19),0)</f>
        <v>#N/A</v>
      </c>
      <c r="H48" s="1317">
        <f t="shared" si="4"/>
        <v>0</v>
      </c>
      <c r="I48" s="1319" t="e">
        <f t="shared" si="13"/>
        <v>#N/A</v>
      </c>
      <c r="J48" s="1319" t="e">
        <f t="shared" si="6"/>
        <v>#N/A</v>
      </c>
      <c r="K48" s="1314" t="e">
        <f t="shared" si="7"/>
        <v>#N/A</v>
      </c>
      <c r="L48" s="1312" t="e">
        <f t="shared" si="8"/>
        <v>#N/A</v>
      </c>
      <c r="P48" s="1315">
        <f t="shared" si="17"/>
        <v>13</v>
      </c>
      <c r="Q48" s="1316">
        <f t="shared" si="14"/>
        <v>46419</v>
      </c>
      <c r="R48" s="1318" cm="1">
        <f t="array" ref="R48">+IFERROR(LOOKUP(2,1/((P48&gt;=Mins)*(P48&lt;=Maxs)),Rates),"N/A")</f>
        <v>0</v>
      </c>
      <c r="S48" s="1314">
        <v>0</v>
      </c>
      <c r="T48" s="1317">
        <f>+MIN($I$15-SUM($T$35:T47),$I$15/$D$18)</f>
        <v>0</v>
      </c>
      <c r="U48" s="1317">
        <f t="shared" si="5"/>
        <v>0</v>
      </c>
      <c r="V48" s="1319">
        <f t="shared" si="15"/>
        <v>0</v>
      </c>
      <c r="W48" s="1319">
        <f t="shared" si="9"/>
        <v>0</v>
      </c>
      <c r="X48" s="1314">
        <f t="shared" si="10"/>
        <v>0</v>
      </c>
      <c r="Y48" s="1312">
        <f t="shared" si="11"/>
        <v>-1</v>
      </c>
    </row>
    <row r="49" spans="3:25" x14ac:dyDescent="0.2">
      <c r="C49" s="1315">
        <f t="shared" si="16"/>
        <v>14</v>
      </c>
      <c r="D49" s="1316">
        <f t="shared" si="12"/>
        <v>46447</v>
      </c>
      <c r="E49" s="1318" cm="1">
        <f t="array" ref="E49">+IFERROR(LOOKUP(2,1/((C49&gt;=Mins2)*(C49&lt;=Maxs2)),Rates2),"N/A")</f>
        <v>0</v>
      </c>
      <c r="F49" s="1314">
        <v>0</v>
      </c>
      <c r="G49" s="1320" t="e">
        <f>+IF(T49=0,MIN($I$14-SUM($G$35:G48),$I$14/$D$19),0)</f>
        <v>#N/A</v>
      </c>
      <c r="H49" s="1317">
        <f t="shared" si="4"/>
        <v>0</v>
      </c>
      <c r="I49" s="1319" t="e">
        <f t="shared" si="13"/>
        <v>#N/A</v>
      </c>
      <c r="J49" s="1319" t="e">
        <f t="shared" si="6"/>
        <v>#N/A</v>
      </c>
      <c r="K49" s="1314" t="e">
        <f t="shared" si="7"/>
        <v>#N/A</v>
      </c>
      <c r="L49" s="1312" t="e">
        <f t="shared" si="8"/>
        <v>#N/A</v>
      </c>
      <c r="P49" s="1315">
        <f t="shared" si="17"/>
        <v>14</v>
      </c>
      <c r="Q49" s="1316">
        <f t="shared" si="14"/>
        <v>46447</v>
      </c>
      <c r="R49" s="1318" cm="1">
        <f t="array" ref="R49">+IFERROR(LOOKUP(2,1/((P49&gt;=Mins)*(P49&lt;=Maxs)),Rates),"N/A")</f>
        <v>0</v>
      </c>
      <c r="S49" s="1314">
        <v>0</v>
      </c>
      <c r="T49" s="1317">
        <f>+MIN($I$15-SUM($T$35:T48),$I$15/$D$18)</f>
        <v>0</v>
      </c>
      <c r="U49" s="1317">
        <f t="shared" si="5"/>
        <v>0</v>
      </c>
      <c r="V49" s="1319">
        <f t="shared" si="15"/>
        <v>0</v>
      </c>
      <c r="W49" s="1319">
        <f t="shared" si="9"/>
        <v>0</v>
      </c>
      <c r="X49" s="1314">
        <f t="shared" si="10"/>
        <v>0</v>
      </c>
      <c r="Y49" s="1312">
        <f t="shared" si="11"/>
        <v>-1</v>
      </c>
    </row>
    <row r="50" spans="3:25" x14ac:dyDescent="0.2">
      <c r="C50" s="1315">
        <f t="shared" si="16"/>
        <v>15</v>
      </c>
      <c r="D50" s="1316">
        <f t="shared" si="12"/>
        <v>46478</v>
      </c>
      <c r="E50" s="1318" cm="1">
        <f t="array" ref="E50">+IFERROR(LOOKUP(2,1/((C50&gt;=Mins2)*(C50&lt;=Maxs2)),Rates2),"N/A")</f>
        <v>0</v>
      </c>
      <c r="F50" s="1314">
        <v>0</v>
      </c>
      <c r="G50" s="1320" t="e">
        <f>+IF(T50=0,MIN($I$14-SUM($G$35:G49),$I$14/$D$19),0)</f>
        <v>#N/A</v>
      </c>
      <c r="H50" s="1317">
        <f t="shared" si="4"/>
        <v>0</v>
      </c>
      <c r="I50" s="1319" t="e">
        <f t="shared" si="13"/>
        <v>#N/A</v>
      </c>
      <c r="J50" s="1319" t="e">
        <f t="shared" si="6"/>
        <v>#N/A</v>
      </c>
      <c r="K50" s="1314" t="e">
        <f t="shared" si="7"/>
        <v>#N/A</v>
      </c>
      <c r="L50" s="1312" t="e">
        <f t="shared" si="8"/>
        <v>#N/A</v>
      </c>
      <c r="P50" s="1315">
        <f t="shared" si="17"/>
        <v>15</v>
      </c>
      <c r="Q50" s="1316">
        <f t="shared" si="14"/>
        <v>46478</v>
      </c>
      <c r="R50" s="1318" cm="1">
        <f t="array" ref="R50">+IFERROR(LOOKUP(2,1/((P50&gt;=Mins)*(P50&lt;=Maxs)),Rates),"N/A")</f>
        <v>0</v>
      </c>
      <c r="S50" s="1314">
        <v>0</v>
      </c>
      <c r="T50" s="1317">
        <f>+MIN($I$15-SUM($T$35:T49),$I$15/$D$18)</f>
        <v>0</v>
      </c>
      <c r="U50" s="1317">
        <f t="shared" si="5"/>
        <v>0</v>
      </c>
      <c r="V50" s="1319">
        <f t="shared" si="15"/>
        <v>0</v>
      </c>
      <c r="W50" s="1319">
        <f t="shared" si="9"/>
        <v>0</v>
      </c>
      <c r="X50" s="1314">
        <f t="shared" si="10"/>
        <v>0</v>
      </c>
      <c r="Y50" s="1312">
        <f t="shared" si="11"/>
        <v>-1</v>
      </c>
    </row>
    <row r="51" spans="3:25" x14ac:dyDescent="0.2">
      <c r="C51" s="1315">
        <f t="shared" si="16"/>
        <v>16</v>
      </c>
      <c r="D51" s="1316">
        <f t="shared" si="12"/>
        <v>46508</v>
      </c>
      <c r="E51" s="1318" cm="1">
        <f t="array" ref="E51">+IFERROR(LOOKUP(2,1/((C51&gt;=Mins2)*(C51&lt;=Maxs2)),Rates2),"N/A")</f>
        <v>0</v>
      </c>
      <c r="F51" s="1314">
        <v>0</v>
      </c>
      <c r="G51" s="1320" t="e">
        <f>+IF(T51=0,MIN($I$14-SUM($G$35:G50),$I$14/$D$19),0)</f>
        <v>#N/A</v>
      </c>
      <c r="H51" s="1317">
        <f t="shared" si="4"/>
        <v>0</v>
      </c>
      <c r="I51" s="1319" t="e">
        <f t="shared" si="13"/>
        <v>#N/A</v>
      </c>
      <c r="J51" s="1319" t="e">
        <f t="shared" si="6"/>
        <v>#N/A</v>
      </c>
      <c r="K51" s="1314" t="e">
        <f t="shared" si="7"/>
        <v>#N/A</v>
      </c>
      <c r="L51" s="1312" t="e">
        <f t="shared" si="8"/>
        <v>#N/A</v>
      </c>
      <c r="P51" s="1315">
        <f t="shared" si="17"/>
        <v>16</v>
      </c>
      <c r="Q51" s="1316">
        <f t="shared" si="14"/>
        <v>46508</v>
      </c>
      <c r="R51" s="1318" cm="1">
        <f t="array" ref="R51">+IFERROR(LOOKUP(2,1/((P51&gt;=Mins)*(P51&lt;=Maxs)),Rates),"N/A")</f>
        <v>0</v>
      </c>
      <c r="S51" s="1314">
        <v>0</v>
      </c>
      <c r="T51" s="1317">
        <f>+MIN($I$15-SUM($T$35:T50),$I$15/$D$18)</f>
        <v>0</v>
      </c>
      <c r="U51" s="1317">
        <f t="shared" si="5"/>
        <v>0</v>
      </c>
      <c r="V51" s="1319">
        <f t="shared" si="15"/>
        <v>0</v>
      </c>
      <c r="W51" s="1319">
        <f t="shared" si="9"/>
        <v>0</v>
      </c>
      <c r="X51" s="1314">
        <f t="shared" si="10"/>
        <v>0</v>
      </c>
      <c r="Y51" s="1312">
        <f t="shared" si="11"/>
        <v>-1</v>
      </c>
    </row>
    <row r="52" spans="3:25" x14ac:dyDescent="0.2">
      <c r="C52" s="1315">
        <f t="shared" si="16"/>
        <v>17</v>
      </c>
      <c r="D52" s="1316">
        <f t="shared" si="12"/>
        <v>46539</v>
      </c>
      <c r="E52" s="1318" cm="1">
        <f t="array" ref="E52">+IFERROR(LOOKUP(2,1/((C52&gt;=Mins2)*(C52&lt;=Maxs2)),Rates2),"N/A")</f>
        <v>0</v>
      </c>
      <c r="F52" s="1314">
        <v>0</v>
      </c>
      <c r="G52" s="1320" t="e">
        <f>+IF(T52=0,MIN($I$14-SUM($G$35:G51),$I$14/$D$19),0)</f>
        <v>#N/A</v>
      </c>
      <c r="H52" s="1317">
        <f t="shared" si="4"/>
        <v>0</v>
      </c>
      <c r="I52" s="1319" t="e">
        <f t="shared" si="13"/>
        <v>#N/A</v>
      </c>
      <c r="J52" s="1319" t="e">
        <f t="shared" si="6"/>
        <v>#N/A</v>
      </c>
      <c r="K52" s="1314" t="e">
        <f t="shared" si="7"/>
        <v>#N/A</v>
      </c>
      <c r="L52" s="1312" t="e">
        <f t="shared" si="8"/>
        <v>#N/A</v>
      </c>
      <c r="P52" s="1315">
        <f t="shared" si="17"/>
        <v>17</v>
      </c>
      <c r="Q52" s="1316">
        <f t="shared" si="14"/>
        <v>46539</v>
      </c>
      <c r="R52" s="1318" cm="1">
        <f t="array" ref="R52">+IFERROR(LOOKUP(2,1/((P52&gt;=Mins)*(P52&lt;=Maxs)),Rates),"N/A")</f>
        <v>0</v>
      </c>
      <c r="S52" s="1314">
        <v>0</v>
      </c>
      <c r="T52" s="1317">
        <f>+MIN($I$15-SUM($T$35:T51),$I$15/$D$18)</f>
        <v>0</v>
      </c>
      <c r="U52" s="1317">
        <f t="shared" si="5"/>
        <v>0</v>
      </c>
      <c r="V52" s="1319">
        <f t="shared" si="15"/>
        <v>0</v>
      </c>
      <c r="W52" s="1319">
        <f t="shared" si="9"/>
        <v>0</v>
      </c>
      <c r="X52" s="1314">
        <f t="shared" si="10"/>
        <v>0</v>
      </c>
      <c r="Y52" s="1312">
        <f t="shared" si="11"/>
        <v>-1</v>
      </c>
    </row>
    <row r="53" spans="3:25" x14ac:dyDescent="0.2">
      <c r="C53" s="1315">
        <f t="shared" si="16"/>
        <v>18</v>
      </c>
      <c r="D53" s="1316">
        <f t="shared" si="12"/>
        <v>46569</v>
      </c>
      <c r="E53" s="1318" cm="1">
        <f t="array" ref="E53">+IFERROR(LOOKUP(2,1/((C53&gt;=Mins2)*(C53&lt;=Maxs2)),Rates2),"N/A")</f>
        <v>0</v>
      </c>
      <c r="F53" s="1314">
        <v>0</v>
      </c>
      <c r="G53" s="1320" t="e">
        <f>+IF(T53=0,MIN($I$14-SUM($G$35:G52),$I$14/$D$19),0)</f>
        <v>#N/A</v>
      </c>
      <c r="H53" s="1317">
        <f t="shared" si="4"/>
        <v>0</v>
      </c>
      <c r="I53" s="1319" t="e">
        <f t="shared" si="13"/>
        <v>#N/A</v>
      </c>
      <c r="J53" s="1319" t="e">
        <f t="shared" si="6"/>
        <v>#N/A</v>
      </c>
      <c r="K53" s="1314" t="e">
        <f t="shared" si="7"/>
        <v>#N/A</v>
      </c>
      <c r="L53" s="1312" t="e">
        <f t="shared" si="8"/>
        <v>#N/A</v>
      </c>
      <c r="P53" s="1315">
        <f t="shared" si="17"/>
        <v>18</v>
      </c>
      <c r="Q53" s="1316">
        <f t="shared" si="14"/>
        <v>46569</v>
      </c>
      <c r="R53" s="1318" cm="1">
        <f t="array" ref="R53">+IFERROR(LOOKUP(2,1/((P53&gt;=Mins)*(P53&lt;=Maxs)),Rates),"N/A")</f>
        <v>0</v>
      </c>
      <c r="S53" s="1314">
        <v>0</v>
      </c>
      <c r="T53" s="1317">
        <f>+MIN($I$15-SUM($T$35:T52),$I$15/$D$18)</f>
        <v>0</v>
      </c>
      <c r="U53" s="1317">
        <f t="shared" si="5"/>
        <v>0</v>
      </c>
      <c r="V53" s="1319">
        <f t="shared" si="15"/>
        <v>0</v>
      </c>
      <c r="W53" s="1319">
        <f t="shared" si="9"/>
        <v>0</v>
      </c>
      <c r="X53" s="1314">
        <f t="shared" si="10"/>
        <v>0</v>
      </c>
      <c r="Y53" s="1312">
        <f t="shared" si="11"/>
        <v>-1</v>
      </c>
    </row>
    <row r="54" spans="3:25" x14ac:dyDescent="0.2">
      <c r="C54" s="1315">
        <f t="shared" si="16"/>
        <v>19</v>
      </c>
      <c r="D54" s="1316">
        <f t="shared" si="12"/>
        <v>46600</v>
      </c>
      <c r="E54" s="1318" cm="1">
        <f t="array" ref="E54">+IFERROR(LOOKUP(2,1/((C54&gt;=Mins2)*(C54&lt;=Maxs2)),Rates2),"N/A")</f>
        <v>0</v>
      </c>
      <c r="F54" s="1314">
        <v>0</v>
      </c>
      <c r="G54" s="1320" t="e">
        <f>+IF(T54=0,MIN($I$14-SUM($G$35:G53),$I$14/$D$19),0)</f>
        <v>#N/A</v>
      </c>
      <c r="H54" s="1317">
        <f t="shared" si="4"/>
        <v>0</v>
      </c>
      <c r="I54" s="1319" t="e">
        <f t="shared" si="13"/>
        <v>#N/A</v>
      </c>
      <c r="J54" s="1319" t="e">
        <f t="shared" si="6"/>
        <v>#N/A</v>
      </c>
      <c r="K54" s="1314" t="e">
        <f t="shared" si="7"/>
        <v>#N/A</v>
      </c>
      <c r="L54" s="1312" t="e">
        <f t="shared" si="8"/>
        <v>#N/A</v>
      </c>
      <c r="P54" s="1315">
        <f t="shared" si="17"/>
        <v>19</v>
      </c>
      <c r="Q54" s="1316">
        <f t="shared" si="14"/>
        <v>46600</v>
      </c>
      <c r="R54" s="1318" cm="1">
        <f t="array" ref="R54">+IFERROR(LOOKUP(2,1/((P54&gt;=Mins)*(P54&lt;=Maxs)),Rates),"N/A")</f>
        <v>0</v>
      </c>
      <c r="S54" s="1314">
        <v>0</v>
      </c>
      <c r="T54" s="1317">
        <f>+MIN($I$15-SUM($T$35:T53),$I$15/$D$18)</f>
        <v>0</v>
      </c>
      <c r="U54" s="1317">
        <f t="shared" si="5"/>
        <v>0</v>
      </c>
      <c r="V54" s="1319">
        <f t="shared" si="15"/>
        <v>0</v>
      </c>
      <c r="W54" s="1319">
        <f t="shared" si="9"/>
        <v>0</v>
      </c>
      <c r="X54" s="1314">
        <f t="shared" si="10"/>
        <v>0</v>
      </c>
      <c r="Y54" s="1312">
        <f t="shared" si="11"/>
        <v>-1</v>
      </c>
    </row>
    <row r="55" spans="3:25" x14ac:dyDescent="0.2">
      <c r="C55" s="1315">
        <f t="shared" si="16"/>
        <v>20</v>
      </c>
      <c r="D55" s="1316">
        <f t="shared" si="12"/>
        <v>46631</v>
      </c>
      <c r="E55" s="1318" cm="1">
        <f t="array" ref="E55">+IFERROR(LOOKUP(2,1/((C55&gt;=Mins2)*(C55&lt;=Maxs2)),Rates2),"N/A")</f>
        <v>0</v>
      </c>
      <c r="F55" s="1314">
        <v>0</v>
      </c>
      <c r="G55" s="1317" t="e">
        <f>+IF(T55=0,MIN($I$14-SUM($G$35:G54),$I$14/$D$19),0)</f>
        <v>#N/A</v>
      </c>
      <c r="H55" s="1317">
        <f t="shared" si="4"/>
        <v>0</v>
      </c>
      <c r="I55" s="1319" t="e">
        <f t="shared" si="13"/>
        <v>#N/A</v>
      </c>
      <c r="J55" s="1319" t="e">
        <f t="shared" si="6"/>
        <v>#N/A</v>
      </c>
      <c r="K55" s="1314" t="e">
        <f t="shared" si="7"/>
        <v>#N/A</v>
      </c>
      <c r="L55" s="1312" t="e">
        <f t="shared" si="8"/>
        <v>#N/A</v>
      </c>
      <c r="P55" s="1315">
        <f t="shared" si="17"/>
        <v>20</v>
      </c>
      <c r="Q55" s="1316">
        <f t="shared" si="14"/>
        <v>46631</v>
      </c>
      <c r="R55" s="1318" cm="1">
        <f t="array" ref="R55">+IFERROR(LOOKUP(2,1/((P55&gt;=Mins)*(P55&lt;=Maxs)),Rates),"N/A")</f>
        <v>0</v>
      </c>
      <c r="S55" s="1314">
        <v>0</v>
      </c>
      <c r="T55" s="1317">
        <f>+MIN($I$15-SUM($T$35:T54),$I$15/$D$18)</f>
        <v>0</v>
      </c>
      <c r="U55" s="1317">
        <f t="shared" si="5"/>
        <v>0</v>
      </c>
      <c r="V55" s="1319">
        <f t="shared" si="15"/>
        <v>0</v>
      </c>
      <c r="W55" s="1319">
        <f t="shared" si="9"/>
        <v>0</v>
      </c>
      <c r="X55" s="1314">
        <f t="shared" si="10"/>
        <v>0</v>
      </c>
      <c r="Y55" s="1312">
        <f t="shared" si="11"/>
        <v>-1</v>
      </c>
    </row>
    <row r="56" spans="3:25" x14ac:dyDescent="0.2">
      <c r="C56" s="1315">
        <f t="shared" si="16"/>
        <v>21</v>
      </c>
      <c r="D56" s="1316">
        <f t="shared" si="12"/>
        <v>46661</v>
      </c>
      <c r="E56" s="1318" cm="1">
        <f t="array" ref="E56">+IFERROR(LOOKUP(2,1/((C56&gt;=Mins2)*(C56&lt;=Maxs2)),Rates2),"N/A")</f>
        <v>0</v>
      </c>
      <c r="F56" s="1314">
        <v>0</v>
      </c>
      <c r="G56" s="1317" t="e">
        <f>+IF(T56=0,MIN($I$14-SUM($G$35:G55),$I$14/$D$19),0)</f>
        <v>#N/A</v>
      </c>
      <c r="H56" s="1317">
        <f t="shared" si="4"/>
        <v>0</v>
      </c>
      <c r="I56" s="1319" t="e">
        <f t="shared" si="13"/>
        <v>#N/A</v>
      </c>
      <c r="J56" s="1319" t="e">
        <f t="shared" si="6"/>
        <v>#N/A</v>
      </c>
      <c r="K56" s="1314" t="e">
        <f t="shared" si="7"/>
        <v>#N/A</v>
      </c>
      <c r="L56" s="1312" t="e">
        <f t="shared" si="8"/>
        <v>#N/A</v>
      </c>
      <c r="P56" s="1315">
        <f t="shared" si="17"/>
        <v>21</v>
      </c>
      <c r="Q56" s="1316">
        <f t="shared" si="14"/>
        <v>46661</v>
      </c>
      <c r="R56" s="1318" cm="1">
        <f t="array" ref="R56">+IFERROR(LOOKUP(2,1/((P56&gt;=Mins)*(P56&lt;=Maxs)),Rates),"N/A")</f>
        <v>0</v>
      </c>
      <c r="S56" s="1314">
        <v>0</v>
      </c>
      <c r="T56" s="1317">
        <f>+MIN($I$15-SUM($T$35:T55),$I$15/$D$18)</f>
        <v>0</v>
      </c>
      <c r="U56" s="1317">
        <f t="shared" si="5"/>
        <v>0</v>
      </c>
      <c r="V56" s="1319">
        <f t="shared" si="15"/>
        <v>0</v>
      </c>
      <c r="W56" s="1319">
        <f t="shared" si="9"/>
        <v>0</v>
      </c>
      <c r="X56" s="1314">
        <f t="shared" si="10"/>
        <v>0</v>
      </c>
      <c r="Y56" s="1312">
        <f t="shared" si="11"/>
        <v>-1</v>
      </c>
    </row>
    <row r="57" spans="3:25" x14ac:dyDescent="0.2">
      <c r="C57" s="1315">
        <f t="shared" si="16"/>
        <v>22</v>
      </c>
      <c r="D57" s="1316">
        <f t="shared" si="12"/>
        <v>46692</v>
      </c>
      <c r="E57" s="1318" cm="1">
        <f t="array" ref="E57">+IFERROR(LOOKUP(2,1/((C57&gt;=Mins2)*(C57&lt;=Maxs2)),Rates2),"N/A")</f>
        <v>0</v>
      </c>
      <c r="F57" s="1314">
        <v>0</v>
      </c>
      <c r="G57" s="1317" t="e">
        <f>+IF(T57=0,MIN($I$14-SUM($G$35:G56),$I$14/$D$19),0)</f>
        <v>#N/A</v>
      </c>
      <c r="H57" s="1317">
        <f t="shared" si="4"/>
        <v>0</v>
      </c>
      <c r="I57" s="1319" t="e">
        <f t="shared" si="13"/>
        <v>#N/A</v>
      </c>
      <c r="J57" s="1319" t="e">
        <f t="shared" si="6"/>
        <v>#N/A</v>
      </c>
      <c r="K57" s="1314" t="e">
        <f t="shared" si="7"/>
        <v>#N/A</v>
      </c>
      <c r="L57" s="1312" t="e">
        <f t="shared" si="8"/>
        <v>#N/A</v>
      </c>
      <c r="P57" s="1315">
        <f t="shared" si="17"/>
        <v>22</v>
      </c>
      <c r="Q57" s="1316">
        <f t="shared" si="14"/>
        <v>46692</v>
      </c>
      <c r="R57" s="1318" cm="1">
        <f t="array" ref="R57">+IFERROR(LOOKUP(2,1/((P57&gt;=Mins)*(P57&lt;=Maxs)),Rates),"N/A")</f>
        <v>0</v>
      </c>
      <c r="S57" s="1314">
        <v>0</v>
      </c>
      <c r="T57" s="1317">
        <f>+MIN($I$15-SUM($T$35:T56),$I$15/$D$18)</f>
        <v>0</v>
      </c>
      <c r="U57" s="1317">
        <f t="shared" si="5"/>
        <v>0</v>
      </c>
      <c r="V57" s="1319">
        <f t="shared" si="15"/>
        <v>0</v>
      </c>
      <c r="W57" s="1319">
        <f t="shared" si="9"/>
        <v>0</v>
      </c>
      <c r="X57" s="1314">
        <f t="shared" si="10"/>
        <v>0</v>
      </c>
      <c r="Y57" s="1312">
        <f t="shared" si="11"/>
        <v>-1</v>
      </c>
    </row>
    <row r="58" spans="3:25" x14ac:dyDescent="0.2">
      <c r="C58" s="1315">
        <f t="shared" si="16"/>
        <v>23</v>
      </c>
      <c r="D58" s="1316">
        <f t="shared" si="12"/>
        <v>46722</v>
      </c>
      <c r="E58" s="1318" cm="1">
        <f t="array" ref="E58">+IFERROR(LOOKUP(2,1/((C58&gt;=Mins2)*(C58&lt;=Maxs2)),Rates2),"N/A")</f>
        <v>0</v>
      </c>
      <c r="F58" s="1314">
        <v>0</v>
      </c>
      <c r="G58" s="1317" t="e">
        <f>+IF(T58=0,MIN($I$14-SUM($G$35:G57),$I$14/$D$19),0)</f>
        <v>#N/A</v>
      </c>
      <c r="H58" s="1317">
        <f t="shared" si="4"/>
        <v>0</v>
      </c>
      <c r="I58" s="1319" t="e">
        <f t="shared" si="13"/>
        <v>#N/A</v>
      </c>
      <c r="J58" s="1319" t="e">
        <f t="shared" si="6"/>
        <v>#N/A</v>
      </c>
      <c r="K58" s="1314" t="e">
        <f t="shared" si="7"/>
        <v>#N/A</v>
      </c>
      <c r="L58" s="1312" t="e">
        <f t="shared" si="8"/>
        <v>#N/A</v>
      </c>
      <c r="P58" s="1315">
        <f t="shared" si="17"/>
        <v>23</v>
      </c>
      <c r="Q58" s="1316">
        <f t="shared" si="14"/>
        <v>46722</v>
      </c>
      <c r="R58" s="1318" cm="1">
        <f t="array" ref="R58">+IFERROR(LOOKUP(2,1/((P58&gt;=Mins)*(P58&lt;=Maxs)),Rates),"N/A")</f>
        <v>0</v>
      </c>
      <c r="S58" s="1314">
        <v>0</v>
      </c>
      <c r="T58" s="1317">
        <f>+MIN($I$15-SUM($T$35:T57),$I$15/$D$18)</f>
        <v>0</v>
      </c>
      <c r="U58" s="1317">
        <f t="shared" si="5"/>
        <v>0</v>
      </c>
      <c r="V58" s="1319">
        <f t="shared" si="15"/>
        <v>0</v>
      </c>
      <c r="W58" s="1319">
        <f t="shared" si="9"/>
        <v>0</v>
      </c>
      <c r="X58" s="1314">
        <f t="shared" si="10"/>
        <v>0</v>
      </c>
      <c r="Y58" s="1312">
        <f t="shared" si="11"/>
        <v>-1</v>
      </c>
    </row>
    <row r="59" spans="3:25" x14ac:dyDescent="0.2">
      <c r="C59" s="1315">
        <f t="shared" si="16"/>
        <v>24</v>
      </c>
      <c r="D59" s="1316">
        <f t="shared" si="12"/>
        <v>46753</v>
      </c>
      <c r="E59" s="1318" cm="1">
        <f t="array" ref="E59">+IFERROR(LOOKUP(2,1/((C59&gt;=Mins2)*(C59&lt;=Maxs2)),Rates2),"N/A")</f>
        <v>0</v>
      </c>
      <c r="F59" s="1314">
        <v>0</v>
      </c>
      <c r="G59" s="1317" t="e">
        <f>+IF(T59=0,MIN($I$14-SUM($G$35:G58),$I$14/$D$19),0)</f>
        <v>#N/A</v>
      </c>
      <c r="H59" s="1317">
        <f t="shared" si="4"/>
        <v>0</v>
      </c>
      <c r="I59" s="1319" t="e">
        <f t="shared" si="13"/>
        <v>#N/A</v>
      </c>
      <c r="J59" s="1319" t="e">
        <f t="shared" si="6"/>
        <v>#N/A</v>
      </c>
      <c r="K59" s="1314" t="e">
        <f t="shared" si="7"/>
        <v>#N/A</v>
      </c>
      <c r="L59" s="1312" t="e">
        <f t="shared" si="8"/>
        <v>#N/A</v>
      </c>
      <c r="P59" s="1315">
        <f t="shared" si="17"/>
        <v>24</v>
      </c>
      <c r="Q59" s="1316">
        <f t="shared" si="14"/>
        <v>46753</v>
      </c>
      <c r="R59" s="1318" cm="1">
        <f t="array" ref="R59">+IFERROR(LOOKUP(2,1/((P59&gt;=Mins)*(P59&lt;=Maxs)),Rates),"N/A")</f>
        <v>0</v>
      </c>
      <c r="S59" s="1314">
        <v>0</v>
      </c>
      <c r="T59" s="1317">
        <f>+MIN($I$15-SUM($T$35:T58),$I$15/$D$18)</f>
        <v>0</v>
      </c>
      <c r="U59" s="1317">
        <f t="shared" si="5"/>
        <v>0</v>
      </c>
      <c r="V59" s="1319">
        <f t="shared" si="15"/>
        <v>0</v>
      </c>
      <c r="W59" s="1319">
        <f t="shared" si="9"/>
        <v>0</v>
      </c>
      <c r="X59" s="1314">
        <f t="shared" si="10"/>
        <v>0</v>
      </c>
      <c r="Y59" s="1312">
        <f t="shared" si="11"/>
        <v>-1</v>
      </c>
    </row>
    <row r="60" spans="3:25" x14ac:dyDescent="0.2">
      <c r="C60" s="1315">
        <f t="shared" si="16"/>
        <v>25</v>
      </c>
      <c r="D60" s="1316">
        <f t="shared" si="12"/>
        <v>46784</v>
      </c>
      <c r="E60" s="1318" cm="1">
        <f t="array" ref="E60">+IFERROR(LOOKUP(2,1/((C60&gt;=Mins2)*(C60&lt;=Maxs2)),Rates2),"N/A")</f>
        <v>0</v>
      </c>
      <c r="F60" s="1314">
        <v>0</v>
      </c>
      <c r="G60" s="1317" t="e">
        <f>+IF(T60=0,MIN($I$14-SUM($G$35:G59),$I$14/$D$19),0)</f>
        <v>#N/A</v>
      </c>
      <c r="H60" s="1317">
        <f t="shared" si="4"/>
        <v>0</v>
      </c>
      <c r="I60" s="1319" t="e">
        <f t="shared" si="13"/>
        <v>#N/A</v>
      </c>
      <c r="J60" s="1319" t="e">
        <f t="shared" si="6"/>
        <v>#N/A</v>
      </c>
      <c r="K60" s="1314" t="e">
        <f t="shared" si="7"/>
        <v>#N/A</v>
      </c>
      <c r="L60" s="1312" t="e">
        <f t="shared" si="8"/>
        <v>#N/A</v>
      </c>
      <c r="P60" s="1315">
        <f t="shared" si="17"/>
        <v>25</v>
      </c>
      <c r="Q60" s="1316">
        <f t="shared" si="14"/>
        <v>46784</v>
      </c>
      <c r="R60" s="1318" cm="1">
        <f t="array" ref="R60">+IFERROR(LOOKUP(2,1/((P60&gt;=Mins)*(P60&lt;=Maxs)),Rates),"N/A")</f>
        <v>0</v>
      </c>
      <c r="S60" s="1314">
        <v>0</v>
      </c>
      <c r="T60" s="1317">
        <f>+MIN($I$15-SUM($T$35:T59),$I$15/$D$18)</f>
        <v>0</v>
      </c>
      <c r="U60" s="1317">
        <f t="shared" si="5"/>
        <v>0</v>
      </c>
      <c r="V60" s="1319">
        <f t="shared" si="15"/>
        <v>0</v>
      </c>
      <c r="W60" s="1319">
        <f t="shared" si="9"/>
        <v>0</v>
      </c>
      <c r="X60" s="1314">
        <f t="shared" si="10"/>
        <v>0</v>
      </c>
      <c r="Y60" s="1312">
        <f t="shared" si="11"/>
        <v>-1</v>
      </c>
    </row>
    <row r="61" spans="3:25" x14ac:dyDescent="0.2">
      <c r="C61" s="1315">
        <f t="shared" si="16"/>
        <v>26</v>
      </c>
      <c r="D61" s="1316">
        <f t="shared" si="12"/>
        <v>46813</v>
      </c>
      <c r="E61" s="1318" cm="1">
        <f t="array" ref="E61">+IFERROR(LOOKUP(2,1/((C61&gt;=Mins2)*(C61&lt;=Maxs2)),Rates2),"N/A")</f>
        <v>0</v>
      </c>
      <c r="F61" s="1314">
        <v>0</v>
      </c>
      <c r="G61" s="1317" t="e">
        <f>+IF(T61=0,MIN($I$14-SUM($G$35:G60),$I$14/$D$19),0)</f>
        <v>#N/A</v>
      </c>
      <c r="H61" s="1317">
        <f t="shared" si="4"/>
        <v>0</v>
      </c>
      <c r="I61" s="1319" t="e">
        <f t="shared" si="13"/>
        <v>#N/A</v>
      </c>
      <c r="J61" s="1319" t="e">
        <f t="shared" si="6"/>
        <v>#N/A</v>
      </c>
      <c r="K61" s="1314" t="e">
        <f t="shared" si="7"/>
        <v>#N/A</v>
      </c>
      <c r="L61" s="1312" t="e">
        <f t="shared" si="8"/>
        <v>#N/A</v>
      </c>
      <c r="P61" s="1315">
        <f t="shared" si="17"/>
        <v>26</v>
      </c>
      <c r="Q61" s="1316">
        <f t="shared" si="14"/>
        <v>46813</v>
      </c>
      <c r="R61" s="1318" cm="1">
        <f t="array" ref="R61">+IFERROR(LOOKUP(2,1/((P61&gt;=Mins)*(P61&lt;=Maxs)),Rates),"N/A")</f>
        <v>0</v>
      </c>
      <c r="S61" s="1314">
        <v>0</v>
      </c>
      <c r="T61" s="1317">
        <f>+MIN($I$15-SUM($T$35:T60),$I$15/$D$18)</f>
        <v>0</v>
      </c>
      <c r="U61" s="1317">
        <f t="shared" si="5"/>
        <v>0</v>
      </c>
      <c r="V61" s="1319">
        <f t="shared" si="15"/>
        <v>0</v>
      </c>
      <c r="W61" s="1319">
        <f t="shared" si="9"/>
        <v>0</v>
      </c>
      <c r="X61" s="1314">
        <f t="shared" si="10"/>
        <v>0</v>
      </c>
      <c r="Y61" s="1312">
        <f t="shared" si="11"/>
        <v>-1</v>
      </c>
    </row>
    <row r="62" spans="3:25" x14ac:dyDescent="0.2">
      <c r="C62" s="1315">
        <f t="shared" si="16"/>
        <v>27</v>
      </c>
      <c r="D62" s="1316">
        <f t="shared" si="12"/>
        <v>46844</v>
      </c>
      <c r="E62" s="1318" cm="1">
        <f t="array" ref="E62">+IFERROR(LOOKUP(2,1/((C62&gt;=Mins2)*(C62&lt;=Maxs2)),Rates2),"N/A")</f>
        <v>0</v>
      </c>
      <c r="F62" s="1314">
        <v>0</v>
      </c>
      <c r="G62" s="1317" t="e">
        <f>+IF(T62=0,MIN($I$14-SUM($G$35:G61),$I$14/$D$19),0)</f>
        <v>#N/A</v>
      </c>
      <c r="H62" s="1317">
        <f t="shared" si="4"/>
        <v>0</v>
      </c>
      <c r="I62" s="1319" t="e">
        <f t="shared" si="13"/>
        <v>#N/A</v>
      </c>
      <c r="J62" s="1319" t="e">
        <f t="shared" si="6"/>
        <v>#N/A</v>
      </c>
      <c r="K62" s="1314" t="e">
        <f t="shared" si="7"/>
        <v>#N/A</v>
      </c>
      <c r="L62" s="1312" t="e">
        <f t="shared" si="8"/>
        <v>#N/A</v>
      </c>
      <c r="P62" s="1315">
        <f t="shared" si="17"/>
        <v>27</v>
      </c>
      <c r="Q62" s="1316">
        <f t="shared" si="14"/>
        <v>46844</v>
      </c>
      <c r="R62" s="1318" cm="1">
        <f t="array" ref="R62">+IFERROR(LOOKUP(2,1/((P62&gt;=Mins)*(P62&lt;=Maxs)),Rates),"N/A")</f>
        <v>0</v>
      </c>
      <c r="S62" s="1314">
        <v>0</v>
      </c>
      <c r="T62" s="1317">
        <f>+MIN($I$15-SUM($T$35:T61),$I$15/$D$18)</f>
        <v>0</v>
      </c>
      <c r="U62" s="1317">
        <f t="shared" si="5"/>
        <v>0</v>
      </c>
      <c r="V62" s="1319">
        <f t="shared" si="15"/>
        <v>0</v>
      </c>
      <c r="W62" s="1319">
        <f t="shared" si="9"/>
        <v>0</v>
      </c>
      <c r="X62" s="1314">
        <f t="shared" si="10"/>
        <v>0</v>
      </c>
      <c r="Y62" s="1312">
        <f t="shared" si="11"/>
        <v>-1</v>
      </c>
    </row>
    <row r="63" spans="3:25" x14ac:dyDescent="0.2">
      <c r="C63" s="1315">
        <f t="shared" si="16"/>
        <v>28</v>
      </c>
      <c r="D63" s="1316">
        <f t="shared" si="12"/>
        <v>46874</v>
      </c>
      <c r="E63" s="1318" cm="1">
        <f t="array" ref="E63">+IFERROR(LOOKUP(2,1/((C63&gt;=Mins2)*(C63&lt;=Maxs2)),Rates2),"N/A")</f>
        <v>0</v>
      </c>
      <c r="F63" s="1314">
        <v>0</v>
      </c>
      <c r="G63" s="1317" t="e">
        <f>+IF(T63=0,MIN($I$14-SUM($G$35:G62),$I$14/$D$19),0)</f>
        <v>#N/A</v>
      </c>
      <c r="H63" s="1317">
        <f t="shared" si="4"/>
        <v>0</v>
      </c>
      <c r="I63" s="1319" t="e">
        <f t="shared" si="13"/>
        <v>#N/A</v>
      </c>
      <c r="J63" s="1319" t="e">
        <f t="shared" si="6"/>
        <v>#N/A</v>
      </c>
      <c r="K63" s="1314" t="e">
        <f t="shared" si="7"/>
        <v>#N/A</v>
      </c>
      <c r="L63" s="1312" t="e">
        <f t="shared" si="8"/>
        <v>#N/A</v>
      </c>
      <c r="P63" s="1315">
        <f t="shared" si="17"/>
        <v>28</v>
      </c>
      <c r="Q63" s="1316">
        <f t="shared" si="14"/>
        <v>46874</v>
      </c>
      <c r="R63" s="1318" cm="1">
        <f t="array" ref="R63">+IFERROR(LOOKUP(2,1/((P63&gt;=Mins)*(P63&lt;=Maxs)),Rates),"N/A")</f>
        <v>0</v>
      </c>
      <c r="S63" s="1314">
        <v>0</v>
      </c>
      <c r="T63" s="1317">
        <f>+MIN($I$15-SUM($T$35:T62),$I$15/$D$18)</f>
        <v>0</v>
      </c>
      <c r="U63" s="1317">
        <f t="shared" si="5"/>
        <v>0</v>
      </c>
      <c r="V63" s="1319">
        <f t="shared" si="15"/>
        <v>0</v>
      </c>
      <c r="W63" s="1319">
        <f t="shared" si="9"/>
        <v>0</v>
      </c>
      <c r="X63" s="1314">
        <f t="shared" si="10"/>
        <v>0</v>
      </c>
      <c r="Y63" s="1312">
        <f t="shared" si="11"/>
        <v>-1</v>
      </c>
    </row>
    <row r="64" spans="3:25" x14ac:dyDescent="0.2">
      <c r="C64" s="1315">
        <f t="shared" si="16"/>
        <v>29</v>
      </c>
      <c r="D64" s="1316">
        <f t="shared" si="12"/>
        <v>46905</v>
      </c>
      <c r="E64" s="1318" cm="1">
        <f t="array" ref="E64">+IFERROR(LOOKUP(2,1/((C64&gt;=Mins2)*(C64&lt;=Maxs2)),Rates2),"N/A")</f>
        <v>0</v>
      </c>
      <c r="F64" s="1314">
        <v>0</v>
      </c>
      <c r="G64" s="1317" t="e">
        <f>+IF(T64=0,MIN($I$14-SUM($G$35:G63),$I$14/$D$19),0)</f>
        <v>#N/A</v>
      </c>
      <c r="H64" s="1317">
        <f t="shared" si="4"/>
        <v>0</v>
      </c>
      <c r="I64" s="1319" t="e">
        <f t="shared" si="13"/>
        <v>#N/A</v>
      </c>
      <c r="J64" s="1319" t="e">
        <f t="shared" si="6"/>
        <v>#N/A</v>
      </c>
      <c r="K64" s="1314" t="e">
        <f t="shared" si="7"/>
        <v>#N/A</v>
      </c>
      <c r="L64" s="1312" t="e">
        <f t="shared" si="8"/>
        <v>#N/A</v>
      </c>
      <c r="P64" s="1315">
        <f t="shared" si="17"/>
        <v>29</v>
      </c>
      <c r="Q64" s="1316">
        <f t="shared" si="14"/>
        <v>46905</v>
      </c>
      <c r="R64" s="1318" cm="1">
        <f t="array" ref="R64">+IFERROR(LOOKUP(2,1/((P64&gt;=Mins)*(P64&lt;=Maxs)),Rates),"N/A")</f>
        <v>0</v>
      </c>
      <c r="S64" s="1314">
        <v>0</v>
      </c>
      <c r="T64" s="1317">
        <f>+MIN($I$15-SUM($T$35:T63),$I$15/$D$18)</f>
        <v>0</v>
      </c>
      <c r="U64" s="1317">
        <f t="shared" si="5"/>
        <v>0</v>
      </c>
      <c r="V64" s="1319">
        <f t="shared" si="15"/>
        <v>0</v>
      </c>
      <c r="W64" s="1319">
        <f t="shared" si="9"/>
        <v>0</v>
      </c>
      <c r="X64" s="1314">
        <f t="shared" si="10"/>
        <v>0</v>
      </c>
      <c r="Y64" s="1312">
        <f t="shared" si="11"/>
        <v>-1</v>
      </c>
    </row>
    <row r="65" spans="3:25" x14ac:dyDescent="0.2">
      <c r="C65" s="1315">
        <f t="shared" si="16"/>
        <v>30</v>
      </c>
      <c r="D65" s="1316">
        <f t="shared" si="12"/>
        <v>46935</v>
      </c>
      <c r="E65" s="1318" cm="1">
        <f t="array" ref="E65">+IFERROR(LOOKUP(2,1/((C65&gt;=Mins2)*(C65&lt;=Maxs2)),Rates2),"N/A")</f>
        <v>0</v>
      </c>
      <c r="F65" s="1314">
        <v>0</v>
      </c>
      <c r="G65" s="1317" t="e">
        <f>+IF(T65=0,MIN($I$14-SUM($G$35:G64),$I$14/$D$19),0)</f>
        <v>#N/A</v>
      </c>
      <c r="H65" s="1317">
        <f t="shared" si="4"/>
        <v>0</v>
      </c>
      <c r="I65" s="1319" t="e">
        <f t="shared" si="13"/>
        <v>#N/A</v>
      </c>
      <c r="J65" s="1319" t="e">
        <f t="shared" si="6"/>
        <v>#N/A</v>
      </c>
      <c r="K65" s="1314" t="e">
        <f t="shared" si="7"/>
        <v>#N/A</v>
      </c>
      <c r="L65" s="1312" t="e">
        <f t="shared" si="8"/>
        <v>#N/A</v>
      </c>
      <c r="P65" s="1315">
        <f t="shared" si="17"/>
        <v>30</v>
      </c>
      <c r="Q65" s="1316">
        <f t="shared" si="14"/>
        <v>46935</v>
      </c>
      <c r="R65" s="1318" cm="1">
        <f t="array" ref="R65">+IFERROR(LOOKUP(2,1/((P65&gt;=Mins)*(P65&lt;=Maxs)),Rates),"N/A")</f>
        <v>0</v>
      </c>
      <c r="S65" s="1314">
        <v>0</v>
      </c>
      <c r="T65" s="1317">
        <f>+MIN($I$15-SUM($T$35:T64),$I$15/$D$18)</f>
        <v>0</v>
      </c>
      <c r="U65" s="1317">
        <f t="shared" si="5"/>
        <v>0</v>
      </c>
      <c r="V65" s="1319">
        <f t="shared" si="15"/>
        <v>0</v>
      </c>
      <c r="W65" s="1319">
        <f t="shared" si="9"/>
        <v>0</v>
      </c>
      <c r="X65" s="1314">
        <f t="shared" si="10"/>
        <v>0</v>
      </c>
      <c r="Y65" s="1312">
        <f t="shared" si="11"/>
        <v>-1</v>
      </c>
    </row>
    <row r="66" spans="3:25" x14ac:dyDescent="0.2">
      <c r="C66" s="1315">
        <f t="shared" si="16"/>
        <v>31</v>
      </c>
      <c r="D66" s="1316">
        <f t="shared" si="12"/>
        <v>46966</v>
      </c>
      <c r="E66" s="1318" cm="1">
        <f t="array" ref="E66">+IFERROR(LOOKUP(2,1/((C66&gt;=Mins2)*(C66&lt;=Maxs2)),Rates2),"N/A")</f>
        <v>0</v>
      </c>
      <c r="F66" s="1314">
        <v>0</v>
      </c>
      <c r="G66" s="1317" t="e">
        <f>+IF(T66=0,MIN($I$14-SUM($G$35:G65),$I$14/$D$19),0)</f>
        <v>#N/A</v>
      </c>
      <c r="H66" s="1317">
        <f t="shared" si="4"/>
        <v>0</v>
      </c>
      <c r="I66" s="1319" t="e">
        <f t="shared" si="13"/>
        <v>#N/A</v>
      </c>
      <c r="J66" s="1319" t="e">
        <f t="shared" si="6"/>
        <v>#N/A</v>
      </c>
      <c r="K66" s="1314" t="e">
        <f t="shared" si="7"/>
        <v>#N/A</v>
      </c>
      <c r="L66" s="1312" t="e">
        <f t="shared" si="8"/>
        <v>#N/A</v>
      </c>
      <c r="P66" s="1315">
        <f t="shared" si="17"/>
        <v>31</v>
      </c>
      <c r="Q66" s="1316">
        <f t="shared" si="14"/>
        <v>46966</v>
      </c>
      <c r="R66" s="1318" cm="1">
        <f t="array" ref="R66">+IFERROR(LOOKUP(2,1/((P66&gt;=Mins)*(P66&lt;=Maxs)),Rates),"N/A")</f>
        <v>0</v>
      </c>
      <c r="S66" s="1314">
        <v>0</v>
      </c>
      <c r="T66" s="1317">
        <f>+MIN($I$15-SUM($T$35:T65),$I$15/$D$18)</f>
        <v>0</v>
      </c>
      <c r="U66" s="1317">
        <f t="shared" si="5"/>
        <v>0</v>
      </c>
      <c r="V66" s="1319">
        <f t="shared" si="15"/>
        <v>0</v>
      </c>
      <c r="W66" s="1319">
        <f t="shared" si="9"/>
        <v>0</v>
      </c>
      <c r="X66" s="1314">
        <f t="shared" si="10"/>
        <v>0</v>
      </c>
      <c r="Y66" s="1312">
        <f t="shared" si="11"/>
        <v>-1</v>
      </c>
    </row>
    <row r="67" spans="3:25" x14ac:dyDescent="0.2">
      <c r="C67" s="1315">
        <f t="shared" si="16"/>
        <v>32</v>
      </c>
      <c r="D67" s="1316">
        <f t="shared" si="12"/>
        <v>46997</v>
      </c>
      <c r="E67" s="1318" cm="1">
        <f t="array" ref="E67">+IFERROR(LOOKUP(2,1/((C67&gt;=Mins2)*(C67&lt;=Maxs2)),Rates2),"N/A")</f>
        <v>0</v>
      </c>
      <c r="F67" s="1314">
        <v>0</v>
      </c>
      <c r="G67" s="1317" t="e">
        <f>+IF(T67=0,MIN($I$14-SUM($G$35:G66),$I$14/$D$19),0)</f>
        <v>#N/A</v>
      </c>
      <c r="H67" s="1317">
        <f t="shared" ref="H67:H87" si="18">+IF(C67=$D$20,L66+K67,0)</f>
        <v>0</v>
      </c>
      <c r="I67" s="1319" t="e">
        <f t="shared" si="13"/>
        <v>#N/A</v>
      </c>
      <c r="J67" s="1319" t="e">
        <f t="shared" si="6"/>
        <v>#N/A</v>
      </c>
      <c r="K67" s="1314" t="e">
        <f t="shared" si="7"/>
        <v>#N/A</v>
      </c>
      <c r="L67" s="1312" t="e">
        <f t="shared" si="8"/>
        <v>#N/A</v>
      </c>
      <c r="P67" s="1315">
        <f t="shared" si="17"/>
        <v>32</v>
      </c>
      <c r="Q67" s="1316">
        <f t="shared" si="14"/>
        <v>46997</v>
      </c>
      <c r="R67" s="1318" cm="1">
        <f t="array" ref="R67">+IFERROR(LOOKUP(2,1/((P67&gt;=Mins)*(P67&lt;=Maxs)),Rates),"N/A")</f>
        <v>0</v>
      </c>
      <c r="S67" s="1314">
        <v>0</v>
      </c>
      <c r="T67" s="1317">
        <f>+MIN($I$15-SUM($T$35:T66),$I$15/$D$18)</f>
        <v>0</v>
      </c>
      <c r="U67" s="1317">
        <f t="shared" ref="U67:U87" si="19">+IF(P67=$D$20,Y66+X67,0)</f>
        <v>0</v>
      </c>
      <c r="V67" s="1319">
        <f t="shared" si="15"/>
        <v>0</v>
      </c>
      <c r="W67" s="1319">
        <f t="shared" si="9"/>
        <v>0</v>
      </c>
      <c r="X67" s="1314">
        <f t="shared" si="10"/>
        <v>0</v>
      </c>
      <c r="Y67" s="1312">
        <f t="shared" si="11"/>
        <v>-1</v>
      </c>
    </row>
    <row r="68" spans="3:25" x14ac:dyDescent="0.2">
      <c r="C68" s="1315">
        <f t="shared" si="16"/>
        <v>33</v>
      </c>
      <c r="D68" s="1316">
        <f t="shared" si="12"/>
        <v>47027</v>
      </c>
      <c r="E68" s="1318" cm="1">
        <f t="array" ref="E68">+IFERROR(LOOKUP(2,1/((C68&gt;=Mins2)*(C68&lt;=Maxs2)),Rates2),"N/A")</f>
        <v>0</v>
      </c>
      <c r="F68" s="1314">
        <v>0</v>
      </c>
      <c r="G68" s="1317" t="e">
        <f>+IF(T68=0,MIN($I$14-SUM($G$35:G67),$I$14/$D$19),0)</f>
        <v>#N/A</v>
      </c>
      <c r="H68" s="1317">
        <f t="shared" si="18"/>
        <v>0</v>
      </c>
      <c r="I68" s="1319" t="e">
        <f t="shared" si="13"/>
        <v>#N/A</v>
      </c>
      <c r="J68" s="1319" t="e">
        <f t="shared" si="6"/>
        <v>#N/A</v>
      </c>
      <c r="K68" s="1314" t="e">
        <f t="shared" ref="K68:K87" si="20">IF($Q$16="Paid Current",0,ROUND(L67*E68/365*(D68-D67),2))</f>
        <v>#N/A</v>
      </c>
      <c r="L68" s="1312" t="e">
        <f t="shared" si="8"/>
        <v>#N/A</v>
      </c>
      <c r="P68" s="1315">
        <f t="shared" si="17"/>
        <v>33</v>
      </c>
      <c r="Q68" s="1316">
        <f t="shared" si="14"/>
        <v>47027</v>
      </c>
      <c r="R68" s="1318" cm="1">
        <f t="array" ref="R68">+IFERROR(LOOKUP(2,1/((P68&gt;=Mins)*(P68&lt;=Maxs)),Rates),"N/A")</f>
        <v>0</v>
      </c>
      <c r="S68" s="1314">
        <v>0</v>
      </c>
      <c r="T68" s="1317">
        <f>+MIN($I$15-SUM($T$35:T67),$I$15/$D$18)</f>
        <v>0</v>
      </c>
      <c r="U68" s="1317">
        <f t="shared" si="19"/>
        <v>0</v>
      </c>
      <c r="V68" s="1319">
        <f t="shared" si="15"/>
        <v>0</v>
      </c>
      <c r="W68" s="1319">
        <f t="shared" si="9"/>
        <v>0</v>
      </c>
      <c r="X68" s="1314">
        <f t="shared" ref="X68:X87" si="21">IF($Q$16="Paid Current",0,ROUND(Y67*R68/365*(Q68-Q67),2))</f>
        <v>0</v>
      </c>
      <c r="Y68" s="1312">
        <f t="shared" si="11"/>
        <v>-1</v>
      </c>
    </row>
    <row r="69" spans="3:25" x14ac:dyDescent="0.2">
      <c r="C69" s="1315">
        <f t="shared" si="16"/>
        <v>34</v>
      </c>
      <c r="D69" s="1316">
        <f t="shared" si="12"/>
        <v>47058</v>
      </c>
      <c r="E69" s="1318" cm="1">
        <f t="array" ref="E69">+IFERROR(LOOKUP(2,1/((C69&gt;=Mins2)*(C69&lt;=Maxs2)),Rates2),"N/A")</f>
        <v>0</v>
      </c>
      <c r="F69" s="1314">
        <v>0</v>
      </c>
      <c r="G69" s="1317" t="e">
        <f>+IF(T69=0,MIN($I$14-SUM($G$35:G68),$I$14/$D$19),0)</f>
        <v>#N/A</v>
      </c>
      <c r="H69" s="1317">
        <f t="shared" si="18"/>
        <v>0</v>
      </c>
      <c r="I69" s="1319" t="e">
        <f t="shared" si="13"/>
        <v>#N/A</v>
      </c>
      <c r="J69" s="1319" t="e">
        <f t="shared" si="6"/>
        <v>#N/A</v>
      </c>
      <c r="K69" s="1314" t="e">
        <f t="shared" si="20"/>
        <v>#N/A</v>
      </c>
      <c r="L69" s="1312" t="e">
        <f t="shared" si="8"/>
        <v>#N/A</v>
      </c>
      <c r="P69" s="1315">
        <f t="shared" si="17"/>
        <v>34</v>
      </c>
      <c r="Q69" s="1316">
        <f t="shared" si="14"/>
        <v>47058</v>
      </c>
      <c r="R69" s="1318" cm="1">
        <f t="array" ref="R69">+IFERROR(LOOKUP(2,1/((P69&gt;=Mins)*(P69&lt;=Maxs)),Rates),"N/A")</f>
        <v>0</v>
      </c>
      <c r="S69" s="1314">
        <v>0</v>
      </c>
      <c r="T69" s="1317">
        <f>+MIN($I$15-SUM($T$35:T68),$I$15/$D$18)</f>
        <v>0</v>
      </c>
      <c r="U69" s="1317">
        <f t="shared" si="19"/>
        <v>0</v>
      </c>
      <c r="V69" s="1319">
        <f t="shared" si="15"/>
        <v>0</v>
      </c>
      <c r="W69" s="1319">
        <f t="shared" si="9"/>
        <v>0</v>
      </c>
      <c r="X69" s="1314">
        <f t="shared" si="21"/>
        <v>0</v>
      </c>
      <c r="Y69" s="1312">
        <f t="shared" si="11"/>
        <v>-1</v>
      </c>
    </row>
    <row r="70" spans="3:25" x14ac:dyDescent="0.2">
      <c r="C70" s="1315">
        <f t="shared" si="16"/>
        <v>35</v>
      </c>
      <c r="D70" s="1316">
        <f t="shared" si="12"/>
        <v>47088</v>
      </c>
      <c r="E70" s="1318" cm="1">
        <f t="array" ref="E70">+IFERROR(LOOKUP(2,1/((C70&gt;=Mins2)*(C70&lt;=Maxs2)),Rates2),"N/A")</f>
        <v>0</v>
      </c>
      <c r="F70" s="1314">
        <v>0</v>
      </c>
      <c r="G70" s="1317" t="e">
        <f>+IF(T70=0,MIN($I$14-SUM($G$35:G69),$I$14/$D$19),0)</f>
        <v>#N/A</v>
      </c>
      <c r="H70" s="1317">
        <f t="shared" si="18"/>
        <v>0</v>
      </c>
      <c r="I70" s="1319" t="e">
        <f t="shared" si="13"/>
        <v>#N/A</v>
      </c>
      <c r="J70" s="1319" t="e">
        <f t="shared" si="6"/>
        <v>#N/A</v>
      </c>
      <c r="K70" s="1314" t="e">
        <f t="shared" si="20"/>
        <v>#N/A</v>
      </c>
      <c r="L70" s="1312" t="e">
        <f t="shared" si="8"/>
        <v>#N/A</v>
      </c>
      <c r="P70" s="1315">
        <f t="shared" si="17"/>
        <v>35</v>
      </c>
      <c r="Q70" s="1316">
        <f t="shared" si="14"/>
        <v>47088</v>
      </c>
      <c r="R70" s="1318" cm="1">
        <f t="array" ref="R70">+IFERROR(LOOKUP(2,1/((P70&gt;=Mins)*(P70&lt;=Maxs)),Rates),"N/A")</f>
        <v>0</v>
      </c>
      <c r="S70" s="1314">
        <v>0</v>
      </c>
      <c r="T70" s="1317">
        <f>+MIN($I$15-SUM($T$35:T69),$I$15/$D$18)</f>
        <v>0</v>
      </c>
      <c r="U70" s="1317">
        <f t="shared" si="19"/>
        <v>0</v>
      </c>
      <c r="V70" s="1319">
        <f t="shared" si="15"/>
        <v>0</v>
      </c>
      <c r="W70" s="1319">
        <f t="shared" si="9"/>
        <v>0</v>
      </c>
      <c r="X70" s="1314">
        <f t="shared" si="21"/>
        <v>0</v>
      </c>
      <c r="Y70" s="1312">
        <f t="shared" si="11"/>
        <v>-1</v>
      </c>
    </row>
    <row r="71" spans="3:25" x14ac:dyDescent="0.2">
      <c r="C71" s="1315">
        <f t="shared" si="16"/>
        <v>36</v>
      </c>
      <c r="D71" s="1316">
        <f t="shared" si="12"/>
        <v>47119</v>
      </c>
      <c r="E71" s="1318" cm="1">
        <f t="array" ref="E71">+IFERROR(LOOKUP(2,1/((C71&gt;=Mins2)*(C71&lt;=Maxs2)),Rates2),"N/A")</f>
        <v>0</v>
      </c>
      <c r="F71" s="1314">
        <v>0</v>
      </c>
      <c r="G71" s="1317" t="e">
        <f>+IF(T71=0,MIN($I$14-SUM($G$35:G70),$I$14/$D$19),0)</f>
        <v>#N/A</v>
      </c>
      <c r="H71" s="1317">
        <f t="shared" si="18"/>
        <v>0</v>
      </c>
      <c r="I71" s="1319" t="e">
        <f t="shared" si="13"/>
        <v>#N/A</v>
      </c>
      <c r="J71" s="1319" t="e">
        <f t="shared" si="6"/>
        <v>#N/A</v>
      </c>
      <c r="K71" s="1314" t="e">
        <f t="shared" si="20"/>
        <v>#N/A</v>
      </c>
      <c r="L71" s="1312" t="e">
        <f t="shared" si="8"/>
        <v>#N/A</v>
      </c>
      <c r="P71" s="1315">
        <f t="shared" si="17"/>
        <v>36</v>
      </c>
      <c r="Q71" s="1316">
        <f t="shared" si="14"/>
        <v>47119</v>
      </c>
      <c r="R71" s="1318" cm="1">
        <f t="array" ref="R71">+IFERROR(LOOKUP(2,1/((P71&gt;=Mins)*(P71&lt;=Maxs)),Rates),"N/A")</f>
        <v>0</v>
      </c>
      <c r="S71" s="1314">
        <v>0</v>
      </c>
      <c r="T71" s="1317">
        <f>+MIN($I$15-SUM($T$35:T70),$I$15/$D$18)</f>
        <v>0</v>
      </c>
      <c r="U71" s="1317">
        <f t="shared" si="19"/>
        <v>0</v>
      </c>
      <c r="V71" s="1319">
        <f t="shared" si="15"/>
        <v>0</v>
      </c>
      <c r="W71" s="1319">
        <f t="shared" si="9"/>
        <v>0</v>
      </c>
      <c r="X71" s="1314">
        <f t="shared" si="21"/>
        <v>0</v>
      </c>
      <c r="Y71" s="1312">
        <f t="shared" si="11"/>
        <v>-1</v>
      </c>
    </row>
    <row r="72" spans="3:25" x14ac:dyDescent="0.2">
      <c r="C72" s="1315">
        <f t="shared" si="16"/>
        <v>37</v>
      </c>
      <c r="D72" s="1316">
        <f t="shared" si="12"/>
        <v>47150</v>
      </c>
      <c r="E72" s="1318" cm="1">
        <f t="array" ref="E72">+IFERROR(LOOKUP(2,1/((C72&gt;=Mins2)*(C72&lt;=Maxs2)),Rates2),"N/A")</f>
        <v>0</v>
      </c>
      <c r="F72" s="1314">
        <v>0</v>
      </c>
      <c r="G72" s="1317" t="e">
        <f>+IF(T72=0,MIN($I$14-SUM($G$35:G71),$I$14/$D$19),0)</f>
        <v>#N/A</v>
      </c>
      <c r="H72" s="1317">
        <f t="shared" si="18"/>
        <v>0</v>
      </c>
      <c r="I72" s="1319" t="e">
        <f t="shared" si="13"/>
        <v>#N/A</v>
      </c>
      <c r="J72" s="1319" t="e">
        <f t="shared" si="6"/>
        <v>#N/A</v>
      </c>
      <c r="K72" s="1314" t="e">
        <f t="shared" si="20"/>
        <v>#N/A</v>
      </c>
      <c r="L72" s="1312" t="e">
        <f t="shared" si="8"/>
        <v>#N/A</v>
      </c>
      <c r="P72" s="1315">
        <f t="shared" si="17"/>
        <v>37</v>
      </c>
      <c r="Q72" s="1316">
        <f t="shared" si="14"/>
        <v>47150</v>
      </c>
      <c r="R72" s="1318" cm="1">
        <f t="array" ref="R72">+IFERROR(LOOKUP(2,1/((P72&gt;=Mins)*(P72&lt;=Maxs)),Rates),"N/A")</f>
        <v>0</v>
      </c>
      <c r="S72" s="1314">
        <v>0</v>
      </c>
      <c r="T72" s="1317">
        <f>+MIN($I$15-SUM($T$35:T71),$I$15/$D$18)</f>
        <v>0</v>
      </c>
      <c r="U72" s="1317">
        <f t="shared" si="19"/>
        <v>0</v>
      </c>
      <c r="V72" s="1319">
        <f t="shared" si="15"/>
        <v>0</v>
      </c>
      <c r="W72" s="1319">
        <f t="shared" si="9"/>
        <v>0</v>
      </c>
      <c r="X72" s="1314">
        <f t="shared" si="21"/>
        <v>0</v>
      </c>
      <c r="Y72" s="1312">
        <f t="shared" si="11"/>
        <v>-1</v>
      </c>
    </row>
    <row r="73" spans="3:25" x14ac:dyDescent="0.2">
      <c r="C73" s="1315">
        <f t="shared" si="16"/>
        <v>38</v>
      </c>
      <c r="D73" s="1316">
        <f t="shared" si="12"/>
        <v>47178</v>
      </c>
      <c r="E73" s="1318" cm="1">
        <f t="array" ref="E73">+IFERROR(LOOKUP(2,1/((C73&gt;=Mins2)*(C73&lt;=Maxs2)),Rates2),"N/A")</f>
        <v>0</v>
      </c>
      <c r="F73" s="1314">
        <v>0</v>
      </c>
      <c r="G73" s="1317" t="e">
        <f>+IF(T73=0,MIN($I$14-SUM($G$35:G72),$I$14/$D$19),0)</f>
        <v>#N/A</v>
      </c>
      <c r="H73" s="1317">
        <f t="shared" si="18"/>
        <v>0</v>
      </c>
      <c r="I73" s="1319" t="e">
        <f t="shared" si="13"/>
        <v>#N/A</v>
      </c>
      <c r="J73" s="1319" t="e">
        <f t="shared" si="6"/>
        <v>#N/A</v>
      </c>
      <c r="K73" s="1314" t="e">
        <f t="shared" si="20"/>
        <v>#N/A</v>
      </c>
      <c r="L73" s="1312" t="e">
        <f t="shared" si="8"/>
        <v>#N/A</v>
      </c>
      <c r="P73" s="1315">
        <f t="shared" si="17"/>
        <v>38</v>
      </c>
      <c r="Q73" s="1316">
        <f t="shared" si="14"/>
        <v>47178</v>
      </c>
      <c r="R73" s="1318" cm="1">
        <f t="array" ref="R73">+IFERROR(LOOKUP(2,1/((P73&gt;=Mins)*(P73&lt;=Maxs)),Rates),"N/A")</f>
        <v>0</v>
      </c>
      <c r="S73" s="1314">
        <v>0</v>
      </c>
      <c r="T73" s="1317">
        <f>+MIN($I$15-SUM($T$35:T72),$I$15/$D$18)</f>
        <v>0</v>
      </c>
      <c r="U73" s="1317">
        <f t="shared" si="19"/>
        <v>0</v>
      </c>
      <c r="V73" s="1319">
        <f t="shared" si="15"/>
        <v>0</v>
      </c>
      <c r="W73" s="1319">
        <f t="shared" si="9"/>
        <v>0</v>
      </c>
      <c r="X73" s="1314">
        <f t="shared" si="21"/>
        <v>0</v>
      </c>
      <c r="Y73" s="1312">
        <f t="shared" si="11"/>
        <v>-1</v>
      </c>
    </row>
    <row r="74" spans="3:25" x14ac:dyDescent="0.2">
      <c r="C74" s="1315">
        <f t="shared" si="16"/>
        <v>39</v>
      </c>
      <c r="D74" s="1316">
        <f t="shared" si="12"/>
        <v>47209</v>
      </c>
      <c r="E74" s="1318" cm="1">
        <f t="array" ref="E74">+IFERROR(LOOKUP(2,1/((C74&gt;=Mins2)*(C74&lt;=Maxs2)),Rates2),"N/A")</f>
        <v>0</v>
      </c>
      <c r="F74" s="1314">
        <v>0</v>
      </c>
      <c r="G74" s="1317" t="e">
        <f>+IF(T74=0,MIN($I$14-SUM($G$35:G73),$I$14/$D$19),0)</f>
        <v>#N/A</v>
      </c>
      <c r="H74" s="1317">
        <f t="shared" si="18"/>
        <v>0</v>
      </c>
      <c r="I74" s="1319" t="e">
        <f t="shared" si="13"/>
        <v>#N/A</v>
      </c>
      <c r="J74" s="1319" t="e">
        <f t="shared" si="6"/>
        <v>#N/A</v>
      </c>
      <c r="K74" s="1314" t="e">
        <f t="shared" si="20"/>
        <v>#N/A</v>
      </c>
      <c r="L74" s="1312" t="e">
        <f t="shared" si="8"/>
        <v>#N/A</v>
      </c>
      <c r="P74" s="1315">
        <f t="shared" si="17"/>
        <v>39</v>
      </c>
      <c r="Q74" s="1316">
        <f t="shared" si="14"/>
        <v>47209</v>
      </c>
      <c r="R74" s="1318" cm="1">
        <f t="array" ref="R74">+IFERROR(LOOKUP(2,1/((P74&gt;=Mins)*(P74&lt;=Maxs)),Rates),"N/A")</f>
        <v>0</v>
      </c>
      <c r="S74" s="1314">
        <v>0</v>
      </c>
      <c r="T74" s="1317">
        <f>+MIN($I$15-SUM($T$35:T73),$I$15/$D$18)</f>
        <v>0</v>
      </c>
      <c r="U74" s="1317">
        <f t="shared" si="19"/>
        <v>0</v>
      </c>
      <c r="V74" s="1319">
        <f t="shared" si="15"/>
        <v>0</v>
      </c>
      <c r="W74" s="1319">
        <f t="shared" si="9"/>
        <v>0</v>
      </c>
      <c r="X74" s="1314">
        <f t="shared" si="21"/>
        <v>0</v>
      </c>
      <c r="Y74" s="1312">
        <f t="shared" si="11"/>
        <v>-1</v>
      </c>
    </row>
    <row r="75" spans="3:25" x14ac:dyDescent="0.2">
      <c r="C75" s="1315">
        <f t="shared" si="16"/>
        <v>40</v>
      </c>
      <c r="D75" s="1316">
        <f t="shared" si="12"/>
        <v>47239</v>
      </c>
      <c r="E75" s="1318" cm="1">
        <f t="array" ref="E75">+IFERROR(LOOKUP(2,1/((C75&gt;=Mins2)*(C75&lt;=Maxs2)),Rates2),"N/A")</f>
        <v>0</v>
      </c>
      <c r="F75" s="1314">
        <v>0</v>
      </c>
      <c r="G75" s="1317" t="e">
        <f>+IF(T75=0,MIN($I$14-SUM($G$35:G74),$I$14/$D$19),0)</f>
        <v>#N/A</v>
      </c>
      <c r="H75" s="1317">
        <f t="shared" si="18"/>
        <v>0</v>
      </c>
      <c r="I75" s="1319" t="e">
        <f t="shared" si="13"/>
        <v>#N/A</v>
      </c>
      <c r="J75" s="1319" t="e">
        <f t="shared" si="6"/>
        <v>#N/A</v>
      </c>
      <c r="K75" s="1314" t="e">
        <f t="shared" si="20"/>
        <v>#N/A</v>
      </c>
      <c r="L75" s="1312" t="e">
        <f t="shared" si="8"/>
        <v>#N/A</v>
      </c>
      <c r="P75" s="1315">
        <f t="shared" si="17"/>
        <v>40</v>
      </c>
      <c r="Q75" s="1316">
        <f t="shared" si="14"/>
        <v>47239</v>
      </c>
      <c r="R75" s="1318" cm="1">
        <f t="array" ref="R75">+IFERROR(LOOKUP(2,1/((P75&gt;=Mins)*(P75&lt;=Maxs)),Rates),"N/A")</f>
        <v>0</v>
      </c>
      <c r="S75" s="1314">
        <v>0</v>
      </c>
      <c r="T75" s="1317">
        <f>+MIN($I$15-SUM($T$35:T74),$I$15/$D$18)</f>
        <v>0</v>
      </c>
      <c r="U75" s="1317">
        <f t="shared" si="19"/>
        <v>0</v>
      </c>
      <c r="V75" s="1319">
        <f t="shared" si="15"/>
        <v>0</v>
      </c>
      <c r="W75" s="1319">
        <f t="shared" si="9"/>
        <v>0</v>
      </c>
      <c r="X75" s="1314">
        <f t="shared" si="21"/>
        <v>0</v>
      </c>
      <c r="Y75" s="1312">
        <f t="shared" si="11"/>
        <v>-1</v>
      </c>
    </row>
    <row r="76" spans="3:25" x14ac:dyDescent="0.2">
      <c r="C76" s="1315">
        <f t="shared" si="16"/>
        <v>41</v>
      </c>
      <c r="D76" s="1316">
        <f t="shared" si="12"/>
        <v>47270</v>
      </c>
      <c r="E76" s="1318" cm="1">
        <f t="array" ref="E76">+IFERROR(LOOKUP(2,1/((C76&gt;=Mins2)*(C76&lt;=Maxs2)),Rates2),"N/A")</f>
        <v>0</v>
      </c>
      <c r="F76" s="1314">
        <v>0</v>
      </c>
      <c r="G76" s="1317" t="e">
        <f>+IF(T76=0,MIN($I$14-SUM($G$35:G75),$I$14/$D$19),0)</f>
        <v>#N/A</v>
      </c>
      <c r="H76" s="1317">
        <f t="shared" si="18"/>
        <v>0</v>
      </c>
      <c r="I76" s="1319" t="e">
        <f t="shared" si="13"/>
        <v>#N/A</v>
      </c>
      <c r="J76" s="1319" t="e">
        <f t="shared" si="6"/>
        <v>#N/A</v>
      </c>
      <c r="K76" s="1314" t="e">
        <f t="shared" si="20"/>
        <v>#N/A</v>
      </c>
      <c r="L76" s="1312" t="e">
        <f t="shared" si="8"/>
        <v>#N/A</v>
      </c>
      <c r="P76" s="1315">
        <f t="shared" si="17"/>
        <v>41</v>
      </c>
      <c r="Q76" s="1316">
        <f t="shared" si="14"/>
        <v>47270</v>
      </c>
      <c r="R76" s="1318" cm="1">
        <f t="array" ref="R76">+IFERROR(LOOKUP(2,1/((P76&gt;=Mins)*(P76&lt;=Maxs)),Rates),"N/A")</f>
        <v>0</v>
      </c>
      <c r="S76" s="1314">
        <v>0</v>
      </c>
      <c r="T76" s="1317">
        <f>+MIN($I$15-SUM($T$35:T75),$I$15/$D$18)</f>
        <v>0</v>
      </c>
      <c r="U76" s="1317">
        <f t="shared" si="19"/>
        <v>0</v>
      </c>
      <c r="V76" s="1319">
        <f t="shared" si="15"/>
        <v>0</v>
      </c>
      <c r="W76" s="1319">
        <f t="shared" si="9"/>
        <v>0</v>
      </c>
      <c r="X76" s="1314">
        <f t="shared" si="21"/>
        <v>0</v>
      </c>
      <c r="Y76" s="1312">
        <f t="shared" si="11"/>
        <v>-1</v>
      </c>
    </row>
    <row r="77" spans="3:25" x14ac:dyDescent="0.2">
      <c r="C77" s="1315">
        <f t="shared" si="16"/>
        <v>42</v>
      </c>
      <c r="D77" s="1316">
        <f t="shared" si="12"/>
        <v>47300</v>
      </c>
      <c r="E77" s="1318" cm="1">
        <f t="array" ref="E77">+IFERROR(LOOKUP(2,1/((C77&gt;=Mins2)*(C77&lt;=Maxs2)),Rates2),"N/A")</f>
        <v>0</v>
      </c>
      <c r="F77" s="1314">
        <v>0</v>
      </c>
      <c r="G77" s="1317" t="e">
        <f>+IF(T77=0,MIN($I$14-SUM($G$35:G76),$I$14/$D$19),0)</f>
        <v>#N/A</v>
      </c>
      <c r="H77" s="1317">
        <f t="shared" si="18"/>
        <v>0</v>
      </c>
      <c r="I77" s="1319" t="e">
        <f t="shared" si="13"/>
        <v>#N/A</v>
      </c>
      <c r="J77" s="1319" t="e">
        <f t="shared" si="6"/>
        <v>#N/A</v>
      </c>
      <c r="K77" s="1314" t="e">
        <f t="shared" si="20"/>
        <v>#N/A</v>
      </c>
      <c r="L77" s="1312" t="e">
        <f t="shared" si="8"/>
        <v>#N/A</v>
      </c>
      <c r="P77" s="1315">
        <f t="shared" si="17"/>
        <v>42</v>
      </c>
      <c r="Q77" s="1316">
        <f t="shared" si="14"/>
        <v>47300</v>
      </c>
      <c r="R77" s="1318" cm="1">
        <f t="array" ref="R77">+IFERROR(LOOKUP(2,1/((P77&gt;=Mins)*(P77&lt;=Maxs)),Rates),"N/A")</f>
        <v>0</v>
      </c>
      <c r="S77" s="1314">
        <v>0</v>
      </c>
      <c r="T77" s="1317">
        <f>+MIN($I$15-SUM($T$35:T76),$I$15/$D$18)</f>
        <v>0</v>
      </c>
      <c r="U77" s="1317">
        <f t="shared" si="19"/>
        <v>0</v>
      </c>
      <c r="V77" s="1319">
        <f t="shared" si="15"/>
        <v>0</v>
      </c>
      <c r="W77" s="1319">
        <f t="shared" si="9"/>
        <v>0</v>
      </c>
      <c r="X77" s="1314">
        <f t="shared" si="21"/>
        <v>0</v>
      </c>
      <c r="Y77" s="1312">
        <f t="shared" si="11"/>
        <v>-1</v>
      </c>
    </row>
    <row r="78" spans="3:25" x14ac:dyDescent="0.2">
      <c r="C78" s="1315">
        <f t="shared" si="16"/>
        <v>43</v>
      </c>
      <c r="D78" s="1316">
        <f t="shared" si="12"/>
        <v>47331</v>
      </c>
      <c r="E78" s="1318" cm="1">
        <f t="array" ref="E78">+IFERROR(LOOKUP(2,1/((C78&gt;=Mins2)*(C78&lt;=Maxs2)),Rates2),"N/A")</f>
        <v>0</v>
      </c>
      <c r="F78" s="1314">
        <v>0</v>
      </c>
      <c r="G78" s="1317" t="e">
        <f>+IF(T78=0,MIN($I$14-SUM($G$35:G77),$I$14/$D$19),0)</f>
        <v>#N/A</v>
      </c>
      <c r="H78" s="1317">
        <f t="shared" si="18"/>
        <v>0</v>
      </c>
      <c r="I78" s="1319" t="e">
        <f t="shared" si="13"/>
        <v>#N/A</v>
      </c>
      <c r="J78" s="1319" t="e">
        <f t="shared" si="6"/>
        <v>#N/A</v>
      </c>
      <c r="K78" s="1314" t="e">
        <f t="shared" si="20"/>
        <v>#N/A</v>
      </c>
      <c r="L78" s="1312" t="e">
        <f t="shared" si="8"/>
        <v>#N/A</v>
      </c>
      <c r="P78" s="1315">
        <f t="shared" si="17"/>
        <v>43</v>
      </c>
      <c r="Q78" s="1316">
        <f t="shared" si="14"/>
        <v>47331</v>
      </c>
      <c r="R78" s="1318" cm="1">
        <f t="array" ref="R78">+IFERROR(LOOKUP(2,1/((P78&gt;=Mins)*(P78&lt;=Maxs)),Rates),"N/A")</f>
        <v>0</v>
      </c>
      <c r="S78" s="1314">
        <v>0</v>
      </c>
      <c r="T78" s="1317">
        <f>+MIN($I$15-SUM($T$35:T77),$I$15/$D$18)</f>
        <v>0</v>
      </c>
      <c r="U78" s="1317">
        <f t="shared" si="19"/>
        <v>0</v>
      </c>
      <c r="V78" s="1319">
        <f t="shared" si="15"/>
        <v>0</v>
      </c>
      <c r="W78" s="1319">
        <f t="shared" si="9"/>
        <v>0</v>
      </c>
      <c r="X78" s="1314">
        <f t="shared" si="21"/>
        <v>0</v>
      </c>
      <c r="Y78" s="1312">
        <f t="shared" si="11"/>
        <v>-1</v>
      </c>
    </row>
    <row r="79" spans="3:25" x14ac:dyDescent="0.2">
      <c r="C79" s="1315">
        <f t="shared" si="16"/>
        <v>44</v>
      </c>
      <c r="D79" s="1316">
        <f t="shared" si="12"/>
        <v>47362</v>
      </c>
      <c r="E79" s="1318" cm="1">
        <f t="array" ref="E79">+IFERROR(LOOKUP(2,1/((C79&gt;=Mins2)*(C79&lt;=Maxs2)),Rates2),"N/A")</f>
        <v>0</v>
      </c>
      <c r="F79" s="1314">
        <v>0</v>
      </c>
      <c r="G79" s="1317" t="e">
        <f>+IF(T79=0,MIN($I$14-SUM($G$35:G78),$I$14/$D$19),0)</f>
        <v>#N/A</v>
      </c>
      <c r="H79" s="1317">
        <f t="shared" si="18"/>
        <v>0</v>
      </c>
      <c r="I79" s="1319" t="e">
        <f t="shared" si="13"/>
        <v>#N/A</v>
      </c>
      <c r="J79" s="1319" t="e">
        <f t="shared" si="6"/>
        <v>#N/A</v>
      </c>
      <c r="K79" s="1314" t="e">
        <f t="shared" si="20"/>
        <v>#N/A</v>
      </c>
      <c r="L79" s="1312" t="e">
        <f t="shared" si="8"/>
        <v>#N/A</v>
      </c>
      <c r="P79" s="1315">
        <f t="shared" si="17"/>
        <v>44</v>
      </c>
      <c r="Q79" s="1316">
        <f t="shared" si="14"/>
        <v>47362</v>
      </c>
      <c r="R79" s="1318" cm="1">
        <f t="array" ref="R79">+IFERROR(LOOKUP(2,1/((P79&gt;=Mins)*(P79&lt;=Maxs)),Rates),"N/A")</f>
        <v>0</v>
      </c>
      <c r="S79" s="1314">
        <v>0</v>
      </c>
      <c r="T79" s="1317">
        <f>+MIN($I$15-SUM($T$35:T78),$I$15/$D$18)</f>
        <v>0</v>
      </c>
      <c r="U79" s="1317">
        <f t="shared" si="19"/>
        <v>0</v>
      </c>
      <c r="V79" s="1319">
        <f t="shared" si="15"/>
        <v>0</v>
      </c>
      <c r="W79" s="1319">
        <f t="shared" si="9"/>
        <v>0</v>
      </c>
      <c r="X79" s="1314">
        <f t="shared" si="21"/>
        <v>0</v>
      </c>
      <c r="Y79" s="1312">
        <f t="shared" si="11"/>
        <v>-1</v>
      </c>
    </row>
    <row r="80" spans="3:25" x14ac:dyDescent="0.2">
      <c r="C80" s="1315">
        <f t="shared" si="16"/>
        <v>45</v>
      </c>
      <c r="D80" s="1316">
        <f t="shared" si="12"/>
        <v>47392</v>
      </c>
      <c r="E80" s="1318" cm="1">
        <f t="array" ref="E80">+IFERROR(LOOKUP(2,1/((C80&gt;=Mins2)*(C80&lt;=Maxs2)),Rates2),"N/A")</f>
        <v>0</v>
      </c>
      <c r="F80" s="1314">
        <v>0</v>
      </c>
      <c r="G80" s="1317" t="e">
        <f>+IF(T80=0,MIN($I$14-SUM($G$35:G79),$I$14/$D$19),0)</f>
        <v>#N/A</v>
      </c>
      <c r="H80" s="1317">
        <f t="shared" si="18"/>
        <v>0</v>
      </c>
      <c r="I80" s="1319" t="e">
        <f t="shared" si="13"/>
        <v>#N/A</v>
      </c>
      <c r="J80" s="1319" t="e">
        <f t="shared" si="6"/>
        <v>#N/A</v>
      </c>
      <c r="K80" s="1314" t="e">
        <f t="shared" si="20"/>
        <v>#N/A</v>
      </c>
      <c r="L80" s="1312" t="e">
        <f t="shared" si="8"/>
        <v>#N/A</v>
      </c>
      <c r="P80" s="1315">
        <f t="shared" si="17"/>
        <v>45</v>
      </c>
      <c r="Q80" s="1316">
        <f t="shared" si="14"/>
        <v>47392</v>
      </c>
      <c r="R80" s="1318" cm="1">
        <f t="array" ref="R80">+IFERROR(LOOKUP(2,1/((P80&gt;=Mins)*(P80&lt;=Maxs)),Rates),"N/A")</f>
        <v>0</v>
      </c>
      <c r="S80" s="1314">
        <v>0</v>
      </c>
      <c r="T80" s="1317">
        <f>+MIN($I$15-SUM($T$35:T79),$I$15/$D$18)</f>
        <v>0</v>
      </c>
      <c r="U80" s="1317">
        <f t="shared" si="19"/>
        <v>0</v>
      </c>
      <c r="V80" s="1319">
        <f t="shared" si="15"/>
        <v>0</v>
      </c>
      <c r="W80" s="1319">
        <f t="shared" si="9"/>
        <v>0</v>
      </c>
      <c r="X80" s="1314">
        <f t="shared" si="21"/>
        <v>0</v>
      </c>
      <c r="Y80" s="1312">
        <f t="shared" si="11"/>
        <v>-1</v>
      </c>
    </row>
    <row r="81" spans="3:25" x14ac:dyDescent="0.2">
      <c r="C81" s="1315">
        <f t="shared" si="16"/>
        <v>46</v>
      </c>
      <c r="D81" s="1316">
        <f t="shared" si="12"/>
        <v>47423</v>
      </c>
      <c r="E81" s="1318" cm="1">
        <f t="array" ref="E81">+IFERROR(LOOKUP(2,1/((C81&gt;=Mins2)*(C81&lt;=Maxs2)),Rates2),"N/A")</f>
        <v>0</v>
      </c>
      <c r="F81" s="1314">
        <v>0</v>
      </c>
      <c r="G81" s="1317" t="e">
        <f>+IF(T81=0,MIN($I$14-SUM($G$35:G80),$I$14/$D$19),0)</f>
        <v>#N/A</v>
      </c>
      <c r="H81" s="1317">
        <f t="shared" si="18"/>
        <v>0</v>
      </c>
      <c r="I81" s="1319" t="e">
        <f t="shared" si="13"/>
        <v>#N/A</v>
      </c>
      <c r="J81" s="1319" t="e">
        <f t="shared" si="6"/>
        <v>#N/A</v>
      </c>
      <c r="K81" s="1314" t="e">
        <f t="shared" si="20"/>
        <v>#N/A</v>
      </c>
      <c r="L81" s="1312" t="e">
        <f t="shared" si="8"/>
        <v>#N/A</v>
      </c>
      <c r="P81" s="1315">
        <f t="shared" si="17"/>
        <v>46</v>
      </c>
      <c r="Q81" s="1316">
        <f t="shared" si="14"/>
        <v>47423</v>
      </c>
      <c r="R81" s="1318" cm="1">
        <f t="array" ref="R81">+IFERROR(LOOKUP(2,1/((P81&gt;=Mins)*(P81&lt;=Maxs)),Rates),"N/A")</f>
        <v>0</v>
      </c>
      <c r="S81" s="1314">
        <v>0</v>
      </c>
      <c r="T81" s="1317">
        <f>+MIN($I$15-SUM($T$35:T80),$I$15/$D$18)</f>
        <v>0</v>
      </c>
      <c r="U81" s="1317">
        <f t="shared" si="19"/>
        <v>0</v>
      </c>
      <c r="V81" s="1319">
        <f t="shared" si="15"/>
        <v>0</v>
      </c>
      <c r="W81" s="1319">
        <f t="shared" si="9"/>
        <v>0</v>
      </c>
      <c r="X81" s="1314">
        <f t="shared" si="21"/>
        <v>0</v>
      </c>
      <c r="Y81" s="1312">
        <f t="shared" si="11"/>
        <v>-1</v>
      </c>
    </row>
    <row r="82" spans="3:25" x14ac:dyDescent="0.2">
      <c r="C82" s="1315">
        <f t="shared" si="16"/>
        <v>47</v>
      </c>
      <c r="D82" s="1316">
        <f t="shared" si="12"/>
        <v>47453</v>
      </c>
      <c r="E82" s="1318" cm="1">
        <f t="array" ref="E82">+IFERROR(LOOKUP(2,1/((C82&gt;=Mins2)*(C82&lt;=Maxs2)),Rates2),"N/A")</f>
        <v>0</v>
      </c>
      <c r="F82" s="1314">
        <v>0</v>
      </c>
      <c r="G82" s="1317" t="e">
        <f>+IF(T82=0,MIN($I$14-SUM($G$35:G81),$I$14/$D$19),0)</f>
        <v>#N/A</v>
      </c>
      <c r="H82" s="1317">
        <f t="shared" si="18"/>
        <v>0</v>
      </c>
      <c r="I82" s="1319" t="e">
        <f t="shared" si="13"/>
        <v>#N/A</v>
      </c>
      <c r="J82" s="1319" t="e">
        <f t="shared" si="6"/>
        <v>#N/A</v>
      </c>
      <c r="K82" s="1314" t="e">
        <f t="shared" si="20"/>
        <v>#N/A</v>
      </c>
      <c r="L82" s="1312" t="e">
        <f t="shared" si="8"/>
        <v>#N/A</v>
      </c>
      <c r="P82" s="1315">
        <f t="shared" si="17"/>
        <v>47</v>
      </c>
      <c r="Q82" s="1316">
        <f t="shared" si="14"/>
        <v>47453</v>
      </c>
      <c r="R82" s="1318" cm="1">
        <f t="array" ref="R82">+IFERROR(LOOKUP(2,1/((P82&gt;=Mins)*(P82&lt;=Maxs)),Rates),"N/A")</f>
        <v>0</v>
      </c>
      <c r="S82" s="1314">
        <v>0</v>
      </c>
      <c r="T82" s="1317">
        <f>+MIN($I$15-SUM($T$35:T81),$I$15/$D$18)</f>
        <v>0</v>
      </c>
      <c r="U82" s="1317">
        <f t="shared" si="19"/>
        <v>0</v>
      </c>
      <c r="V82" s="1319">
        <f t="shared" si="15"/>
        <v>0</v>
      </c>
      <c r="W82" s="1319">
        <f t="shared" si="9"/>
        <v>0</v>
      </c>
      <c r="X82" s="1314">
        <f t="shared" si="21"/>
        <v>0</v>
      </c>
      <c r="Y82" s="1312">
        <f t="shared" si="11"/>
        <v>-1</v>
      </c>
    </row>
    <row r="83" spans="3:25" x14ac:dyDescent="0.2">
      <c r="C83" s="1315">
        <f t="shared" si="16"/>
        <v>48</v>
      </c>
      <c r="D83" s="1316">
        <f t="shared" si="12"/>
        <v>47484</v>
      </c>
      <c r="E83" s="1318" cm="1">
        <f t="array" ref="E83">+IFERROR(LOOKUP(2,1/((C83&gt;=Mins2)*(C83&lt;=Maxs2)),Rates2),"N/A")</f>
        <v>0</v>
      </c>
      <c r="F83" s="1314">
        <v>0</v>
      </c>
      <c r="G83" s="1317" t="e">
        <f>+IF(T83=0,MIN($I$14-SUM($G$35:G82),$I$14/$D$19),0)</f>
        <v>#N/A</v>
      </c>
      <c r="H83" s="1317">
        <f t="shared" si="18"/>
        <v>0</v>
      </c>
      <c r="I83" s="1319" t="e">
        <f t="shared" si="13"/>
        <v>#N/A</v>
      </c>
      <c r="J83" s="1319" t="e">
        <f t="shared" si="6"/>
        <v>#N/A</v>
      </c>
      <c r="K83" s="1314" t="e">
        <f t="shared" si="20"/>
        <v>#N/A</v>
      </c>
      <c r="L83" s="1312" t="e">
        <f t="shared" si="8"/>
        <v>#N/A</v>
      </c>
      <c r="P83" s="1315">
        <f t="shared" si="17"/>
        <v>48</v>
      </c>
      <c r="Q83" s="1316">
        <f t="shared" si="14"/>
        <v>47484</v>
      </c>
      <c r="R83" s="1318" cm="1">
        <f t="array" ref="R83">+IFERROR(LOOKUP(2,1/((P83&gt;=Mins)*(P83&lt;=Maxs)),Rates),"N/A")</f>
        <v>0</v>
      </c>
      <c r="S83" s="1314">
        <v>0</v>
      </c>
      <c r="T83" s="1317">
        <f>+MIN($I$15-SUM($T$35:T82),$I$15/$D$18)</f>
        <v>0</v>
      </c>
      <c r="U83" s="1317">
        <f t="shared" si="19"/>
        <v>0</v>
      </c>
      <c r="V83" s="1319">
        <f t="shared" si="15"/>
        <v>0</v>
      </c>
      <c r="W83" s="1319">
        <f t="shared" si="9"/>
        <v>0</v>
      </c>
      <c r="X83" s="1314">
        <f t="shared" si="21"/>
        <v>0</v>
      </c>
      <c r="Y83" s="1312">
        <f t="shared" si="11"/>
        <v>-1</v>
      </c>
    </row>
    <row r="84" spans="3:25" x14ac:dyDescent="0.2">
      <c r="C84" s="1315">
        <f t="shared" si="16"/>
        <v>49</v>
      </c>
      <c r="D84" s="1316">
        <f t="shared" si="12"/>
        <v>47515</v>
      </c>
      <c r="E84" s="1318" cm="1">
        <f t="array" ref="E84">+IFERROR(LOOKUP(2,1/((C84&gt;=Mins2)*(C84&lt;=Maxs2)),Rates2),"N/A")</f>
        <v>0</v>
      </c>
      <c r="F84" s="1314">
        <v>0</v>
      </c>
      <c r="G84" s="1317" t="e">
        <f>+IF(T84=0,MIN($I$14-SUM($G$35:G83),$I$14/$D$19),0)</f>
        <v>#N/A</v>
      </c>
      <c r="H84" s="1317">
        <f t="shared" si="18"/>
        <v>0</v>
      </c>
      <c r="I84" s="1319" t="e">
        <f t="shared" si="13"/>
        <v>#N/A</v>
      </c>
      <c r="J84" s="1319" t="e">
        <f t="shared" si="6"/>
        <v>#N/A</v>
      </c>
      <c r="K84" s="1314" t="e">
        <f t="shared" si="20"/>
        <v>#N/A</v>
      </c>
      <c r="L84" s="1312" t="e">
        <f t="shared" si="8"/>
        <v>#N/A</v>
      </c>
      <c r="P84" s="1315">
        <f t="shared" si="17"/>
        <v>49</v>
      </c>
      <c r="Q84" s="1316">
        <f t="shared" si="14"/>
        <v>47515</v>
      </c>
      <c r="R84" s="1318" cm="1">
        <f t="array" ref="R84">+IFERROR(LOOKUP(2,1/((P84&gt;=Mins)*(P84&lt;=Maxs)),Rates),"N/A")</f>
        <v>0</v>
      </c>
      <c r="S84" s="1314">
        <v>0</v>
      </c>
      <c r="T84" s="1317">
        <f>+MIN($I$15-SUM($T$35:T83),$I$15/$D$18)</f>
        <v>0</v>
      </c>
      <c r="U84" s="1317">
        <f t="shared" si="19"/>
        <v>0</v>
      </c>
      <c r="V84" s="1319">
        <f t="shared" si="15"/>
        <v>0</v>
      </c>
      <c r="W84" s="1319">
        <f t="shared" si="9"/>
        <v>0</v>
      </c>
      <c r="X84" s="1314">
        <f t="shared" si="21"/>
        <v>0</v>
      </c>
      <c r="Y84" s="1312">
        <f t="shared" si="11"/>
        <v>-1</v>
      </c>
    </row>
    <row r="85" spans="3:25" x14ac:dyDescent="0.2">
      <c r="C85" s="1315">
        <f t="shared" si="16"/>
        <v>50</v>
      </c>
      <c r="D85" s="1316">
        <f t="shared" si="12"/>
        <v>47543</v>
      </c>
      <c r="E85" s="1318" cm="1">
        <f t="array" ref="E85">+IFERROR(LOOKUP(2,1/((C85&gt;=Mins2)*(C85&lt;=Maxs2)),Rates2),"N/A")</f>
        <v>0</v>
      </c>
      <c r="F85" s="1314">
        <v>0</v>
      </c>
      <c r="G85" s="1317" t="e">
        <f>+IF(T85=0,MIN($I$14-SUM($G$35:G84),$I$14/$D$19),0)</f>
        <v>#N/A</v>
      </c>
      <c r="H85" s="1317">
        <f t="shared" si="18"/>
        <v>0</v>
      </c>
      <c r="I85" s="1319" t="e">
        <f t="shared" si="13"/>
        <v>#N/A</v>
      </c>
      <c r="J85" s="1319" t="e">
        <f t="shared" si="6"/>
        <v>#N/A</v>
      </c>
      <c r="K85" s="1314" t="e">
        <f t="shared" si="20"/>
        <v>#N/A</v>
      </c>
      <c r="L85" s="1312" t="e">
        <f t="shared" si="8"/>
        <v>#N/A</v>
      </c>
      <c r="P85" s="1315">
        <f t="shared" si="17"/>
        <v>50</v>
      </c>
      <c r="Q85" s="1316">
        <f t="shared" si="14"/>
        <v>47543</v>
      </c>
      <c r="R85" s="1318" cm="1">
        <f t="array" ref="R85">+IFERROR(LOOKUP(2,1/((P85&gt;=Mins)*(P85&lt;=Maxs)),Rates),"N/A")</f>
        <v>0</v>
      </c>
      <c r="S85" s="1314">
        <v>0</v>
      </c>
      <c r="T85" s="1317">
        <f>+MIN($I$15-SUM($T$35:T84),$I$15/$D$18)</f>
        <v>0</v>
      </c>
      <c r="U85" s="1317">
        <f t="shared" si="19"/>
        <v>0</v>
      </c>
      <c r="V85" s="1319">
        <f t="shared" si="15"/>
        <v>0</v>
      </c>
      <c r="W85" s="1319">
        <f t="shared" si="9"/>
        <v>0</v>
      </c>
      <c r="X85" s="1314">
        <f t="shared" si="21"/>
        <v>0</v>
      </c>
      <c r="Y85" s="1312">
        <f t="shared" si="11"/>
        <v>-1</v>
      </c>
    </row>
    <row r="86" spans="3:25" x14ac:dyDescent="0.2">
      <c r="C86" s="1315">
        <f t="shared" si="16"/>
        <v>51</v>
      </c>
      <c r="D86" s="1316">
        <f t="shared" si="12"/>
        <v>47574</v>
      </c>
      <c r="E86" s="1318" cm="1">
        <f t="array" ref="E86">+IFERROR(LOOKUP(2,1/((C86&gt;=Mins2)*(C86&lt;=Maxs2)),Rates2),"N/A")</f>
        <v>0</v>
      </c>
      <c r="F86" s="1314">
        <v>0</v>
      </c>
      <c r="G86" s="1317" t="e">
        <f>+IF(T86=0,MIN($I$14-SUM($G$35:G85),$I$14/$D$19),0)</f>
        <v>#N/A</v>
      </c>
      <c r="H86" s="1317">
        <f t="shared" si="18"/>
        <v>0</v>
      </c>
      <c r="I86" s="1319" t="e">
        <f t="shared" si="13"/>
        <v>#N/A</v>
      </c>
      <c r="J86" s="1319" t="e">
        <f t="shared" si="6"/>
        <v>#N/A</v>
      </c>
      <c r="K86" s="1314" t="e">
        <f t="shared" si="20"/>
        <v>#N/A</v>
      </c>
      <c r="L86" s="1312" t="e">
        <f t="shared" si="8"/>
        <v>#N/A</v>
      </c>
      <c r="P86" s="1315">
        <f t="shared" si="17"/>
        <v>51</v>
      </c>
      <c r="Q86" s="1316">
        <f t="shared" si="14"/>
        <v>47574</v>
      </c>
      <c r="R86" s="1318" cm="1">
        <f t="array" ref="R86">+IFERROR(LOOKUP(2,1/((P86&gt;=Mins)*(P86&lt;=Maxs)),Rates),"N/A")</f>
        <v>0</v>
      </c>
      <c r="S86" s="1314">
        <v>0</v>
      </c>
      <c r="T86" s="1317">
        <f>+MIN($I$15-SUM($T$35:T85),$I$15/$D$18)</f>
        <v>0</v>
      </c>
      <c r="U86" s="1317">
        <f t="shared" si="19"/>
        <v>0</v>
      </c>
      <c r="V86" s="1319">
        <f t="shared" si="15"/>
        <v>0</v>
      </c>
      <c r="W86" s="1319">
        <f t="shared" si="9"/>
        <v>0</v>
      </c>
      <c r="X86" s="1314">
        <f t="shared" si="21"/>
        <v>0</v>
      </c>
      <c r="Y86" s="1312">
        <f t="shared" si="11"/>
        <v>-1</v>
      </c>
    </row>
    <row r="87" spans="3:25" x14ac:dyDescent="0.2">
      <c r="C87" s="1315">
        <f t="shared" si="16"/>
        <v>52</v>
      </c>
      <c r="D87" s="1321">
        <f t="shared" si="12"/>
        <v>47604</v>
      </c>
      <c r="E87" s="1318" cm="1">
        <f t="array" ref="E87">+IFERROR(LOOKUP(2,1/((C87&gt;=Mins2)*(C87&lt;=Maxs2)),Rates2),"N/A")</f>
        <v>0</v>
      </c>
      <c r="F87" s="1322">
        <v>0</v>
      </c>
      <c r="G87" s="1323" t="e">
        <f>+IF(T87=0,MIN($I$14-SUM($G$35:G86),$I$14/$D$19),0)</f>
        <v>#N/A</v>
      </c>
      <c r="H87" s="1323">
        <f t="shared" si="18"/>
        <v>0</v>
      </c>
      <c r="I87" s="1324" t="e">
        <f t="shared" si="13"/>
        <v>#N/A</v>
      </c>
      <c r="J87" s="1324" t="e">
        <f t="shared" si="6"/>
        <v>#N/A</v>
      </c>
      <c r="K87" s="1322" t="e">
        <f t="shared" si="20"/>
        <v>#N/A</v>
      </c>
      <c r="L87" s="1325" t="e">
        <f t="shared" si="8"/>
        <v>#N/A</v>
      </c>
      <c r="N87" s="1326"/>
      <c r="P87" s="1315">
        <f t="shared" si="17"/>
        <v>52</v>
      </c>
      <c r="Q87" s="1321">
        <f t="shared" si="14"/>
        <v>47604</v>
      </c>
      <c r="R87" s="1318" cm="1">
        <f t="array" ref="R87">+IFERROR(LOOKUP(2,1/((P87&gt;=Mins)*(P87&lt;=Maxs)),Rates),"N/A")</f>
        <v>0</v>
      </c>
      <c r="S87" s="1322">
        <v>0</v>
      </c>
      <c r="T87" s="1323">
        <f>+MIN($I$15-SUM($T$35:T86),$I$15/$D$18)</f>
        <v>0</v>
      </c>
      <c r="U87" s="1323">
        <f t="shared" si="19"/>
        <v>0</v>
      </c>
      <c r="V87" s="1324">
        <f t="shared" si="15"/>
        <v>0</v>
      </c>
      <c r="W87" s="1324">
        <f t="shared" si="9"/>
        <v>0</v>
      </c>
      <c r="X87" s="1322">
        <f t="shared" si="21"/>
        <v>0</v>
      </c>
      <c r="Y87" s="1325">
        <f t="shared" si="11"/>
        <v>-1</v>
      </c>
    </row>
    <row r="88" spans="3:25" x14ac:dyDescent="0.2">
      <c r="C88" s="1327"/>
      <c r="F88" s="1326" t="e">
        <f t="shared" ref="F88:K88" si="22">SUM(F35:F87)</f>
        <v>#N/A</v>
      </c>
      <c r="G88" s="1326" t="e">
        <f t="shared" si="22"/>
        <v>#N/A</v>
      </c>
      <c r="H88" s="1326">
        <f t="shared" si="22"/>
        <v>1</v>
      </c>
      <c r="I88" s="1326" t="e">
        <f t="shared" si="22"/>
        <v>#N/A</v>
      </c>
      <c r="J88" s="1326" t="e">
        <f t="shared" si="22"/>
        <v>#N/A</v>
      </c>
      <c r="K88" s="1326" t="e">
        <f t="shared" si="22"/>
        <v>#N/A</v>
      </c>
      <c r="P88" s="1327"/>
      <c r="S88" s="1326">
        <f t="shared" ref="S88:X88" si="23">SUM(S35:S87)</f>
        <v>0</v>
      </c>
      <c r="T88" s="1326">
        <f t="shared" si="23"/>
        <v>0</v>
      </c>
      <c r="U88" s="1326">
        <f t="shared" si="23"/>
        <v>1</v>
      </c>
      <c r="V88" s="1326">
        <f t="shared" si="23"/>
        <v>0</v>
      </c>
      <c r="W88" s="1326">
        <f t="shared" si="23"/>
        <v>0</v>
      </c>
      <c r="X88" s="1326">
        <f t="shared" si="23"/>
        <v>0</v>
      </c>
    </row>
    <row r="90" spans="3:25" x14ac:dyDescent="0.2">
      <c r="C90" s="1305"/>
      <c r="F90" s="1328" t="s">
        <v>752</v>
      </c>
      <c r="G90" s="1329" t="e">
        <f>+G88+K88-H88</f>
        <v>#N/A</v>
      </c>
      <c r="M90" s="1329"/>
      <c r="O90" s="1326"/>
      <c r="P90" s="1305"/>
      <c r="S90" s="1328" t="s">
        <v>752</v>
      </c>
      <c r="T90" s="1329">
        <f>+T88+X88-U88</f>
        <v>-1</v>
      </c>
    </row>
    <row r="91" spans="3:25" x14ac:dyDescent="0.2">
      <c r="H91" s="1330"/>
      <c r="I91" s="1326"/>
      <c r="M91" s="1330"/>
      <c r="O91" s="1330"/>
      <c r="U91" s="1330"/>
      <c r="V91" s="1326"/>
    </row>
    <row r="92" spans="3:25" x14ac:dyDescent="0.2">
      <c r="F92" s="1328" t="s">
        <v>753</v>
      </c>
      <c r="G92" s="1331"/>
      <c r="H92" s="1329" t="e">
        <f>+G88+K88</f>
        <v>#N/A</v>
      </c>
      <c r="I92" s="1331" t="str">
        <f>IFERROR(IF(H92&gt;G24, "!! Advances Exceed Loan !!","Okay"),"N/A")</f>
        <v>N/A</v>
      </c>
      <c r="J92" s="1331"/>
      <c r="S92" s="1328" t="s">
        <v>753</v>
      </c>
      <c r="T92" s="1331"/>
      <c r="U92" s="1329">
        <f>+T88+X88</f>
        <v>0</v>
      </c>
      <c r="V92" s="1331" t="str">
        <f>IFERROR(IF(U92&gt;T24, "!! Advances Exceed Loan !!","Okay"),"N/A")</f>
        <v>Okay</v>
      </c>
      <c r="W92" s="1331"/>
    </row>
  </sheetData>
  <mergeCells count="4">
    <mergeCell ref="P7:V7"/>
    <mergeCell ref="C7:I7"/>
    <mergeCell ref="P13:Q13"/>
    <mergeCell ref="C13:D13"/>
  </mergeCells>
  <dataValidations disablePrompts="1" count="1">
    <dataValidation type="list" allowBlank="1" showInputMessage="1" showErrorMessage="1" sqref="Q16 D16" xr:uid="{A98788C6-B042-4B1B-8155-9830CFC7CAD3}">
      <formula1>"Capitalized, Paid Current"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Button 1">
              <controlPr defaultSize="0" print="0" autoFill="0" autoPict="0" macro="[0]!Run_Interest_Reserve">
                <anchor moveWithCells="1" sizeWithCells="1">
                  <from>
                    <xdr:col>6</xdr:col>
                    <xdr:colOff>838200</xdr:colOff>
                    <xdr:row>16</xdr:row>
                    <xdr:rowOff>123825</xdr:rowOff>
                  </from>
                  <to>
                    <xdr:col>8</xdr:col>
                    <xdr:colOff>9525</xdr:colOff>
                    <xdr:row>18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C802-A667-4A64-A42B-8CBDA7E015B1}">
  <dimension ref="C2:AC94"/>
  <sheetViews>
    <sheetView showGridLines="0" topLeftCell="B1" zoomScale="85" zoomScaleNormal="85" workbookViewId="0">
      <selection activeCell="B1" sqref="B1"/>
    </sheetView>
  </sheetViews>
  <sheetFormatPr defaultColWidth="10.42578125" defaultRowHeight="12.75" x14ac:dyDescent="0.2"/>
  <cols>
    <col min="1" max="1" width="0" style="1284" hidden="1" customWidth="1"/>
    <col min="2" max="2" width="3.28515625" style="1284" customWidth="1"/>
    <col min="3" max="3" width="21.7109375" style="1284" customWidth="1"/>
    <col min="4" max="4" width="13.85546875" style="1284" customWidth="1"/>
    <col min="5" max="5" width="16.140625" style="1284" customWidth="1"/>
    <col min="6" max="6" width="15.5703125" style="1284" customWidth="1"/>
    <col min="7" max="7" width="13" style="1284" customWidth="1"/>
    <col min="8" max="8" width="14.28515625" style="1284" bestFit="1" customWidth="1"/>
    <col min="9" max="9" width="12.7109375" style="1284" customWidth="1"/>
    <col min="10" max="10" width="12.140625" style="1284" customWidth="1"/>
    <col min="11" max="11" width="13.7109375" style="1284" customWidth="1"/>
    <col min="12" max="12" width="13.42578125" style="1284" customWidth="1"/>
    <col min="13" max="13" width="11.7109375" style="1284" bestFit="1" customWidth="1"/>
    <col min="14" max="14" width="13.140625" style="1284" customWidth="1"/>
    <col min="15" max="16" width="12.140625" style="1284" customWidth="1"/>
    <col min="17" max="17" width="13" style="1284" customWidth="1"/>
    <col min="18" max="21" width="12.140625" style="1284" customWidth="1"/>
    <col min="22" max="22" width="4.42578125" style="1284" customWidth="1"/>
    <col min="23" max="30" width="12.140625" style="1284" customWidth="1"/>
    <col min="31" max="31" width="10.42578125" style="1284"/>
    <col min="32" max="32" width="11" style="1284" customWidth="1"/>
    <col min="33" max="16384" width="10.42578125" style="1284"/>
  </cols>
  <sheetData>
    <row r="2" spans="3:14" ht="12.75" customHeight="1" x14ac:dyDescent="0.2">
      <c r="C2" s="1332" t="s">
        <v>766</v>
      </c>
      <c r="D2" s="1333"/>
      <c r="E2" s="1333" t="s">
        <v>754</v>
      </c>
      <c r="F2" s="1333"/>
      <c r="G2" s="1333"/>
      <c r="H2" s="1333"/>
      <c r="I2" s="1333"/>
      <c r="J2" s="1333"/>
      <c r="K2" s="1333"/>
      <c r="L2" s="1333"/>
    </row>
    <row r="3" spans="3:14" x14ac:dyDescent="0.2">
      <c r="C3" s="1334" t="s">
        <v>755</v>
      </c>
      <c r="D3" s="1335"/>
      <c r="E3" s="1335"/>
      <c r="F3" s="1335"/>
      <c r="G3" s="1335"/>
      <c r="H3" s="1335"/>
      <c r="I3" s="1335"/>
      <c r="J3" s="1335"/>
      <c r="K3" s="1335"/>
      <c r="L3" s="1335"/>
    </row>
    <row r="4" spans="3:14" x14ac:dyDescent="0.2">
      <c r="C4" s="1403" t="s">
        <v>720</v>
      </c>
      <c r="D4" s="1242" t="s">
        <v>765</v>
      </c>
    </row>
    <row r="5" spans="3:14" x14ac:dyDescent="0.2">
      <c r="C5" s="1403" t="s">
        <v>721</v>
      </c>
      <c r="D5" s="1242" t="s">
        <v>722</v>
      </c>
    </row>
    <row r="7" spans="3:14" x14ac:dyDescent="0.2">
      <c r="C7" s="1620" t="s">
        <v>723</v>
      </c>
      <c r="D7" s="1621"/>
      <c r="E7" s="1621"/>
      <c r="F7" s="1621"/>
      <c r="G7" s="1621"/>
      <c r="H7" s="1621"/>
      <c r="I7" s="1622"/>
    </row>
    <row r="8" spans="3:14" x14ac:dyDescent="0.2">
      <c r="C8" s="1336" t="s">
        <v>7</v>
      </c>
      <c r="D8" s="1337" t="s">
        <v>720</v>
      </c>
      <c r="E8" s="1338" t="s">
        <v>63</v>
      </c>
      <c r="F8" s="1339" t="s">
        <v>114</v>
      </c>
      <c r="G8" s="1338" t="s">
        <v>146</v>
      </c>
      <c r="H8" s="1340" t="s">
        <v>724</v>
      </c>
      <c r="I8" s="1339" t="s">
        <v>725</v>
      </c>
    </row>
    <row r="9" spans="3:14" x14ac:dyDescent="0.2">
      <c r="C9" s="1341" t="s">
        <v>756</v>
      </c>
      <c r="D9" s="1342">
        <f>E9/$E$11</f>
        <v>0.7</v>
      </c>
      <c r="E9" s="1412">
        <v>70000000</v>
      </c>
      <c r="F9" s="1414">
        <v>8.9499999999999996E-2</v>
      </c>
      <c r="G9" s="1414">
        <v>0.01</v>
      </c>
      <c r="H9" s="1343">
        <f>G9*E9</f>
        <v>700000</v>
      </c>
      <c r="I9" s="1344">
        <f>F9-$D$14</f>
        <v>3.9999999999999994E-2</v>
      </c>
    </row>
    <row r="10" spans="3:14" x14ac:dyDescent="0.2">
      <c r="C10" s="1345" t="s">
        <v>757</v>
      </c>
      <c r="D10" s="1346">
        <f>E10/$E$11</f>
        <v>0.3</v>
      </c>
      <c r="E10" s="1413">
        <v>30000000</v>
      </c>
      <c r="F10" s="1347">
        <f>(E11*F11-E9*F9)/E10</f>
        <v>0.1295</v>
      </c>
      <c r="G10" s="1348">
        <f>(G11*E11-E9*G9)/E10</f>
        <v>1.4999999999999999E-2</v>
      </c>
      <c r="H10" s="1349">
        <f>G10*E10</f>
        <v>450000</v>
      </c>
      <c r="I10" s="1344">
        <f>F10-$D$14</f>
        <v>0.08</v>
      </c>
    </row>
    <row r="11" spans="3:14" x14ac:dyDescent="0.2">
      <c r="C11" s="1350" t="s">
        <v>726</v>
      </c>
      <c r="D11" s="1351">
        <f>E11/$E$11</f>
        <v>1</v>
      </c>
      <c r="E11" s="1352">
        <f>SUM(E9:E10)</f>
        <v>100000000</v>
      </c>
      <c r="F11" s="1403">
        <v>0.10150000000000001</v>
      </c>
      <c r="G11" s="1404">
        <v>1.15E-2</v>
      </c>
      <c r="H11" s="1250">
        <f>G11*E11</f>
        <v>1150000</v>
      </c>
      <c r="I11" s="1251">
        <f>F11-$D$14</f>
        <v>5.2000000000000005E-2</v>
      </c>
    </row>
    <row r="12" spans="3:14" x14ac:dyDescent="0.2">
      <c r="C12" s="1254"/>
      <c r="D12" s="1254"/>
      <c r="E12" s="1254"/>
      <c r="F12" s="1254"/>
      <c r="G12" s="1254"/>
      <c r="I12" s="1254"/>
      <c r="K12" s="1254"/>
    </row>
    <row r="13" spans="3:14" x14ac:dyDescent="0.2">
      <c r="C13" s="1620" t="s">
        <v>727</v>
      </c>
      <c r="D13" s="1622"/>
      <c r="E13" s="1254"/>
      <c r="F13" s="1353"/>
      <c r="G13" s="1354" t="s">
        <v>177</v>
      </c>
      <c r="H13" s="1355" t="s">
        <v>155</v>
      </c>
      <c r="I13" s="1354" t="s">
        <v>170</v>
      </c>
      <c r="J13" s="1356" t="s">
        <v>728</v>
      </c>
      <c r="K13" s="1259" t="s">
        <v>729</v>
      </c>
      <c r="L13" s="1260" t="s">
        <v>730</v>
      </c>
      <c r="M13" s="1261" t="s">
        <v>731</v>
      </c>
    </row>
    <row r="14" spans="3:14" x14ac:dyDescent="0.2">
      <c r="C14" s="1262" t="s">
        <v>145</v>
      </c>
      <c r="D14" s="1408">
        <f>Economics!$AI$45</f>
        <v>4.9500000000000002E-2</v>
      </c>
      <c r="F14" s="1357" t="str">
        <f>+C9</f>
        <v>A-Note</v>
      </c>
      <c r="G14" s="1264">
        <f>+E9</f>
        <v>70000000</v>
      </c>
      <c r="H14" s="1265">
        <v>10000000</v>
      </c>
      <c r="I14" s="1264">
        <f>+G14-H14</f>
        <v>60000000</v>
      </c>
      <c r="J14" s="1266">
        <f>+I14/$I$16</f>
        <v>0.70588235294117652</v>
      </c>
      <c r="K14" s="1264" t="e">
        <f>T88</f>
        <v>#DIV/0!</v>
      </c>
      <c r="L14" s="1267" t="e">
        <f>R92</f>
        <v>#DIV/0!</v>
      </c>
      <c r="M14" s="1268" t="e">
        <f>+H14-K14</f>
        <v>#DIV/0!</v>
      </c>
    </row>
    <row r="15" spans="3:14" x14ac:dyDescent="0.2">
      <c r="C15" s="1262" t="s">
        <v>732</v>
      </c>
      <c r="D15" s="1415">
        <v>46023</v>
      </c>
      <c r="F15" s="1358" t="str">
        <f>+C10</f>
        <v>B-Note</v>
      </c>
      <c r="G15" s="1271">
        <f>+E10</f>
        <v>30000000</v>
      </c>
      <c r="H15" s="1272">
        <v>5000000</v>
      </c>
      <c r="I15" s="1271">
        <f>+G15-H15</f>
        <v>25000000</v>
      </c>
      <c r="J15" s="1273">
        <f>+I15/$I$16</f>
        <v>0.29411764705882354</v>
      </c>
      <c r="K15" s="1274" t="e">
        <f>AB88</f>
        <v>#DIV/0!</v>
      </c>
      <c r="L15" s="1275" t="e">
        <f>Z92</f>
        <v>#DIV/0!</v>
      </c>
      <c r="M15" s="1276" t="e">
        <f>+H15-K15</f>
        <v>#DIV/0!</v>
      </c>
    </row>
    <row r="16" spans="3:14" x14ac:dyDescent="0.2">
      <c r="C16" s="1262" t="s">
        <v>733</v>
      </c>
      <c r="D16" s="1277" t="s">
        <v>734</v>
      </c>
      <c r="F16" s="1358" t="str">
        <f>+C11</f>
        <v>First Mortgage</v>
      </c>
      <c r="G16" s="1271">
        <f>SUM(G14:G15)</f>
        <v>100000000</v>
      </c>
      <c r="H16" s="1271">
        <f>SUM(H14:H15)</f>
        <v>15000000</v>
      </c>
      <c r="I16" s="1271">
        <f>SUM(I14:I15)</f>
        <v>85000000</v>
      </c>
      <c r="J16" s="1273">
        <f>SUM(J14:J15)</f>
        <v>1</v>
      </c>
      <c r="K16" s="1359" t="e">
        <f>SUM(K14:K15)</f>
        <v>#DIV/0!</v>
      </c>
      <c r="L16" s="1360" t="e">
        <f>I92</f>
        <v>#DIV/0!</v>
      </c>
      <c r="M16" s="1361" t="e">
        <f>+H16-K16</f>
        <v>#DIV/0!</v>
      </c>
      <c r="N16" s="1254" t="s">
        <v>735</v>
      </c>
    </row>
    <row r="17" spans="3:29" x14ac:dyDescent="0.2">
      <c r="C17" s="1282" t="s">
        <v>19</v>
      </c>
      <c r="D17" s="1283" t="s">
        <v>736</v>
      </c>
      <c r="F17" s="1254"/>
      <c r="G17" s="1254"/>
      <c r="H17" s="1254"/>
      <c r="J17" s="1254"/>
      <c r="K17" s="1254"/>
    </row>
    <row r="18" spans="3:29" x14ac:dyDescent="0.2">
      <c r="C18" s="1284" t="s">
        <v>758</v>
      </c>
      <c r="D18" s="1285">
        <f>D19</f>
        <v>0</v>
      </c>
      <c r="E18" s="1254"/>
      <c r="F18" s="1254"/>
      <c r="G18" s="1254"/>
      <c r="H18" s="1254"/>
      <c r="I18" s="1286" t="s">
        <v>738</v>
      </c>
      <c r="J18" s="1254"/>
      <c r="K18" s="1254"/>
    </row>
    <row r="19" spans="3:29" x14ac:dyDescent="0.2">
      <c r="C19" s="1284" t="s">
        <v>18</v>
      </c>
      <c r="D19" s="1287">
        <f>Economics!$I$65*12</f>
        <v>0</v>
      </c>
      <c r="G19" s="1254"/>
      <c r="H19" s="1254"/>
      <c r="I19" s="1254"/>
      <c r="J19" s="1254"/>
      <c r="K19" s="1254"/>
      <c r="L19" s="1254"/>
    </row>
    <row r="20" spans="3:29" ht="13.5" thickBot="1" x14ac:dyDescent="0.25">
      <c r="G20" s="1362"/>
      <c r="H20" s="1362"/>
    </row>
    <row r="21" spans="3:29" ht="13.5" thickBot="1" x14ac:dyDescent="0.25">
      <c r="F21" s="1363" t="s">
        <v>726</v>
      </c>
      <c r="G21" s="1364"/>
      <c r="H21" s="1364"/>
      <c r="I21" s="1364"/>
      <c r="J21" s="1364"/>
      <c r="K21" s="1364"/>
      <c r="L21" s="1365"/>
      <c r="N21" s="1363" t="s">
        <v>756</v>
      </c>
      <c r="O21" s="1364"/>
      <c r="P21" s="1364"/>
      <c r="Q21" s="1364"/>
      <c r="R21" s="1364"/>
      <c r="S21" s="1364"/>
      <c r="T21" s="1364"/>
      <c r="U21" s="1365"/>
      <c r="W21" s="1363" t="s">
        <v>757</v>
      </c>
      <c r="X21" s="1364"/>
      <c r="Y21" s="1364"/>
      <c r="Z21" s="1364"/>
      <c r="AA21" s="1364"/>
      <c r="AB21" s="1364"/>
      <c r="AC21" s="1365"/>
    </row>
    <row r="23" spans="3:29" ht="15.75" thickBot="1" x14ac:dyDescent="0.4">
      <c r="C23" s="1362"/>
      <c r="F23" s="1366" t="s">
        <v>146</v>
      </c>
      <c r="G23" s="1367" t="s">
        <v>126</v>
      </c>
      <c r="H23" s="1294" t="s">
        <v>740</v>
      </c>
      <c r="I23" s="1368" t="s">
        <v>741</v>
      </c>
      <c r="J23" s="1366" t="s">
        <v>309</v>
      </c>
      <c r="K23" s="1366" t="s">
        <v>742</v>
      </c>
      <c r="O23" s="1366" t="s">
        <v>146</v>
      </c>
      <c r="P23" s="1367" t="s">
        <v>126</v>
      </c>
      <c r="Q23" s="1294" t="s">
        <v>740</v>
      </c>
      <c r="R23" s="1368" t="s">
        <v>741</v>
      </c>
      <c r="S23" s="1366" t="s">
        <v>114</v>
      </c>
      <c r="T23" s="1366" t="s">
        <v>742</v>
      </c>
      <c r="W23" s="1366" t="s">
        <v>146</v>
      </c>
      <c r="X23" s="1367" t="s">
        <v>126</v>
      </c>
      <c r="Z23" s="1366" t="s">
        <v>114</v>
      </c>
      <c r="AA23" s="1369"/>
      <c r="AB23" s="1362"/>
    </row>
    <row r="24" spans="3:29" ht="13.5" thickBot="1" x14ac:dyDescent="0.25">
      <c r="C24" s="1362"/>
      <c r="E24" s="1370" t="s">
        <v>743</v>
      </c>
      <c r="F24" s="1297">
        <f>G11</f>
        <v>1.15E-2</v>
      </c>
      <c r="G24" s="1298">
        <f>E11</f>
        <v>100000000</v>
      </c>
      <c r="H24" s="1371">
        <v>0</v>
      </c>
      <c r="I24" s="1372">
        <v>3</v>
      </c>
      <c r="J24" s="1301">
        <f>+F11+K24</f>
        <v>0.10150000000000001</v>
      </c>
      <c r="K24" s="1373">
        <v>0</v>
      </c>
      <c r="O24" s="1297">
        <f>G9</f>
        <v>0.01</v>
      </c>
      <c r="P24" s="1298">
        <f>E9</f>
        <v>70000000</v>
      </c>
      <c r="Q24" s="1284">
        <f t="shared" ref="Q24:R29" si="0">H24</f>
        <v>0</v>
      </c>
      <c r="R24" s="1374">
        <f t="shared" si="0"/>
        <v>3</v>
      </c>
      <c r="S24" s="1301">
        <f>F9+T24</f>
        <v>8.9499999999999996E-2</v>
      </c>
      <c r="T24" s="1375">
        <f t="shared" ref="T24:T29" si="1">+K24</f>
        <v>0</v>
      </c>
      <c r="W24" s="1297" t="s">
        <v>759</v>
      </c>
      <c r="X24" s="1298">
        <f>'Int Reserve - A-B Loan'!G24-'Int Reserve - A-B Loan'!P24</f>
        <v>30000000</v>
      </c>
      <c r="Z24" s="1297" t="s">
        <v>759</v>
      </c>
      <c r="AA24" s="1369"/>
      <c r="AB24" s="1362"/>
    </row>
    <row r="25" spans="3:29" ht="13.5" thickBot="1" x14ac:dyDescent="0.25">
      <c r="C25" s="1362"/>
      <c r="D25" s="1362"/>
      <c r="F25" s="1362"/>
      <c r="G25" s="1362"/>
      <c r="H25" s="1371">
        <v>4</v>
      </c>
      <c r="I25" s="1372">
        <v>6</v>
      </c>
      <c r="J25" s="1301">
        <f>+J24+K25</f>
        <v>0.10150000000000001</v>
      </c>
      <c r="K25" s="1373">
        <v>0</v>
      </c>
      <c r="L25" s="1362"/>
      <c r="O25" s="1362"/>
      <c r="P25" s="1362"/>
      <c r="Q25" s="1376">
        <f t="shared" si="0"/>
        <v>4</v>
      </c>
      <c r="R25" s="1377">
        <f t="shared" si="0"/>
        <v>6</v>
      </c>
      <c r="S25" s="1301">
        <f>+S24+T25</f>
        <v>8.9499999999999996E-2</v>
      </c>
      <c r="T25" s="1375">
        <f t="shared" si="1"/>
        <v>0</v>
      </c>
      <c r="U25" s="1362"/>
      <c r="W25" s="1362"/>
      <c r="X25" s="1362"/>
      <c r="Y25" s="1362"/>
      <c r="Z25" s="1362"/>
      <c r="AA25" s="1362"/>
      <c r="AB25" s="1362"/>
      <c r="AC25" s="1362"/>
    </row>
    <row r="26" spans="3:29" ht="13.5" thickBot="1" x14ac:dyDescent="0.25">
      <c r="C26" s="1362"/>
      <c r="D26" s="1362"/>
      <c r="F26" s="1362"/>
      <c r="G26" s="1362"/>
      <c r="H26" s="1371">
        <v>7</v>
      </c>
      <c r="I26" s="1372">
        <v>9</v>
      </c>
      <c r="J26" s="1301">
        <f>+J25+K26</f>
        <v>0.10150000000000001</v>
      </c>
      <c r="K26" s="1373">
        <v>0</v>
      </c>
      <c r="L26" s="1362"/>
      <c r="O26" s="1362"/>
      <c r="P26" s="1362"/>
      <c r="Q26" s="1376">
        <f t="shared" si="0"/>
        <v>7</v>
      </c>
      <c r="R26" s="1377">
        <f t="shared" si="0"/>
        <v>9</v>
      </c>
      <c r="S26" s="1301">
        <f t="shared" ref="S26:S29" si="2">+S25+T26</f>
        <v>8.9499999999999996E-2</v>
      </c>
      <c r="T26" s="1375">
        <f t="shared" si="1"/>
        <v>0</v>
      </c>
      <c r="U26" s="1362"/>
      <c r="V26" s="1362"/>
      <c r="W26" s="1362"/>
      <c r="X26" s="1362"/>
      <c r="Y26" s="1362"/>
      <c r="Z26" s="1362"/>
      <c r="AA26" s="1362"/>
      <c r="AB26" s="1362"/>
      <c r="AC26" s="1362"/>
    </row>
    <row r="27" spans="3:29" ht="13.5" thickBot="1" x14ac:dyDescent="0.25">
      <c r="H27" s="1371">
        <v>10</v>
      </c>
      <c r="I27" s="1372">
        <v>12</v>
      </c>
      <c r="J27" s="1301">
        <f>+J26+K27</f>
        <v>0.10150000000000001</v>
      </c>
      <c r="K27" s="1373">
        <v>0</v>
      </c>
      <c r="Q27" s="1284">
        <f t="shared" si="0"/>
        <v>10</v>
      </c>
      <c r="R27" s="1374">
        <f t="shared" si="0"/>
        <v>12</v>
      </c>
      <c r="S27" s="1301">
        <f t="shared" si="2"/>
        <v>8.9499999999999996E-2</v>
      </c>
      <c r="T27" s="1375">
        <f t="shared" si="1"/>
        <v>0</v>
      </c>
    </row>
    <row r="28" spans="3:29" ht="13.5" thickBot="1" x14ac:dyDescent="0.25">
      <c r="H28" s="1371">
        <v>13</v>
      </c>
      <c r="I28" s="1372">
        <v>15</v>
      </c>
      <c r="J28" s="1301">
        <f>+J27+K28</f>
        <v>0.10150000000000001</v>
      </c>
      <c r="K28" s="1373">
        <v>0</v>
      </c>
      <c r="Q28" s="1284">
        <f t="shared" si="0"/>
        <v>13</v>
      </c>
      <c r="R28" s="1374">
        <f t="shared" si="0"/>
        <v>15</v>
      </c>
      <c r="S28" s="1301">
        <f t="shared" si="2"/>
        <v>8.9499999999999996E-2</v>
      </c>
      <c r="T28" s="1375">
        <f t="shared" si="1"/>
        <v>0</v>
      </c>
    </row>
    <row r="29" spans="3:29" ht="13.5" thickBot="1" x14ac:dyDescent="0.25">
      <c r="H29" s="1371">
        <v>16</v>
      </c>
      <c r="I29" s="1372">
        <v>52</v>
      </c>
      <c r="J29" s="1301">
        <f>+J28+K29</f>
        <v>0.10150000000000001</v>
      </c>
      <c r="K29" s="1373">
        <v>0</v>
      </c>
      <c r="Q29" s="1284">
        <f t="shared" si="0"/>
        <v>16</v>
      </c>
      <c r="R29" s="1377">
        <f t="shared" si="0"/>
        <v>52</v>
      </c>
      <c r="S29" s="1301">
        <f t="shared" si="2"/>
        <v>8.9499999999999996E-2</v>
      </c>
      <c r="T29" s="1375">
        <f t="shared" si="1"/>
        <v>0</v>
      </c>
    </row>
    <row r="31" spans="3:29" x14ac:dyDescent="0.2">
      <c r="J31" s="1304" t="s">
        <v>315</v>
      </c>
      <c r="K31" s="1304" t="s">
        <v>315</v>
      </c>
      <c r="O31" s="1378"/>
      <c r="S31" s="1304" t="s">
        <v>315</v>
      </c>
      <c r="T31" s="1304" t="s">
        <v>315</v>
      </c>
      <c r="W31" s="1378"/>
      <c r="AA31" s="1304" t="s">
        <v>315</v>
      </c>
      <c r="AB31" s="1304" t="s">
        <v>315</v>
      </c>
    </row>
    <row r="32" spans="3:29" x14ac:dyDescent="0.2">
      <c r="F32" s="1305" t="s">
        <v>132</v>
      </c>
      <c r="G32" s="1305" t="s">
        <v>16</v>
      </c>
      <c r="H32" s="1305" t="s">
        <v>16</v>
      </c>
      <c r="I32" s="1305" t="s">
        <v>16</v>
      </c>
      <c r="J32" s="1304" t="s">
        <v>744</v>
      </c>
      <c r="K32" s="1304" t="s">
        <v>734</v>
      </c>
      <c r="L32" s="1305" t="s">
        <v>16</v>
      </c>
      <c r="O32" s="1305" t="s">
        <v>132</v>
      </c>
      <c r="P32" s="1305" t="s">
        <v>16</v>
      </c>
      <c r="Q32" s="1305" t="s">
        <v>16</v>
      </c>
      <c r="R32" s="1305" t="s">
        <v>16</v>
      </c>
      <c r="S32" s="1304" t="s">
        <v>744</v>
      </c>
      <c r="T32" s="1304" t="s">
        <v>734</v>
      </c>
      <c r="U32" s="1305" t="s">
        <v>16</v>
      </c>
      <c r="W32" s="1305" t="s">
        <v>132</v>
      </c>
      <c r="X32" s="1305" t="s">
        <v>16</v>
      </c>
      <c r="Y32" s="1305" t="s">
        <v>16</v>
      </c>
      <c r="Z32" s="1305" t="s">
        <v>16</v>
      </c>
      <c r="AA32" s="1304" t="s">
        <v>744</v>
      </c>
      <c r="AB32" s="1304" t="s">
        <v>734</v>
      </c>
      <c r="AC32" s="1305" t="s">
        <v>16</v>
      </c>
    </row>
    <row r="33" spans="3:29" ht="13.5" thickBot="1" x14ac:dyDescent="0.25">
      <c r="C33" s="1306" t="s">
        <v>745</v>
      </c>
      <c r="D33" s="1307" t="s">
        <v>469</v>
      </c>
      <c r="E33" s="1374" t="s">
        <v>746</v>
      </c>
      <c r="F33" s="1307" t="s">
        <v>146</v>
      </c>
      <c r="G33" s="1307" t="s">
        <v>747</v>
      </c>
      <c r="H33" s="1307" t="s">
        <v>748</v>
      </c>
      <c r="I33" s="1307" t="s">
        <v>315</v>
      </c>
      <c r="J33" s="1308" t="s">
        <v>749</v>
      </c>
      <c r="K33" s="1308" t="s">
        <v>750</v>
      </c>
      <c r="L33" s="1307" t="s">
        <v>314</v>
      </c>
      <c r="N33" s="1374" t="s">
        <v>746</v>
      </c>
      <c r="O33" s="1307" t="s">
        <v>146</v>
      </c>
      <c r="P33" s="1307" t="s">
        <v>747</v>
      </c>
      <c r="Q33" s="1307" t="s">
        <v>748</v>
      </c>
      <c r="R33" s="1307" t="s">
        <v>315</v>
      </c>
      <c r="S33" s="1308" t="s">
        <v>749</v>
      </c>
      <c r="T33" s="1308" t="s">
        <v>750</v>
      </c>
      <c r="U33" s="1307" t="s">
        <v>314</v>
      </c>
      <c r="W33" s="1307" t="s">
        <v>146</v>
      </c>
      <c r="X33" s="1307" t="s">
        <v>747</v>
      </c>
      <c r="Y33" s="1307" t="s">
        <v>748</v>
      </c>
      <c r="Z33" s="1307" t="s">
        <v>315</v>
      </c>
      <c r="AA33" s="1308" t="s">
        <v>749</v>
      </c>
      <c r="AB33" s="1308" t="s">
        <v>750</v>
      </c>
      <c r="AC33" s="1307" t="s">
        <v>314</v>
      </c>
    </row>
    <row r="34" spans="3:29" x14ac:dyDescent="0.2">
      <c r="C34" s="1379" t="s">
        <v>751</v>
      </c>
      <c r="D34" s="1380">
        <f>+D35-1</f>
        <v>46022</v>
      </c>
      <c r="E34" s="1374"/>
      <c r="F34" s="1381"/>
      <c r="G34" s="1312">
        <v>1</v>
      </c>
      <c r="H34" s="1311"/>
      <c r="I34" s="1311"/>
      <c r="J34" s="1313"/>
      <c r="K34" s="1313"/>
      <c r="L34" s="1314">
        <f>MIN(G34+I34)-H34</f>
        <v>1</v>
      </c>
      <c r="N34" s="1374"/>
      <c r="O34" s="1311"/>
      <c r="P34" s="1382">
        <f t="shared" ref="P34:P87" si="3">$J$14*G34</f>
        <v>0.70588235294117652</v>
      </c>
      <c r="Q34" s="1311"/>
      <c r="R34" s="1311"/>
      <c r="S34" s="1313"/>
      <c r="T34" s="1313"/>
      <c r="U34" s="1314">
        <f>MIN(P34+R34)-Q34</f>
        <v>0.70588235294117652</v>
      </c>
      <c r="W34" s="1311"/>
      <c r="X34" s="1382">
        <f t="shared" ref="X34:Y65" si="4">G34-P34</f>
        <v>0.29411764705882348</v>
      </c>
      <c r="Y34" s="1311"/>
      <c r="Z34" s="1311"/>
      <c r="AA34" s="1313"/>
      <c r="AB34" s="1313"/>
      <c r="AC34" s="1383">
        <f>MIN(X34+Z34)-Y34</f>
        <v>0.29411764705882348</v>
      </c>
    </row>
    <row r="35" spans="3:29" x14ac:dyDescent="0.2">
      <c r="C35" s="1369"/>
      <c r="D35" s="1384">
        <f>D15</f>
        <v>46023</v>
      </c>
      <c r="F35" s="1314">
        <f>G24*F24</f>
        <v>1150000</v>
      </c>
      <c r="G35" s="1317" t="e">
        <f>+$I$16/$D$18</f>
        <v>#DIV/0!</v>
      </c>
      <c r="H35" s="1317">
        <f t="shared" ref="H35:H87" si="5">+IF(C35=$D$19,L34+K35,0)</f>
        <v>1</v>
      </c>
      <c r="I35" s="1312">
        <v>0</v>
      </c>
      <c r="J35" s="1312"/>
      <c r="K35" s="1314"/>
      <c r="L35" s="1314" t="e">
        <f>MIN(G35+I35)-H35</f>
        <v>#DIV/0!</v>
      </c>
      <c r="O35" s="1314">
        <f>P24*O24</f>
        <v>700000</v>
      </c>
      <c r="P35" s="1314" t="e">
        <f t="shared" si="3"/>
        <v>#DIV/0!</v>
      </c>
      <c r="Q35" s="1314" t="e">
        <f t="shared" ref="Q35:Q87" si="6">IF(L35=0,T35+U34,$D$9*H35)</f>
        <v>#DIV/0!</v>
      </c>
      <c r="R35" s="1312">
        <v>0</v>
      </c>
      <c r="S35" s="1312"/>
      <c r="T35" s="1314"/>
      <c r="U35" s="1383" t="e">
        <f>MIN(P35+R35)-Q35</f>
        <v>#DIV/0!</v>
      </c>
      <c r="W35" s="1314">
        <f t="shared" ref="W35:Y66" si="7">F35-O35</f>
        <v>450000</v>
      </c>
      <c r="X35" s="1314" t="e">
        <f t="shared" si="4"/>
        <v>#DIV/0!</v>
      </c>
      <c r="Y35" s="1314" t="e">
        <f t="shared" si="4"/>
        <v>#DIV/0!</v>
      </c>
      <c r="Z35" s="1312">
        <v>0</v>
      </c>
      <c r="AA35" s="1312"/>
      <c r="AB35" s="1314"/>
      <c r="AC35" s="1383" t="e">
        <f>MIN(X35+Z35)-Y35</f>
        <v>#DIV/0!</v>
      </c>
    </row>
    <row r="36" spans="3:29" x14ac:dyDescent="0.2">
      <c r="C36" s="1369">
        <f>+IF(DAY(D35)&lt;&gt;1,0,1)</f>
        <v>1</v>
      </c>
      <c r="D36" s="1384">
        <f>DATE(YEAR(D35),MONTH(D35)+1,1)</f>
        <v>46054</v>
      </c>
      <c r="E36" s="1318" cm="1">
        <f t="array" ref="E36">+IFERROR(LOOKUP(2,1/((C36&gt;=Mins)*(C36&lt;=Maxs)),Rates),"N/A")</f>
        <v>0.10150000000000001</v>
      </c>
      <c r="F36" s="1314">
        <v>0</v>
      </c>
      <c r="G36" s="1317" t="e">
        <f>+MIN($I$16-SUM($G$35:G35),$I$16/$D$18)</f>
        <v>#DIV/0!</v>
      </c>
      <c r="H36" s="1317">
        <f t="shared" si="5"/>
        <v>0</v>
      </c>
      <c r="I36" s="1319" t="e">
        <f>ROUND(L35*E36/365*(D36-D35),2)</f>
        <v>#DIV/0!</v>
      </c>
      <c r="J36" s="1319" t="e">
        <f t="shared" ref="J36:J87" si="8">I36-K36</f>
        <v>#DIV/0!</v>
      </c>
      <c r="K36" s="1314" t="e">
        <f t="shared" ref="K36:K87" si="9">IF($D$16="Paid Current",0,ROUND(L35*E36/365*(D36-D35),2))</f>
        <v>#DIV/0!</v>
      </c>
      <c r="L36" s="1312" t="e">
        <f t="shared" ref="L36:L87" si="10">L35+G36+K36-H36</f>
        <v>#DIV/0!</v>
      </c>
      <c r="N36" s="1318" cm="1">
        <f t="array" ref="N36">+IFERROR(LOOKUP(2,1/((C36&gt;=Mins2)*(C36&lt;=Maxs2)),Rates2),"N/A")</f>
        <v>8.9499999999999996E-2</v>
      </c>
      <c r="O36" s="1314">
        <v>0</v>
      </c>
      <c r="P36" s="1314" t="e">
        <f t="shared" si="3"/>
        <v>#DIV/0!</v>
      </c>
      <c r="Q36" s="1314" t="e">
        <f t="shared" si="6"/>
        <v>#DIV/0!</v>
      </c>
      <c r="R36" s="1319" t="e">
        <f t="shared" ref="R36:R87" si="11">ROUND(U35*N36/365*(D36-D35),2)</f>
        <v>#DIV/0!</v>
      </c>
      <c r="S36" s="1319" t="e">
        <f>R36-T36</f>
        <v>#DIV/0!</v>
      </c>
      <c r="T36" s="1314" t="e">
        <f t="shared" ref="T36:T87" si="12">IF($D$16="Paid Current",0,ROUND(U35*N36/365*(D36-D35),2))</f>
        <v>#DIV/0!</v>
      </c>
      <c r="U36" s="1312" t="e">
        <f t="shared" ref="U36:U86" si="13">U35+P36+T36-Q36</f>
        <v>#DIV/0!</v>
      </c>
      <c r="V36" s="1385"/>
      <c r="W36" s="1314">
        <f t="shared" si="7"/>
        <v>0</v>
      </c>
      <c r="X36" s="1314" t="e">
        <f t="shared" si="4"/>
        <v>#DIV/0!</v>
      </c>
      <c r="Y36" s="1314" t="e">
        <f t="shared" si="4"/>
        <v>#DIV/0!</v>
      </c>
      <c r="Z36" s="1319" t="e">
        <f>'Int Reserve - A-B Loan'!I36-'Int Reserve - A-B Loan'!R36</f>
        <v>#DIV/0!</v>
      </c>
      <c r="AA36" s="1319" t="e">
        <f t="shared" ref="AA36:AA86" si="14">Z36-AB36</f>
        <v>#DIV/0!</v>
      </c>
      <c r="AB36" s="1314" t="e">
        <f>'Int Reserve - A-B Loan'!K36-'Int Reserve - A-B Loan'!T36</f>
        <v>#DIV/0!</v>
      </c>
      <c r="AC36" s="1312" t="e">
        <f t="shared" ref="AC36:AC86" si="15">AC35+X36+AB36-Y36</f>
        <v>#DIV/0!</v>
      </c>
    </row>
    <row r="37" spans="3:29" x14ac:dyDescent="0.2">
      <c r="C37" s="1369">
        <f>+C36+1</f>
        <v>2</v>
      </c>
      <c r="D37" s="1384">
        <f t="shared" ref="D37:D87" si="16">EDATE(D36,1)</f>
        <v>46082</v>
      </c>
      <c r="E37" s="1318" cm="1">
        <f t="array" ref="E37">+IFERROR(LOOKUP(2,1/((C37&gt;=Mins)*(C37&lt;=Maxs)),Rates),"N/A")</f>
        <v>0.10150000000000001</v>
      </c>
      <c r="F37" s="1314">
        <v>0</v>
      </c>
      <c r="G37" s="1317" t="e">
        <f>+MIN($I$16-SUM($G$35:G36),$I$16/$D$18)</f>
        <v>#DIV/0!</v>
      </c>
      <c r="H37" s="1317">
        <f t="shared" si="5"/>
        <v>0</v>
      </c>
      <c r="I37" s="1319" t="e">
        <f t="shared" ref="I37:I87" si="17">ROUND(L36*E37/365*(D37-D36),2)</f>
        <v>#DIV/0!</v>
      </c>
      <c r="J37" s="1319" t="e">
        <f t="shared" si="8"/>
        <v>#DIV/0!</v>
      </c>
      <c r="K37" s="1314" t="e">
        <f t="shared" si="9"/>
        <v>#DIV/0!</v>
      </c>
      <c r="L37" s="1312" t="e">
        <f t="shared" si="10"/>
        <v>#DIV/0!</v>
      </c>
      <c r="N37" s="1318" cm="1">
        <f t="array" ref="N37">+IFERROR(LOOKUP(2,1/((C37&gt;=Mins2)*(C37&lt;=Maxs2)),Rates2),"N/A")</f>
        <v>8.9499999999999996E-2</v>
      </c>
      <c r="O37" s="1314">
        <v>0</v>
      </c>
      <c r="P37" s="1314" t="e">
        <f t="shared" si="3"/>
        <v>#DIV/0!</v>
      </c>
      <c r="Q37" s="1314" t="e">
        <f t="shared" si="6"/>
        <v>#DIV/0!</v>
      </c>
      <c r="R37" s="1319" t="e">
        <f t="shared" si="11"/>
        <v>#DIV/0!</v>
      </c>
      <c r="S37" s="1319" t="e">
        <f t="shared" ref="S37:S87" si="18">R37-T37</f>
        <v>#DIV/0!</v>
      </c>
      <c r="T37" s="1314" t="e">
        <f t="shared" si="12"/>
        <v>#DIV/0!</v>
      </c>
      <c r="U37" s="1312" t="e">
        <f t="shared" si="13"/>
        <v>#DIV/0!</v>
      </c>
      <c r="W37" s="1314">
        <f t="shared" si="7"/>
        <v>0</v>
      </c>
      <c r="X37" s="1314" t="e">
        <f t="shared" si="4"/>
        <v>#DIV/0!</v>
      </c>
      <c r="Y37" s="1314" t="e">
        <f t="shared" si="4"/>
        <v>#DIV/0!</v>
      </c>
      <c r="Z37" s="1319" t="e">
        <f>'Int Reserve - A-B Loan'!I37-'Int Reserve - A-B Loan'!R37</f>
        <v>#DIV/0!</v>
      </c>
      <c r="AA37" s="1319" t="e">
        <f t="shared" si="14"/>
        <v>#DIV/0!</v>
      </c>
      <c r="AB37" s="1314" t="e">
        <f>'Int Reserve - A-B Loan'!K37-'Int Reserve - A-B Loan'!T37</f>
        <v>#DIV/0!</v>
      </c>
      <c r="AC37" s="1312" t="e">
        <f t="shared" si="15"/>
        <v>#DIV/0!</v>
      </c>
    </row>
    <row r="38" spans="3:29" x14ac:dyDescent="0.2">
      <c r="C38" s="1369">
        <f t="shared" ref="C38:C87" si="19">+C37+1</f>
        <v>3</v>
      </c>
      <c r="D38" s="1384">
        <f t="shared" si="16"/>
        <v>46113</v>
      </c>
      <c r="E38" s="1318" cm="1">
        <f t="array" ref="E38">+IFERROR(LOOKUP(2,1/((C38&gt;=Mins)*(C38&lt;=Maxs)),Rates),"N/A")</f>
        <v>0.10150000000000001</v>
      </c>
      <c r="F38" s="1314">
        <v>0</v>
      </c>
      <c r="G38" s="1317" t="e">
        <f>+MIN($I$16-SUM($G$35:G37),$I$16/$D$18)</f>
        <v>#DIV/0!</v>
      </c>
      <c r="H38" s="1317">
        <f t="shared" si="5"/>
        <v>0</v>
      </c>
      <c r="I38" s="1319" t="e">
        <f t="shared" si="17"/>
        <v>#DIV/0!</v>
      </c>
      <c r="J38" s="1319" t="e">
        <f t="shared" si="8"/>
        <v>#DIV/0!</v>
      </c>
      <c r="K38" s="1314" t="e">
        <f t="shared" si="9"/>
        <v>#DIV/0!</v>
      </c>
      <c r="L38" s="1312" t="e">
        <f t="shared" si="10"/>
        <v>#DIV/0!</v>
      </c>
      <c r="N38" s="1318" cm="1">
        <f t="array" ref="N38">+IFERROR(LOOKUP(2,1/((C38&gt;=Mins2)*(C38&lt;=Maxs2)),Rates2),"N/A")</f>
        <v>8.9499999999999996E-2</v>
      </c>
      <c r="O38" s="1314">
        <v>0</v>
      </c>
      <c r="P38" s="1314" t="e">
        <f t="shared" si="3"/>
        <v>#DIV/0!</v>
      </c>
      <c r="Q38" s="1314" t="e">
        <f t="shared" si="6"/>
        <v>#DIV/0!</v>
      </c>
      <c r="R38" s="1319" t="e">
        <f t="shared" si="11"/>
        <v>#DIV/0!</v>
      </c>
      <c r="S38" s="1319" t="e">
        <f t="shared" si="18"/>
        <v>#DIV/0!</v>
      </c>
      <c r="T38" s="1314" t="e">
        <f t="shared" si="12"/>
        <v>#DIV/0!</v>
      </c>
      <c r="U38" s="1312" t="e">
        <f t="shared" si="13"/>
        <v>#DIV/0!</v>
      </c>
      <c r="W38" s="1314">
        <f t="shared" si="7"/>
        <v>0</v>
      </c>
      <c r="X38" s="1314" t="e">
        <f t="shared" si="4"/>
        <v>#DIV/0!</v>
      </c>
      <c r="Y38" s="1314" t="e">
        <f t="shared" si="4"/>
        <v>#DIV/0!</v>
      </c>
      <c r="Z38" s="1319" t="e">
        <f>'Int Reserve - A-B Loan'!I38-'Int Reserve - A-B Loan'!R38</f>
        <v>#DIV/0!</v>
      </c>
      <c r="AA38" s="1319" t="e">
        <f t="shared" si="14"/>
        <v>#DIV/0!</v>
      </c>
      <c r="AB38" s="1314" t="e">
        <f>'Int Reserve - A-B Loan'!K38-'Int Reserve - A-B Loan'!T38</f>
        <v>#DIV/0!</v>
      </c>
      <c r="AC38" s="1312" t="e">
        <f t="shared" si="15"/>
        <v>#DIV/0!</v>
      </c>
    </row>
    <row r="39" spans="3:29" x14ac:dyDescent="0.2">
      <c r="C39" s="1369">
        <f t="shared" si="19"/>
        <v>4</v>
      </c>
      <c r="D39" s="1384">
        <f t="shared" si="16"/>
        <v>46143</v>
      </c>
      <c r="E39" s="1318" cm="1">
        <f t="array" ref="E39">+IFERROR(LOOKUP(2,1/((C39&gt;=Mins)*(C39&lt;=Maxs)),Rates),"N/A")</f>
        <v>0.10150000000000001</v>
      </c>
      <c r="F39" s="1314">
        <v>0</v>
      </c>
      <c r="G39" s="1317" t="e">
        <f>+MIN($I$16-SUM($G$35:G38),$I$16/$D$18)</f>
        <v>#DIV/0!</v>
      </c>
      <c r="H39" s="1317">
        <f t="shared" si="5"/>
        <v>0</v>
      </c>
      <c r="I39" s="1319" t="e">
        <f t="shared" si="17"/>
        <v>#DIV/0!</v>
      </c>
      <c r="J39" s="1319" t="e">
        <f t="shared" si="8"/>
        <v>#DIV/0!</v>
      </c>
      <c r="K39" s="1314" t="e">
        <f t="shared" si="9"/>
        <v>#DIV/0!</v>
      </c>
      <c r="L39" s="1312" t="e">
        <f t="shared" si="10"/>
        <v>#DIV/0!</v>
      </c>
      <c r="N39" s="1318" cm="1">
        <f t="array" ref="N39">+IFERROR(LOOKUP(2,1/((C39&gt;=Mins2)*(C39&lt;=Maxs2)),Rates2),"N/A")</f>
        <v>8.9499999999999996E-2</v>
      </c>
      <c r="O39" s="1314">
        <v>0</v>
      </c>
      <c r="P39" s="1314" t="e">
        <f t="shared" si="3"/>
        <v>#DIV/0!</v>
      </c>
      <c r="Q39" s="1314" t="e">
        <f t="shared" si="6"/>
        <v>#DIV/0!</v>
      </c>
      <c r="R39" s="1319" t="e">
        <f t="shared" si="11"/>
        <v>#DIV/0!</v>
      </c>
      <c r="S39" s="1319" t="e">
        <f t="shared" si="18"/>
        <v>#DIV/0!</v>
      </c>
      <c r="T39" s="1314" t="e">
        <f t="shared" si="12"/>
        <v>#DIV/0!</v>
      </c>
      <c r="U39" s="1312" t="e">
        <f t="shared" si="13"/>
        <v>#DIV/0!</v>
      </c>
      <c r="W39" s="1314">
        <f t="shared" si="7"/>
        <v>0</v>
      </c>
      <c r="X39" s="1314" t="e">
        <f t="shared" si="4"/>
        <v>#DIV/0!</v>
      </c>
      <c r="Y39" s="1314" t="e">
        <f t="shared" si="4"/>
        <v>#DIV/0!</v>
      </c>
      <c r="Z39" s="1319" t="e">
        <f>'Int Reserve - A-B Loan'!I39-'Int Reserve - A-B Loan'!R39</f>
        <v>#DIV/0!</v>
      </c>
      <c r="AA39" s="1319" t="e">
        <f t="shared" si="14"/>
        <v>#DIV/0!</v>
      </c>
      <c r="AB39" s="1314" t="e">
        <f>'Int Reserve - A-B Loan'!K39-'Int Reserve - A-B Loan'!T39</f>
        <v>#DIV/0!</v>
      </c>
      <c r="AC39" s="1312" t="e">
        <f t="shared" si="15"/>
        <v>#DIV/0!</v>
      </c>
    </row>
    <row r="40" spans="3:29" x14ac:dyDescent="0.2">
      <c r="C40" s="1369">
        <f t="shared" si="19"/>
        <v>5</v>
      </c>
      <c r="D40" s="1384">
        <f t="shared" si="16"/>
        <v>46174</v>
      </c>
      <c r="E40" s="1318" cm="1">
        <f t="array" ref="E40">+IFERROR(LOOKUP(2,1/((C40&gt;=Mins)*(C40&lt;=Maxs)),Rates),"N/A")</f>
        <v>0.10150000000000001</v>
      </c>
      <c r="F40" s="1314">
        <v>0</v>
      </c>
      <c r="G40" s="1317" t="e">
        <f>+MIN($I$16-SUM($G$35:G39),$I$16/$D$18)</f>
        <v>#DIV/0!</v>
      </c>
      <c r="H40" s="1317">
        <f t="shared" si="5"/>
        <v>0</v>
      </c>
      <c r="I40" s="1319" t="e">
        <f t="shared" si="17"/>
        <v>#DIV/0!</v>
      </c>
      <c r="J40" s="1319" t="e">
        <f t="shared" si="8"/>
        <v>#DIV/0!</v>
      </c>
      <c r="K40" s="1314" t="e">
        <f t="shared" si="9"/>
        <v>#DIV/0!</v>
      </c>
      <c r="L40" s="1312" t="e">
        <f t="shared" si="10"/>
        <v>#DIV/0!</v>
      </c>
      <c r="N40" s="1318" cm="1">
        <f t="array" ref="N40">+IFERROR(LOOKUP(2,1/((C40&gt;=Mins2)*(C40&lt;=Maxs2)),Rates2),"N/A")</f>
        <v>8.9499999999999996E-2</v>
      </c>
      <c r="O40" s="1314">
        <v>0</v>
      </c>
      <c r="P40" s="1314" t="e">
        <f t="shared" si="3"/>
        <v>#DIV/0!</v>
      </c>
      <c r="Q40" s="1314" t="e">
        <f t="shared" si="6"/>
        <v>#DIV/0!</v>
      </c>
      <c r="R40" s="1319" t="e">
        <f t="shared" si="11"/>
        <v>#DIV/0!</v>
      </c>
      <c r="S40" s="1319" t="e">
        <f t="shared" si="18"/>
        <v>#DIV/0!</v>
      </c>
      <c r="T40" s="1314" t="e">
        <f t="shared" si="12"/>
        <v>#DIV/0!</v>
      </c>
      <c r="U40" s="1312" t="e">
        <f t="shared" si="13"/>
        <v>#DIV/0!</v>
      </c>
      <c r="W40" s="1314">
        <f t="shared" si="7"/>
        <v>0</v>
      </c>
      <c r="X40" s="1314" t="e">
        <f t="shared" si="4"/>
        <v>#DIV/0!</v>
      </c>
      <c r="Y40" s="1314" t="e">
        <f t="shared" si="4"/>
        <v>#DIV/0!</v>
      </c>
      <c r="Z40" s="1319" t="e">
        <f>'Int Reserve - A-B Loan'!I40-'Int Reserve - A-B Loan'!R40</f>
        <v>#DIV/0!</v>
      </c>
      <c r="AA40" s="1319" t="e">
        <f t="shared" si="14"/>
        <v>#DIV/0!</v>
      </c>
      <c r="AB40" s="1314" t="e">
        <f>'Int Reserve - A-B Loan'!K40-'Int Reserve - A-B Loan'!T40</f>
        <v>#DIV/0!</v>
      </c>
      <c r="AC40" s="1312" t="e">
        <f t="shared" si="15"/>
        <v>#DIV/0!</v>
      </c>
    </row>
    <row r="41" spans="3:29" x14ac:dyDescent="0.2">
      <c r="C41" s="1369">
        <f t="shared" si="19"/>
        <v>6</v>
      </c>
      <c r="D41" s="1384">
        <f t="shared" si="16"/>
        <v>46204</v>
      </c>
      <c r="E41" s="1318" cm="1">
        <f t="array" ref="E41">+IFERROR(LOOKUP(2,1/((C41&gt;=Mins)*(C41&lt;=Maxs)),Rates),"N/A")</f>
        <v>0.10150000000000001</v>
      </c>
      <c r="F41" s="1314">
        <v>0</v>
      </c>
      <c r="G41" s="1317" t="e">
        <f>+MIN($I$16-SUM($G$35:G40),$I$16/$D$18)</f>
        <v>#DIV/0!</v>
      </c>
      <c r="H41" s="1317">
        <f t="shared" si="5"/>
        <v>0</v>
      </c>
      <c r="I41" s="1319" t="e">
        <f t="shared" si="17"/>
        <v>#DIV/0!</v>
      </c>
      <c r="J41" s="1319" t="e">
        <f t="shared" si="8"/>
        <v>#DIV/0!</v>
      </c>
      <c r="K41" s="1314" t="e">
        <f t="shared" si="9"/>
        <v>#DIV/0!</v>
      </c>
      <c r="L41" s="1312" t="e">
        <f t="shared" si="10"/>
        <v>#DIV/0!</v>
      </c>
      <c r="N41" s="1318" cm="1">
        <f t="array" ref="N41">+IFERROR(LOOKUP(2,1/((C41&gt;=Mins2)*(C41&lt;=Maxs2)),Rates2),"N/A")</f>
        <v>8.9499999999999996E-2</v>
      </c>
      <c r="O41" s="1314">
        <v>0</v>
      </c>
      <c r="P41" s="1314" t="e">
        <f t="shared" si="3"/>
        <v>#DIV/0!</v>
      </c>
      <c r="Q41" s="1314" t="e">
        <f t="shared" si="6"/>
        <v>#DIV/0!</v>
      </c>
      <c r="R41" s="1319" t="e">
        <f t="shared" si="11"/>
        <v>#DIV/0!</v>
      </c>
      <c r="S41" s="1319" t="e">
        <f t="shared" si="18"/>
        <v>#DIV/0!</v>
      </c>
      <c r="T41" s="1314" t="e">
        <f t="shared" si="12"/>
        <v>#DIV/0!</v>
      </c>
      <c r="U41" s="1312" t="e">
        <f t="shared" si="13"/>
        <v>#DIV/0!</v>
      </c>
      <c r="W41" s="1314">
        <f t="shared" si="7"/>
        <v>0</v>
      </c>
      <c r="X41" s="1314" t="e">
        <f t="shared" si="4"/>
        <v>#DIV/0!</v>
      </c>
      <c r="Y41" s="1314" t="e">
        <f t="shared" si="4"/>
        <v>#DIV/0!</v>
      </c>
      <c r="Z41" s="1319" t="e">
        <f>'Int Reserve - A-B Loan'!I41-'Int Reserve - A-B Loan'!R41</f>
        <v>#DIV/0!</v>
      </c>
      <c r="AA41" s="1319" t="e">
        <f t="shared" si="14"/>
        <v>#DIV/0!</v>
      </c>
      <c r="AB41" s="1314" t="e">
        <f>'Int Reserve - A-B Loan'!K41-'Int Reserve - A-B Loan'!T41</f>
        <v>#DIV/0!</v>
      </c>
      <c r="AC41" s="1312" t="e">
        <f t="shared" si="15"/>
        <v>#DIV/0!</v>
      </c>
    </row>
    <row r="42" spans="3:29" x14ac:dyDescent="0.2">
      <c r="C42" s="1369">
        <f t="shared" si="19"/>
        <v>7</v>
      </c>
      <c r="D42" s="1384">
        <f t="shared" si="16"/>
        <v>46235</v>
      </c>
      <c r="E42" s="1318" cm="1">
        <f t="array" ref="E42">+IFERROR(LOOKUP(2,1/((C42&gt;=Mins)*(C42&lt;=Maxs)),Rates),"N/A")</f>
        <v>0.10150000000000001</v>
      </c>
      <c r="F42" s="1314">
        <v>0</v>
      </c>
      <c r="G42" s="1317" t="e">
        <f>+MIN($I$16-SUM($G$35:G41),$I$16/$D$18)</f>
        <v>#DIV/0!</v>
      </c>
      <c r="H42" s="1317">
        <f t="shared" si="5"/>
        <v>0</v>
      </c>
      <c r="I42" s="1319" t="e">
        <f t="shared" si="17"/>
        <v>#DIV/0!</v>
      </c>
      <c r="J42" s="1319" t="e">
        <f t="shared" si="8"/>
        <v>#DIV/0!</v>
      </c>
      <c r="K42" s="1314" t="e">
        <f t="shared" si="9"/>
        <v>#DIV/0!</v>
      </c>
      <c r="L42" s="1312" t="e">
        <f t="shared" si="10"/>
        <v>#DIV/0!</v>
      </c>
      <c r="N42" s="1318" cm="1">
        <f t="array" ref="N42">+IFERROR(LOOKUP(2,1/((C42&gt;=Mins2)*(C42&lt;=Maxs2)),Rates2),"N/A")</f>
        <v>8.9499999999999996E-2</v>
      </c>
      <c r="O42" s="1314">
        <v>0</v>
      </c>
      <c r="P42" s="1314" t="e">
        <f t="shared" si="3"/>
        <v>#DIV/0!</v>
      </c>
      <c r="Q42" s="1314" t="e">
        <f t="shared" si="6"/>
        <v>#DIV/0!</v>
      </c>
      <c r="R42" s="1319" t="e">
        <f t="shared" si="11"/>
        <v>#DIV/0!</v>
      </c>
      <c r="S42" s="1319" t="e">
        <f t="shared" si="18"/>
        <v>#DIV/0!</v>
      </c>
      <c r="T42" s="1314" t="e">
        <f t="shared" si="12"/>
        <v>#DIV/0!</v>
      </c>
      <c r="U42" s="1312" t="e">
        <f t="shared" si="13"/>
        <v>#DIV/0!</v>
      </c>
      <c r="W42" s="1314">
        <f t="shared" si="7"/>
        <v>0</v>
      </c>
      <c r="X42" s="1314" t="e">
        <f t="shared" si="4"/>
        <v>#DIV/0!</v>
      </c>
      <c r="Y42" s="1314" t="e">
        <f t="shared" si="4"/>
        <v>#DIV/0!</v>
      </c>
      <c r="Z42" s="1319" t="e">
        <f>'Int Reserve - A-B Loan'!I42-'Int Reserve - A-B Loan'!R42</f>
        <v>#DIV/0!</v>
      </c>
      <c r="AA42" s="1319" t="e">
        <f t="shared" si="14"/>
        <v>#DIV/0!</v>
      </c>
      <c r="AB42" s="1314" t="e">
        <f>'Int Reserve - A-B Loan'!K42-'Int Reserve - A-B Loan'!T42</f>
        <v>#DIV/0!</v>
      </c>
      <c r="AC42" s="1312" t="e">
        <f t="shared" si="15"/>
        <v>#DIV/0!</v>
      </c>
    </row>
    <row r="43" spans="3:29" x14ac:dyDescent="0.2">
      <c r="C43" s="1369">
        <f t="shared" si="19"/>
        <v>8</v>
      </c>
      <c r="D43" s="1384">
        <f t="shared" si="16"/>
        <v>46266</v>
      </c>
      <c r="E43" s="1318" cm="1">
        <f t="array" ref="E43">+IFERROR(LOOKUP(2,1/((C43&gt;=Mins)*(C43&lt;=Maxs)),Rates),"N/A")</f>
        <v>0.10150000000000001</v>
      </c>
      <c r="F43" s="1314">
        <v>0</v>
      </c>
      <c r="G43" s="1317" t="e">
        <f>+MIN($I$16-SUM($G$35:G42),$I$16/$D$18)</f>
        <v>#DIV/0!</v>
      </c>
      <c r="H43" s="1317">
        <f t="shared" si="5"/>
        <v>0</v>
      </c>
      <c r="I43" s="1319" t="e">
        <f t="shared" si="17"/>
        <v>#DIV/0!</v>
      </c>
      <c r="J43" s="1319" t="e">
        <f t="shared" si="8"/>
        <v>#DIV/0!</v>
      </c>
      <c r="K43" s="1314" t="e">
        <f t="shared" si="9"/>
        <v>#DIV/0!</v>
      </c>
      <c r="L43" s="1312" t="e">
        <f t="shared" si="10"/>
        <v>#DIV/0!</v>
      </c>
      <c r="N43" s="1318" cm="1">
        <f t="array" ref="N43">+IFERROR(LOOKUP(2,1/((C43&gt;=Mins2)*(C43&lt;=Maxs2)),Rates2),"N/A")</f>
        <v>8.9499999999999996E-2</v>
      </c>
      <c r="O43" s="1314">
        <v>0</v>
      </c>
      <c r="P43" s="1314" t="e">
        <f t="shared" si="3"/>
        <v>#DIV/0!</v>
      </c>
      <c r="Q43" s="1314" t="e">
        <f t="shared" si="6"/>
        <v>#DIV/0!</v>
      </c>
      <c r="R43" s="1319" t="e">
        <f t="shared" si="11"/>
        <v>#DIV/0!</v>
      </c>
      <c r="S43" s="1319" t="e">
        <f t="shared" si="18"/>
        <v>#DIV/0!</v>
      </c>
      <c r="T43" s="1314" t="e">
        <f t="shared" si="12"/>
        <v>#DIV/0!</v>
      </c>
      <c r="U43" s="1312" t="e">
        <f t="shared" si="13"/>
        <v>#DIV/0!</v>
      </c>
      <c r="W43" s="1314">
        <f t="shared" si="7"/>
        <v>0</v>
      </c>
      <c r="X43" s="1314" t="e">
        <f t="shared" si="4"/>
        <v>#DIV/0!</v>
      </c>
      <c r="Y43" s="1314" t="e">
        <f t="shared" si="4"/>
        <v>#DIV/0!</v>
      </c>
      <c r="Z43" s="1319" t="e">
        <f>'Int Reserve - A-B Loan'!I43-'Int Reserve - A-B Loan'!R43</f>
        <v>#DIV/0!</v>
      </c>
      <c r="AA43" s="1319" t="e">
        <f t="shared" si="14"/>
        <v>#DIV/0!</v>
      </c>
      <c r="AB43" s="1314" t="e">
        <f>'Int Reserve - A-B Loan'!K43-'Int Reserve - A-B Loan'!T43</f>
        <v>#DIV/0!</v>
      </c>
      <c r="AC43" s="1312" t="e">
        <f t="shared" si="15"/>
        <v>#DIV/0!</v>
      </c>
    </row>
    <row r="44" spans="3:29" x14ac:dyDescent="0.2">
      <c r="C44" s="1369">
        <f t="shared" si="19"/>
        <v>9</v>
      </c>
      <c r="D44" s="1384">
        <f t="shared" si="16"/>
        <v>46296</v>
      </c>
      <c r="E44" s="1318" cm="1">
        <f t="array" ref="E44">+IFERROR(LOOKUP(2,1/((C44&gt;=Mins)*(C44&lt;=Maxs)),Rates),"N/A")</f>
        <v>0.10150000000000001</v>
      </c>
      <c r="F44" s="1314">
        <v>0</v>
      </c>
      <c r="G44" s="1317" t="e">
        <f>+MIN($I$16-SUM($G$35:G43),$I$16/$D$18)</f>
        <v>#DIV/0!</v>
      </c>
      <c r="H44" s="1317">
        <f t="shared" si="5"/>
        <v>0</v>
      </c>
      <c r="I44" s="1319" t="e">
        <f t="shared" si="17"/>
        <v>#DIV/0!</v>
      </c>
      <c r="J44" s="1319" t="e">
        <f t="shared" si="8"/>
        <v>#DIV/0!</v>
      </c>
      <c r="K44" s="1314" t="e">
        <f t="shared" si="9"/>
        <v>#DIV/0!</v>
      </c>
      <c r="L44" s="1312" t="e">
        <f t="shared" si="10"/>
        <v>#DIV/0!</v>
      </c>
      <c r="N44" s="1318" cm="1">
        <f t="array" ref="N44">+IFERROR(LOOKUP(2,1/((C44&gt;=Mins2)*(C44&lt;=Maxs2)),Rates2),"N/A")</f>
        <v>8.9499999999999996E-2</v>
      </c>
      <c r="O44" s="1314">
        <v>0</v>
      </c>
      <c r="P44" s="1314" t="e">
        <f t="shared" si="3"/>
        <v>#DIV/0!</v>
      </c>
      <c r="Q44" s="1314" t="e">
        <f t="shared" si="6"/>
        <v>#DIV/0!</v>
      </c>
      <c r="R44" s="1319" t="e">
        <f t="shared" si="11"/>
        <v>#DIV/0!</v>
      </c>
      <c r="S44" s="1319" t="e">
        <f t="shared" si="18"/>
        <v>#DIV/0!</v>
      </c>
      <c r="T44" s="1314" t="e">
        <f t="shared" si="12"/>
        <v>#DIV/0!</v>
      </c>
      <c r="U44" s="1312" t="e">
        <f t="shared" si="13"/>
        <v>#DIV/0!</v>
      </c>
      <c r="W44" s="1314">
        <f t="shared" si="7"/>
        <v>0</v>
      </c>
      <c r="X44" s="1314" t="e">
        <f t="shared" si="4"/>
        <v>#DIV/0!</v>
      </c>
      <c r="Y44" s="1314" t="e">
        <f t="shared" si="4"/>
        <v>#DIV/0!</v>
      </c>
      <c r="Z44" s="1319" t="e">
        <f>'Int Reserve - A-B Loan'!I44-'Int Reserve - A-B Loan'!R44</f>
        <v>#DIV/0!</v>
      </c>
      <c r="AA44" s="1319" t="e">
        <f t="shared" si="14"/>
        <v>#DIV/0!</v>
      </c>
      <c r="AB44" s="1314" t="e">
        <f>'Int Reserve - A-B Loan'!K44-'Int Reserve - A-B Loan'!T44</f>
        <v>#DIV/0!</v>
      </c>
      <c r="AC44" s="1312" t="e">
        <f t="shared" si="15"/>
        <v>#DIV/0!</v>
      </c>
    </row>
    <row r="45" spans="3:29" x14ac:dyDescent="0.2">
      <c r="C45" s="1369">
        <f t="shared" si="19"/>
        <v>10</v>
      </c>
      <c r="D45" s="1384">
        <f t="shared" si="16"/>
        <v>46327</v>
      </c>
      <c r="E45" s="1318" cm="1">
        <f t="array" ref="E45">+IFERROR(LOOKUP(2,1/((C45&gt;=Mins)*(C45&lt;=Maxs)),Rates),"N/A")</f>
        <v>0.10150000000000001</v>
      </c>
      <c r="F45" s="1314">
        <v>0</v>
      </c>
      <c r="G45" s="1317" t="e">
        <f>+MIN($I$16-SUM($G$35:G44),$I$16/$D$18)</f>
        <v>#DIV/0!</v>
      </c>
      <c r="H45" s="1317">
        <f t="shared" si="5"/>
        <v>0</v>
      </c>
      <c r="I45" s="1319" t="e">
        <f t="shared" si="17"/>
        <v>#DIV/0!</v>
      </c>
      <c r="J45" s="1319" t="e">
        <f t="shared" si="8"/>
        <v>#DIV/0!</v>
      </c>
      <c r="K45" s="1314" t="e">
        <f t="shared" si="9"/>
        <v>#DIV/0!</v>
      </c>
      <c r="L45" s="1312" t="e">
        <f t="shared" si="10"/>
        <v>#DIV/0!</v>
      </c>
      <c r="N45" s="1318" cm="1">
        <f t="array" ref="N45">+IFERROR(LOOKUP(2,1/((C45&gt;=Mins2)*(C45&lt;=Maxs2)),Rates2),"N/A")</f>
        <v>8.9499999999999996E-2</v>
      </c>
      <c r="O45" s="1314">
        <v>0</v>
      </c>
      <c r="P45" s="1314" t="e">
        <f t="shared" si="3"/>
        <v>#DIV/0!</v>
      </c>
      <c r="Q45" s="1314" t="e">
        <f t="shared" si="6"/>
        <v>#DIV/0!</v>
      </c>
      <c r="R45" s="1319" t="e">
        <f t="shared" si="11"/>
        <v>#DIV/0!</v>
      </c>
      <c r="S45" s="1319" t="e">
        <f t="shared" si="18"/>
        <v>#DIV/0!</v>
      </c>
      <c r="T45" s="1314" t="e">
        <f t="shared" si="12"/>
        <v>#DIV/0!</v>
      </c>
      <c r="U45" s="1312" t="e">
        <f t="shared" si="13"/>
        <v>#DIV/0!</v>
      </c>
      <c r="W45" s="1314">
        <f t="shared" si="7"/>
        <v>0</v>
      </c>
      <c r="X45" s="1314" t="e">
        <f t="shared" si="4"/>
        <v>#DIV/0!</v>
      </c>
      <c r="Y45" s="1314" t="e">
        <f t="shared" si="4"/>
        <v>#DIV/0!</v>
      </c>
      <c r="Z45" s="1319" t="e">
        <f>'Int Reserve - A-B Loan'!I45-'Int Reserve - A-B Loan'!R45</f>
        <v>#DIV/0!</v>
      </c>
      <c r="AA45" s="1319" t="e">
        <f t="shared" si="14"/>
        <v>#DIV/0!</v>
      </c>
      <c r="AB45" s="1314" t="e">
        <f>'Int Reserve - A-B Loan'!K45-'Int Reserve - A-B Loan'!T45</f>
        <v>#DIV/0!</v>
      </c>
      <c r="AC45" s="1312" t="e">
        <f t="shared" si="15"/>
        <v>#DIV/0!</v>
      </c>
    </row>
    <row r="46" spans="3:29" x14ac:dyDescent="0.2">
      <c r="C46" s="1369">
        <f t="shared" si="19"/>
        <v>11</v>
      </c>
      <c r="D46" s="1384">
        <f t="shared" si="16"/>
        <v>46357</v>
      </c>
      <c r="E46" s="1318" cm="1">
        <f t="array" ref="E46">+IFERROR(LOOKUP(2,1/((C46&gt;=Mins)*(C46&lt;=Maxs)),Rates),"N/A")</f>
        <v>0.10150000000000001</v>
      </c>
      <c r="F46" s="1314">
        <v>0</v>
      </c>
      <c r="G46" s="1317" t="e">
        <f>+MIN($I$16-SUM($G$35:G45),$I$16/$D$18)</f>
        <v>#DIV/0!</v>
      </c>
      <c r="H46" s="1317">
        <f t="shared" si="5"/>
        <v>0</v>
      </c>
      <c r="I46" s="1319" t="e">
        <f t="shared" si="17"/>
        <v>#DIV/0!</v>
      </c>
      <c r="J46" s="1319" t="e">
        <f t="shared" si="8"/>
        <v>#DIV/0!</v>
      </c>
      <c r="K46" s="1314" t="e">
        <f t="shared" si="9"/>
        <v>#DIV/0!</v>
      </c>
      <c r="L46" s="1312" t="e">
        <f t="shared" si="10"/>
        <v>#DIV/0!</v>
      </c>
      <c r="N46" s="1318" cm="1">
        <f t="array" ref="N46">+IFERROR(LOOKUP(2,1/((C46&gt;=Mins2)*(C46&lt;=Maxs2)),Rates2),"N/A")</f>
        <v>8.9499999999999996E-2</v>
      </c>
      <c r="O46" s="1314">
        <v>0</v>
      </c>
      <c r="P46" s="1314" t="e">
        <f t="shared" si="3"/>
        <v>#DIV/0!</v>
      </c>
      <c r="Q46" s="1314" t="e">
        <f t="shared" si="6"/>
        <v>#DIV/0!</v>
      </c>
      <c r="R46" s="1319" t="e">
        <f t="shared" si="11"/>
        <v>#DIV/0!</v>
      </c>
      <c r="S46" s="1319" t="e">
        <f t="shared" si="18"/>
        <v>#DIV/0!</v>
      </c>
      <c r="T46" s="1314" t="e">
        <f t="shared" si="12"/>
        <v>#DIV/0!</v>
      </c>
      <c r="U46" s="1312" t="e">
        <f t="shared" si="13"/>
        <v>#DIV/0!</v>
      </c>
      <c r="W46" s="1314">
        <f t="shared" si="7"/>
        <v>0</v>
      </c>
      <c r="X46" s="1314" t="e">
        <f t="shared" si="4"/>
        <v>#DIV/0!</v>
      </c>
      <c r="Y46" s="1314" t="e">
        <f t="shared" si="4"/>
        <v>#DIV/0!</v>
      </c>
      <c r="Z46" s="1319" t="e">
        <f>'Int Reserve - A-B Loan'!I46-'Int Reserve - A-B Loan'!R46</f>
        <v>#DIV/0!</v>
      </c>
      <c r="AA46" s="1319" t="e">
        <f t="shared" si="14"/>
        <v>#DIV/0!</v>
      </c>
      <c r="AB46" s="1314" t="e">
        <f>'Int Reserve - A-B Loan'!K46-'Int Reserve - A-B Loan'!T46</f>
        <v>#DIV/0!</v>
      </c>
      <c r="AC46" s="1312" t="e">
        <f t="shared" si="15"/>
        <v>#DIV/0!</v>
      </c>
    </row>
    <row r="47" spans="3:29" x14ac:dyDescent="0.2">
      <c r="C47" s="1369">
        <f t="shared" si="19"/>
        <v>12</v>
      </c>
      <c r="D47" s="1384">
        <f t="shared" si="16"/>
        <v>46388</v>
      </c>
      <c r="E47" s="1318" cm="1">
        <f t="array" ref="E47">+IFERROR(LOOKUP(2,1/((C47&gt;=Mins)*(C47&lt;=Maxs)),Rates),"N/A")</f>
        <v>0.10150000000000001</v>
      </c>
      <c r="F47" s="1314">
        <v>0</v>
      </c>
      <c r="G47" s="1317" t="e">
        <f>+MIN($I$16-SUM($G$35:G46),$I$16/$D$18)</f>
        <v>#DIV/0!</v>
      </c>
      <c r="H47" s="1317">
        <f t="shared" si="5"/>
        <v>0</v>
      </c>
      <c r="I47" s="1319" t="e">
        <f t="shared" si="17"/>
        <v>#DIV/0!</v>
      </c>
      <c r="J47" s="1319" t="e">
        <f t="shared" si="8"/>
        <v>#DIV/0!</v>
      </c>
      <c r="K47" s="1314" t="e">
        <f t="shared" si="9"/>
        <v>#DIV/0!</v>
      </c>
      <c r="L47" s="1312" t="e">
        <f t="shared" si="10"/>
        <v>#DIV/0!</v>
      </c>
      <c r="N47" s="1318" cm="1">
        <f t="array" ref="N47">+IFERROR(LOOKUP(2,1/((C47&gt;=Mins2)*(C47&lt;=Maxs2)),Rates2),"N/A")</f>
        <v>8.9499999999999996E-2</v>
      </c>
      <c r="O47" s="1314">
        <v>0</v>
      </c>
      <c r="P47" s="1314" t="e">
        <f t="shared" si="3"/>
        <v>#DIV/0!</v>
      </c>
      <c r="Q47" s="1314" t="e">
        <f t="shared" si="6"/>
        <v>#DIV/0!</v>
      </c>
      <c r="R47" s="1319" t="e">
        <f t="shared" si="11"/>
        <v>#DIV/0!</v>
      </c>
      <c r="S47" s="1319" t="e">
        <f t="shared" si="18"/>
        <v>#DIV/0!</v>
      </c>
      <c r="T47" s="1314" t="e">
        <f t="shared" si="12"/>
        <v>#DIV/0!</v>
      </c>
      <c r="U47" s="1312" t="e">
        <f t="shared" si="13"/>
        <v>#DIV/0!</v>
      </c>
      <c r="W47" s="1314">
        <f t="shared" si="7"/>
        <v>0</v>
      </c>
      <c r="X47" s="1314" t="e">
        <f t="shared" si="4"/>
        <v>#DIV/0!</v>
      </c>
      <c r="Y47" s="1314" t="e">
        <f t="shared" si="4"/>
        <v>#DIV/0!</v>
      </c>
      <c r="Z47" s="1319" t="e">
        <f>'Int Reserve - A-B Loan'!I47-'Int Reserve - A-B Loan'!R47</f>
        <v>#DIV/0!</v>
      </c>
      <c r="AA47" s="1319" t="e">
        <f t="shared" si="14"/>
        <v>#DIV/0!</v>
      </c>
      <c r="AB47" s="1314" t="e">
        <f>'Int Reserve - A-B Loan'!K47-'Int Reserve - A-B Loan'!T47</f>
        <v>#DIV/0!</v>
      </c>
      <c r="AC47" s="1312" t="e">
        <f t="shared" si="15"/>
        <v>#DIV/0!</v>
      </c>
    </row>
    <row r="48" spans="3:29" x14ac:dyDescent="0.2">
      <c r="C48" s="1369">
        <f t="shared" si="19"/>
        <v>13</v>
      </c>
      <c r="D48" s="1384">
        <f t="shared" si="16"/>
        <v>46419</v>
      </c>
      <c r="E48" s="1318" cm="1">
        <f t="array" ref="E48">+IFERROR(LOOKUP(2,1/((C48&gt;=Mins)*(C48&lt;=Maxs)),Rates),"N/A")</f>
        <v>0.10150000000000001</v>
      </c>
      <c r="F48" s="1314">
        <v>0</v>
      </c>
      <c r="G48" s="1317" t="e">
        <f>+MIN($I$16-SUM($G$35:G47),$I$16/$D$18)</f>
        <v>#DIV/0!</v>
      </c>
      <c r="H48" s="1317">
        <f t="shared" si="5"/>
        <v>0</v>
      </c>
      <c r="I48" s="1319" t="e">
        <f t="shared" si="17"/>
        <v>#DIV/0!</v>
      </c>
      <c r="J48" s="1319" t="e">
        <f t="shared" si="8"/>
        <v>#DIV/0!</v>
      </c>
      <c r="K48" s="1314" t="e">
        <f t="shared" si="9"/>
        <v>#DIV/0!</v>
      </c>
      <c r="L48" s="1312" t="e">
        <f t="shared" si="10"/>
        <v>#DIV/0!</v>
      </c>
      <c r="N48" s="1318" cm="1">
        <f t="array" ref="N48">+IFERROR(LOOKUP(2,1/((C48&gt;=Mins2)*(C48&lt;=Maxs2)),Rates2),"N/A")</f>
        <v>8.9499999999999996E-2</v>
      </c>
      <c r="O48" s="1314">
        <v>0</v>
      </c>
      <c r="P48" s="1314" t="e">
        <f t="shared" si="3"/>
        <v>#DIV/0!</v>
      </c>
      <c r="Q48" s="1314" t="e">
        <f t="shared" si="6"/>
        <v>#DIV/0!</v>
      </c>
      <c r="R48" s="1319" t="e">
        <f t="shared" si="11"/>
        <v>#DIV/0!</v>
      </c>
      <c r="S48" s="1319" t="e">
        <f t="shared" si="18"/>
        <v>#DIV/0!</v>
      </c>
      <c r="T48" s="1314" t="e">
        <f t="shared" si="12"/>
        <v>#DIV/0!</v>
      </c>
      <c r="U48" s="1312" t="e">
        <f t="shared" si="13"/>
        <v>#DIV/0!</v>
      </c>
      <c r="W48" s="1314">
        <f t="shared" si="7"/>
        <v>0</v>
      </c>
      <c r="X48" s="1314" t="e">
        <f t="shared" si="4"/>
        <v>#DIV/0!</v>
      </c>
      <c r="Y48" s="1314" t="e">
        <f t="shared" si="4"/>
        <v>#DIV/0!</v>
      </c>
      <c r="Z48" s="1319" t="e">
        <f>'Int Reserve - A-B Loan'!I48-'Int Reserve - A-B Loan'!R48</f>
        <v>#DIV/0!</v>
      </c>
      <c r="AA48" s="1319" t="e">
        <f t="shared" si="14"/>
        <v>#DIV/0!</v>
      </c>
      <c r="AB48" s="1314" t="e">
        <f>'Int Reserve - A-B Loan'!K48-'Int Reserve - A-B Loan'!T48</f>
        <v>#DIV/0!</v>
      </c>
      <c r="AC48" s="1312" t="e">
        <f t="shared" si="15"/>
        <v>#DIV/0!</v>
      </c>
    </row>
    <row r="49" spans="3:29" x14ac:dyDescent="0.2">
      <c r="C49" s="1369">
        <f t="shared" si="19"/>
        <v>14</v>
      </c>
      <c r="D49" s="1384">
        <f t="shared" si="16"/>
        <v>46447</v>
      </c>
      <c r="E49" s="1318" cm="1">
        <f t="array" ref="E49">+IFERROR(LOOKUP(2,1/((C49&gt;=Mins)*(C49&lt;=Maxs)),Rates),"N/A")</f>
        <v>0.10150000000000001</v>
      </c>
      <c r="F49" s="1314">
        <v>0</v>
      </c>
      <c r="G49" s="1317" t="e">
        <f>+MIN($I$16-SUM($G$35:G48),$I$16/$D$18)</f>
        <v>#DIV/0!</v>
      </c>
      <c r="H49" s="1317">
        <f t="shared" si="5"/>
        <v>0</v>
      </c>
      <c r="I49" s="1319" t="e">
        <f t="shared" si="17"/>
        <v>#DIV/0!</v>
      </c>
      <c r="J49" s="1319" t="e">
        <f t="shared" si="8"/>
        <v>#DIV/0!</v>
      </c>
      <c r="K49" s="1314" t="e">
        <f t="shared" si="9"/>
        <v>#DIV/0!</v>
      </c>
      <c r="L49" s="1312" t="e">
        <f t="shared" si="10"/>
        <v>#DIV/0!</v>
      </c>
      <c r="N49" s="1318" cm="1">
        <f t="array" ref="N49">+IFERROR(LOOKUP(2,1/((C49&gt;=Mins2)*(C49&lt;=Maxs2)),Rates2),"N/A")</f>
        <v>8.9499999999999996E-2</v>
      </c>
      <c r="O49" s="1314">
        <v>0</v>
      </c>
      <c r="P49" s="1314" t="e">
        <f t="shared" si="3"/>
        <v>#DIV/0!</v>
      </c>
      <c r="Q49" s="1314" t="e">
        <f t="shared" si="6"/>
        <v>#DIV/0!</v>
      </c>
      <c r="R49" s="1319" t="e">
        <f t="shared" si="11"/>
        <v>#DIV/0!</v>
      </c>
      <c r="S49" s="1319" t="e">
        <f t="shared" si="18"/>
        <v>#DIV/0!</v>
      </c>
      <c r="T49" s="1314" t="e">
        <f t="shared" si="12"/>
        <v>#DIV/0!</v>
      </c>
      <c r="U49" s="1312" t="e">
        <f t="shared" si="13"/>
        <v>#DIV/0!</v>
      </c>
      <c r="W49" s="1314">
        <f t="shared" si="7"/>
        <v>0</v>
      </c>
      <c r="X49" s="1314" t="e">
        <f t="shared" si="4"/>
        <v>#DIV/0!</v>
      </c>
      <c r="Y49" s="1314" t="e">
        <f t="shared" si="4"/>
        <v>#DIV/0!</v>
      </c>
      <c r="Z49" s="1319" t="e">
        <f>'Int Reserve - A-B Loan'!I49-'Int Reserve - A-B Loan'!R49</f>
        <v>#DIV/0!</v>
      </c>
      <c r="AA49" s="1319" t="e">
        <f t="shared" si="14"/>
        <v>#DIV/0!</v>
      </c>
      <c r="AB49" s="1314" t="e">
        <f>'Int Reserve - A-B Loan'!K49-'Int Reserve - A-B Loan'!T49</f>
        <v>#DIV/0!</v>
      </c>
      <c r="AC49" s="1312" t="e">
        <f t="shared" si="15"/>
        <v>#DIV/0!</v>
      </c>
    </row>
    <row r="50" spans="3:29" x14ac:dyDescent="0.2">
      <c r="C50" s="1369">
        <f t="shared" si="19"/>
        <v>15</v>
      </c>
      <c r="D50" s="1384">
        <f t="shared" si="16"/>
        <v>46478</v>
      </c>
      <c r="E50" s="1318" cm="1">
        <f t="array" ref="E50">+IFERROR(LOOKUP(2,1/((C50&gt;=Mins)*(C50&lt;=Maxs)),Rates),"N/A")</f>
        <v>0.10150000000000001</v>
      </c>
      <c r="F50" s="1314">
        <v>0</v>
      </c>
      <c r="G50" s="1317" t="e">
        <f>+MIN($I$16-SUM($G$35:G49),$I$16/$D$18)</f>
        <v>#DIV/0!</v>
      </c>
      <c r="H50" s="1317">
        <f t="shared" si="5"/>
        <v>0</v>
      </c>
      <c r="I50" s="1319" t="e">
        <f t="shared" si="17"/>
        <v>#DIV/0!</v>
      </c>
      <c r="J50" s="1319" t="e">
        <f t="shared" si="8"/>
        <v>#DIV/0!</v>
      </c>
      <c r="K50" s="1314" t="e">
        <f t="shared" si="9"/>
        <v>#DIV/0!</v>
      </c>
      <c r="L50" s="1312" t="e">
        <f t="shared" si="10"/>
        <v>#DIV/0!</v>
      </c>
      <c r="N50" s="1318" cm="1">
        <f t="array" ref="N50">+IFERROR(LOOKUP(2,1/((C50&gt;=Mins2)*(C50&lt;=Maxs2)),Rates2),"N/A")</f>
        <v>8.9499999999999996E-2</v>
      </c>
      <c r="O50" s="1314">
        <v>0</v>
      </c>
      <c r="P50" s="1314" t="e">
        <f t="shared" si="3"/>
        <v>#DIV/0!</v>
      </c>
      <c r="Q50" s="1314" t="e">
        <f t="shared" si="6"/>
        <v>#DIV/0!</v>
      </c>
      <c r="R50" s="1319" t="e">
        <f t="shared" si="11"/>
        <v>#DIV/0!</v>
      </c>
      <c r="S50" s="1319" t="e">
        <f t="shared" si="18"/>
        <v>#DIV/0!</v>
      </c>
      <c r="T50" s="1314" t="e">
        <f t="shared" si="12"/>
        <v>#DIV/0!</v>
      </c>
      <c r="U50" s="1312" t="e">
        <f t="shared" si="13"/>
        <v>#DIV/0!</v>
      </c>
      <c r="W50" s="1314">
        <f t="shared" si="7"/>
        <v>0</v>
      </c>
      <c r="X50" s="1314" t="e">
        <f t="shared" si="4"/>
        <v>#DIV/0!</v>
      </c>
      <c r="Y50" s="1314" t="e">
        <f t="shared" si="4"/>
        <v>#DIV/0!</v>
      </c>
      <c r="Z50" s="1319" t="e">
        <f>'Int Reserve - A-B Loan'!I50-'Int Reserve - A-B Loan'!R50</f>
        <v>#DIV/0!</v>
      </c>
      <c r="AA50" s="1319" t="e">
        <f t="shared" si="14"/>
        <v>#DIV/0!</v>
      </c>
      <c r="AB50" s="1314" t="e">
        <f>'Int Reserve - A-B Loan'!K50-'Int Reserve - A-B Loan'!T50</f>
        <v>#DIV/0!</v>
      </c>
      <c r="AC50" s="1312" t="e">
        <f t="shared" si="15"/>
        <v>#DIV/0!</v>
      </c>
    </row>
    <row r="51" spans="3:29" x14ac:dyDescent="0.2">
      <c r="C51" s="1369">
        <f t="shared" si="19"/>
        <v>16</v>
      </c>
      <c r="D51" s="1384">
        <f t="shared" si="16"/>
        <v>46508</v>
      </c>
      <c r="E51" s="1318" cm="1">
        <f t="array" ref="E51">+IFERROR(LOOKUP(2,1/((C51&gt;=Mins)*(C51&lt;=Maxs)),Rates),"N/A")</f>
        <v>0.10150000000000001</v>
      </c>
      <c r="F51" s="1314">
        <v>0</v>
      </c>
      <c r="G51" s="1317" t="e">
        <f>+MIN($I$16-SUM($G$35:G50),$I$16/$D$18)</f>
        <v>#DIV/0!</v>
      </c>
      <c r="H51" s="1317">
        <f t="shared" si="5"/>
        <v>0</v>
      </c>
      <c r="I51" s="1319" t="e">
        <f t="shared" si="17"/>
        <v>#DIV/0!</v>
      </c>
      <c r="J51" s="1319" t="e">
        <f t="shared" si="8"/>
        <v>#DIV/0!</v>
      </c>
      <c r="K51" s="1314" t="e">
        <f t="shared" si="9"/>
        <v>#DIV/0!</v>
      </c>
      <c r="L51" s="1312" t="e">
        <f t="shared" si="10"/>
        <v>#DIV/0!</v>
      </c>
      <c r="N51" s="1318" cm="1">
        <f t="array" ref="N51">+IFERROR(LOOKUP(2,1/((C51&gt;=Mins2)*(C51&lt;=Maxs2)),Rates2),"N/A")</f>
        <v>8.9499999999999996E-2</v>
      </c>
      <c r="O51" s="1314">
        <v>0</v>
      </c>
      <c r="P51" s="1314" t="e">
        <f t="shared" si="3"/>
        <v>#DIV/0!</v>
      </c>
      <c r="Q51" s="1314" t="e">
        <f t="shared" si="6"/>
        <v>#DIV/0!</v>
      </c>
      <c r="R51" s="1319" t="e">
        <f t="shared" si="11"/>
        <v>#DIV/0!</v>
      </c>
      <c r="S51" s="1319" t="e">
        <f t="shared" si="18"/>
        <v>#DIV/0!</v>
      </c>
      <c r="T51" s="1314" t="e">
        <f t="shared" si="12"/>
        <v>#DIV/0!</v>
      </c>
      <c r="U51" s="1312" t="e">
        <f t="shared" si="13"/>
        <v>#DIV/0!</v>
      </c>
      <c r="W51" s="1314">
        <f t="shared" si="7"/>
        <v>0</v>
      </c>
      <c r="X51" s="1314" t="e">
        <f t="shared" si="4"/>
        <v>#DIV/0!</v>
      </c>
      <c r="Y51" s="1314" t="e">
        <f t="shared" si="4"/>
        <v>#DIV/0!</v>
      </c>
      <c r="Z51" s="1319" t="e">
        <f>'Int Reserve - A-B Loan'!I51-'Int Reserve - A-B Loan'!R51</f>
        <v>#DIV/0!</v>
      </c>
      <c r="AA51" s="1319" t="e">
        <f t="shared" si="14"/>
        <v>#DIV/0!</v>
      </c>
      <c r="AB51" s="1314" t="e">
        <f>'Int Reserve - A-B Loan'!K51-'Int Reserve - A-B Loan'!T51</f>
        <v>#DIV/0!</v>
      </c>
      <c r="AC51" s="1312" t="e">
        <f t="shared" si="15"/>
        <v>#DIV/0!</v>
      </c>
    </row>
    <row r="52" spans="3:29" x14ac:dyDescent="0.2">
      <c r="C52" s="1369">
        <f t="shared" si="19"/>
        <v>17</v>
      </c>
      <c r="D52" s="1384">
        <f t="shared" si="16"/>
        <v>46539</v>
      </c>
      <c r="E52" s="1318" cm="1">
        <f t="array" ref="E52">+IFERROR(LOOKUP(2,1/((C52&gt;=Mins)*(C52&lt;=Maxs)),Rates),"N/A")</f>
        <v>0.10150000000000001</v>
      </c>
      <c r="F52" s="1314">
        <v>0</v>
      </c>
      <c r="G52" s="1317" t="e">
        <f>+MIN($I$16-SUM($G$35:G51),$I$16/$D$18)</f>
        <v>#DIV/0!</v>
      </c>
      <c r="H52" s="1317">
        <f t="shared" si="5"/>
        <v>0</v>
      </c>
      <c r="I52" s="1319" t="e">
        <f t="shared" si="17"/>
        <v>#DIV/0!</v>
      </c>
      <c r="J52" s="1319" t="e">
        <f t="shared" si="8"/>
        <v>#DIV/0!</v>
      </c>
      <c r="K52" s="1314" t="e">
        <f t="shared" si="9"/>
        <v>#DIV/0!</v>
      </c>
      <c r="L52" s="1312" t="e">
        <f t="shared" si="10"/>
        <v>#DIV/0!</v>
      </c>
      <c r="N52" s="1318" cm="1">
        <f t="array" ref="N52">+IFERROR(LOOKUP(2,1/((C52&gt;=Mins2)*(C52&lt;=Maxs2)),Rates2),"N/A")</f>
        <v>8.9499999999999996E-2</v>
      </c>
      <c r="O52" s="1314">
        <v>0</v>
      </c>
      <c r="P52" s="1314" t="e">
        <f t="shared" si="3"/>
        <v>#DIV/0!</v>
      </c>
      <c r="Q52" s="1314" t="e">
        <f t="shared" si="6"/>
        <v>#DIV/0!</v>
      </c>
      <c r="R52" s="1319" t="e">
        <f t="shared" si="11"/>
        <v>#DIV/0!</v>
      </c>
      <c r="S52" s="1319" t="e">
        <f t="shared" si="18"/>
        <v>#DIV/0!</v>
      </c>
      <c r="T52" s="1314" t="e">
        <f t="shared" si="12"/>
        <v>#DIV/0!</v>
      </c>
      <c r="U52" s="1312" t="e">
        <f t="shared" si="13"/>
        <v>#DIV/0!</v>
      </c>
      <c r="W52" s="1314">
        <f t="shared" si="7"/>
        <v>0</v>
      </c>
      <c r="X52" s="1314" t="e">
        <f t="shared" si="4"/>
        <v>#DIV/0!</v>
      </c>
      <c r="Y52" s="1314" t="e">
        <f t="shared" si="4"/>
        <v>#DIV/0!</v>
      </c>
      <c r="Z52" s="1319" t="e">
        <f>'Int Reserve - A-B Loan'!I52-'Int Reserve - A-B Loan'!R52</f>
        <v>#DIV/0!</v>
      </c>
      <c r="AA52" s="1319" t="e">
        <f t="shared" si="14"/>
        <v>#DIV/0!</v>
      </c>
      <c r="AB52" s="1314" t="e">
        <f>'Int Reserve - A-B Loan'!K52-'Int Reserve - A-B Loan'!T52</f>
        <v>#DIV/0!</v>
      </c>
      <c r="AC52" s="1312" t="e">
        <f t="shared" si="15"/>
        <v>#DIV/0!</v>
      </c>
    </row>
    <row r="53" spans="3:29" x14ac:dyDescent="0.2">
      <c r="C53" s="1369">
        <f t="shared" si="19"/>
        <v>18</v>
      </c>
      <c r="D53" s="1384">
        <f t="shared" si="16"/>
        <v>46569</v>
      </c>
      <c r="E53" s="1318" cm="1">
        <f t="array" ref="E53">+IFERROR(LOOKUP(2,1/((C53&gt;=Mins)*(C53&lt;=Maxs)),Rates),"N/A")</f>
        <v>0.10150000000000001</v>
      </c>
      <c r="F53" s="1314">
        <v>0</v>
      </c>
      <c r="G53" s="1317" t="e">
        <f>+MIN($I$16-SUM($G$35:G52),$I$16/$D$18)</f>
        <v>#DIV/0!</v>
      </c>
      <c r="H53" s="1317">
        <f t="shared" si="5"/>
        <v>0</v>
      </c>
      <c r="I53" s="1319" t="e">
        <f t="shared" si="17"/>
        <v>#DIV/0!</v>
      </c>
      <c r="J53" s="1319" t="e">
        <f t="shared" si="8"/>
        <v>#DIV/0!</v>
      </c>
      <c r="K53" s="1314" t="e">
        <f t="shared" si="9"/>
        <v>#DIV/0!</v>
      </c>
      <c r="L53" s="1312" t="e">
        <f t="shared" si="10"/>
        <v>#DIV/0!</v>
      </c>
      <c r="N53" s="1318" cm="1">
        <f t="array" ref="N53">+IFERROR(LOOKUP(2,1/((C53&gt;=Mins2)*(C53&lt;=Maxs2)),Rates2),"N/A")</f>
        <v>8.9499999999999996E-2</v>
      </c>
      <c r="O53" s="1314">
        <v>0</v>
      </c>
      <c r="P53" s="1314" t="e">
        <f t="shared" si="3"/>
        <v>#DIV/0!</v>
      </c>
      <c r="Q53" s="1314" t="e">
        <f t="shared" si="6"/>
        <v>#DIV/0!</v>
      </c>
      <c r="R53" s="1319" t="e">
        <f t="shared" si="11"/>
        <v>#DIV/0!</v>
      </c>
      <c r="S53" s="1319" t="e">
        <f t="shared" si="18"/>
        <v>#DIV/0!</v>
      </c>
      <c r="T53" s="1314" t="e">
        <f t="shared" si="12"/>
        <v>#DIV/0!</v>
      </c>
      <c r="U53" s="1312" t="e">
        <f t="shared" si="13"/>
        <v>#DIV/0!</v>
      </c>
      <c r="W53" s="1314">
        <f t="shared" si="7"/>
        <v>0</v>
      </c>
      <c r="X53" s="1314" t="e">
        <f t="shared" si="4"/>
        <v>#DIV/0!</v>
      </c>
      <c r="Y53" s="1314" t="e">
        <f t="shared" si="4"/>
        <v>#DIV/0!</v>
      </c>
      <c r="Z53" s="1319" t="e">
        <f>'Int Reserve - A-B Loan'!I53-'Int Reserve - A-B Loan'!R53</f>
        <v>#DIV/0!</v>
      </c>
      <c r="AA53" s="1319" t="e">
        <f t="shared" si="14"/>
        <v>#DIV/0!</v>
      </c>
      <c r="AB53" s="1314" t="e">
        <f>'Int Reserve - A-B Loan'!K53-'Int Reserve - A-B Loan'!T53</f>
        <v>#DIV/0!</v>
      </c>
      <c r="AC53" s="1312" t="e">
        <f t="shared" si="15"/>
        <v>#DIV/0!</v>
      </c>
    </row>
    <row r="54" spans="3:29" x14ac:dyDescent="0.2">
      <c r="C54" s="1369">
        <f t="shared" si="19"/>
        <v>19</v>
      </c>
      <c r="D54" s="1384">
        <f t="shared" si="16"/>
        <v>46600</v>
      </c>
      <c r="E54" s="1318" cm="1">
        <f t="array" ref="E54">+IFERROR(LOOKUP(2,1/((C54&gt;=Mins)*(C54&lt;=Maxs)),Rates),"N/A")</f>
        <v>0.10150000000000001</v>
      </c>
      <c r="F54" s="1314">
        <v>0</v>
      </c>
      <c r="G54" s="1317" t="e">
        <f>+MIN($I$16-SUM($G$35:G53),$I$16/$D$18)</f>
        <v>#DIV/0!</v>
      </c>
      <c r="H54" s="1317">
        <f t="shared" si="5"/>
        <v>0</v>
      </c>
      <c r="I54" s="1319" t="e">
        <f t="shared" si="17"/>
        <v>#DIV/0!</v>
      </c>
      <c r="J54" s="1319" t="e">
        <f t="shared" si="8"/>
        <v>#DIV/0!</v>
      </c>
      <c r="K54" s="1314" t="e">
        <f t="shared" si="9"/>
        <v>#DIV/0!</v>
      </c>
      <c r="L54" s="1312" t="e">
        <f t="shared" si="10"/>
        <v>#DIV/0!</v>
      </c>
      <c r="N54" s="1318" cm="1">
        <f t="array" ref="N54">+IFERROR(LOOKUP(2,1/((C54&gt;=Mins2)*(C54&lt;=Maxs2)),Rates2),"N/A")</f>
        <v>8.9499999999999996E-2</v>
      </c>
      <c r="O54" s="1314">
        <v>0</v>
      </c>
      <c r="P54" s="1314" t="e">
        <f t="shared" si="3"/>
        <v>#DIV/0!</v>
      </c>
      <c r="Q54" s="1314" t="e">
        <f t="shared" si="6"/>
        <v>#DIV/0!</v>
      </c>
      <c r="R54" s="1319" t="e">
        <f t="shared" si="11"/>
        <v>#DIV/0!</v>
      </c>
      <c r="S54" s="1319" t="e">
        <f t="shared" si="18"/>
        <v>#DIV/0!</v>
      </c>
      <c r="T54" s="1314" t="e">
        <f t="shared" si="12"/>
        <v>#DIV/0!</v>
      </c>
      <c r="U54" s="1312" t="e">
        <f t="shared" si="13"/>
        <v>#DIV/0!</v>
      </c>
      <c r="W54" s="1314">
        <f t="shared" si="7"/>
        <v>0</v>
      </c>
      <c r="X54" s="1314" t="e">
        <f t="shared" si="4"/>
        <v>#DIV/0!</v>
      </c>
      <c r="Y54" s="1314" t="e">
        <f t="shared" si="4"/>
        <v>#DIV/0!</v>
      </c>
      <c r="Z54" s="1319" t="e">
        <f>'Int Reserve - A-B Loan'!I54-'Int Reserve - A-B Loan'!R54</f>
        <v>#DIV/0!</v>
      </c>
      <c r="AA54" s="1319" t="e">
        <f t="shared" si="14"/>
        <v>#DIV/0!</v>
      </c>
      <c r="AB54" s="1314" t="e">
        <f>'Int Reserve - A-B Loan'!K54-'Int Reserve - A-B Loan'!T54</f>
        <v>#DIV/0!</v>
      </c>
      <c r="AC54" s="1312" t="e">
        <f t="shared" si="15"/>
        <v>#DIV/0!</v>
      </c>
    </row>
    <row r="55" spans="3:29" x14ac:dyDescent="0.2">
      <c r="C55" s="1369">
        <f t="shared" si="19"/>
        <v>20</v>
      </c>
      <c r="D55" s="1384">
        <f t="shared" si="16"/>
        <v>46631</v>
      </c>
      <c r="E55" s="1318" cm="1">
        <f t="array" ref="E55">+IFERROR(LOOKUP(2,1/((C55&gt;=Mins)*(C55&lt;=Maxs)),Rates),"N/A")</f>
        <v>0.10150000000000001</v>
      </c>
      <c r="F55" s="1314">
        <v>0</v>
      </c>
      <c r="G55" s="1317" t="e">
        <f>+MIN($I$16-SUM($G$35:G54),$I$16/$D$18)</f>
        <v>#DIV/0!</v>
      </c>
      <c r="H55" s="1317">
        <f t="shared" si="5"/>
        <v>0</v>
      </c>
      <c r="I55" s="1319" t="e">
        <f t="shared" si="17"/>
        <v>#DIV/0!</v>
      </c>
      <c r="J55" s="1319" t="e">
        <f t="shared" si="8"/>
        <v>#DIV/0!</v>
      </c>
      <c r="K55" s="1314" t="e">
        <f t="shared" si="9"/>
        <v>#DIV/0!</v>
      </c>
      <c r="L55" s="1312" t="e">
        <f t="shared" si="10"/>
        <v>#DIV/0!</v>
      </c>
      <c r="N55" s="1318" cm="1">
        <f t="array" ref="N55">+IFERROR(LOOKUP(2,1/((C55&gt;=Mins2)*(C55&lt;=Maxs2)),Rates2),"N/A")</f>
        <v>8.9499999999999996E-2</v>
      </c>
      <c r="O55" s="1314">
        <v>0</v>
      </c>
      <c r="P55" s="1314" t="e">
        <f t="shared" si="3"/>
        <v>#DIV/0!</v>
      </c>
      <c r="Q55" s="1314" t="e">
        <f t="shared" si="6"/>
        <v>#DIV/0!</v>
      </c>
      <c r="R55" s="1319" t="e">
        <f t="shared" si="11"/>
        <v>#DIV/0!</v>
      </c>
      <c r="S55" s="1319" t="e">
        <f t="shared" si="18"/>
        <v>#DIV/0!</v>
      </c>
      <c r="T55" s="1314" t="e">
        <f t="shared" si="12"/>
        <v>#DIV/0!</v>
      </c>
      <c r="U55" s="1312" t="e">
        <f t="shared" si="13"/>
        <v>#DIV/0!</v>
      </c>
      <c r="W55" s="1314">
        <f t="shared" si="7"/>
        <v>0</v>
      </c>
      <c r="X55" s="1314" t="e">
        <f t="shared" si="4"/>
        <v>#DIV/0!</v>
      </c>
      <c r="Y55" s="1314" t="e">
        <f t="shared" si="4"/>
        <v>#DIV/0!</v>
      </c>
      <c r="Z55" s="1319" t="e">
        <f>'Int Reserve - A-B Loan'!I55-'Int Reserve - A-B Loan'!R55</f>
        <v>#DIV/0!</v>
      </c>
      <c r="AA55" s="1319" t="e">
        <f t="shared" si="14"/>
        <v>#DIV/0!</v>
      </c>
      <c r="AB55" s="1314" t="e">
        <f>'Int Reserve - A-B Loan'!K55-'Int Reserve - A-B Loan'!T55</f>
        <v>#DIV/0!</v>
      </c>
      <c r="AC55" s="1312" t="e">
        <f t="shared" si="15"/>
        <v>#DIV/0!</v>
      </c>
    </row>
    <row r="56" spans="3:29" x14ac:dyDescent="0.2">
      <c r="C56" s="1369">
        <f t="shared" si="19"/>
        <v>21</v>
      </c>
      <c r="D56" s="1384">
        <f t="shared" si="16"/>
        <v>46661</v>
      </c>
      <c r="E56" s="1318" cm="1">
        <f t="array" ref="E56">+IFERROR(LOOKUP(2,1/((C56&gt;=Mins)*(C56&lt;=Maxs)),Rates),"N/A")</f>
        <v>0.10150000000000001</v>
      </c>
      <c r="F56" s="1314">
        <v>0</v>
      </c>
      <c r="G56" s="1317" t="e">
        <f>+MIN($I$16-SUM($G$35:G55),$I$16/$D$18)</f>
        <v>#DIV/0!</v>
      </c>
      <c r="H56" s="1317">
        <f t="shared" si="5"/>
        <v>0</v>
      </c>
      <c r="I56" s="1319" t="e">
        <f t="shared" si="17"/>
        <v>#DIV/0!</v>
      </c>
      <c r="J56" s="1319" t="e">
        <f t="shared" si="8"/>
        <v>#DIV/0!</v>
      </c>
      <c r="K56" s="1314" t="e">
        <f t="shared" si="9"/>
        <v>#DIV/0!</v>
      </c>
      <c r="L56" s="1312" t="e">
        <f t="shared" si="10"/>
        <v>#DIV/0!</v>
      </c>
      <c r="N56" s="1318" cm="1">
        <f t="array" ref="N56">+IFERROR(LOOKUP(2,1/((C56&gt;=Mins2)*(C56&lt;=Maxs2)),Rates2),"N/A")</f>
        <v>8.9499999999999996E-2</v>
      </c>
      <c r="O56" s="1314">
        <v>0</v>
      </c>
      <c r="P56" s="1314" t="e">
        <f t="shared" si="3"/>
        <v>#DIV/0!</v>
      </c>
      <c r="Q56" s="1314" t="e">
        <f t="shared" si="6"/>
        <v>#DIV/0!</v>
      </c>
      <c r="R56" s="1319" t="e">
        <f t="shared" si="11"/>
        <v>#DIV/0!</v>
      </c>
      <c r="S56" s="1319" t="e">
        <f t="shared" si="18"/>
        <v>#DIV/0!</v>
      </c>
      <c r="T56" s="1314" t="e">
        <f t="shared" si="12"/>
        <v>#DIV/0!</v>
      </c>
      <c r="U56" s="1312" t="e">
        <f t="shared" si="13"/>
        <v>#DIV/0!</v>
      </c>
      <c r="W56" s="1314">
        <f t="shared" si="7"/>
        <v>0</v>
      </c>
      <c r="X56" s="1314" t="e">
        <f t="shared" si="4"/>
        <v>#DIV/0!</v>
      </c>
      <c r="Y56" s="1314" t="e">
        <f t="shared" si="4"/>
        <v>#DIV/0!</v>
      </c>
      <c r="Z56" s="1319" t="e">
        <f>'Int Reserve - A-B Loan'!I56-'Int Reserve - A-B Loan'!R56</f>
        <v>#DIV/0!</v>
      </c>
      <c r="AA56" s="1319" t="e">
        <f t="shared" si="14"/>
        <v>#DIV/0!</v>
      </c>
      <c r="AB56" s="1314" t="e">
        <f>'Int Reserve - A-B Loan'!K56-'Int Reserve - A-B Loan'!T56</f>
        <v>#DIV/0!</v>
      </c>
      <c r="AC56" s="1312" t="e">
        <f t="shared" si="15"/>
        <v>#DIV/0!</v>
      </c>
    </row>
    <row r="57" spans="3:29" x14ac:dyDescent="0.2">
      <c r="C57" s="1369">
        <f t="shared" si="19"/>
        <v>22</v>
      </c>
      <c r="D57" s="1384">
        <f t="shared" si="16"/>
        <v>46692</v>
      </c>
      <c r="E57" s="1318" cm="1">
        <f t="array" ref="E57">+IFERROR(LOOKUP(2,1/((C57&gt;=Mins)*(C57&lt;=Maxs)),Rates),"N/A")</f>
        <v>0.10150000000000001</v>
      </c>
      <c r="F57" s="1314">
        <v>0</v>
      </c>
      <c r="G57" s="1317" t="e">
        <f>+MIN($I$16-SUM($G$35:G56),$I$16/$D$18)</f>
        <v>#DIV/0!</v>
      </c>
      <c r="H57" s="1317">
        <f t="shared" si="5"/>
        <v>0</v>
      </c>
      <c r="I57" s="1319" t="e">
        <f t="shared" si="17"/>
        <v>#DIV/0!</v>
      </c>
      <c r="J57" s="1319" t="e">
        <f t="shared" si="8"/>
        <v>#DIV/0!</v>
      </c>
      <c r="K57" s="1314" t="e">
        <f t="shared" si="9"/>
        <v>#DIV/0!</v>
      </c>
      <c r="L57" s="1312" t="e">
        <f t="shared" si="10"/>
        <v>#DIV/0!</v>
      </c>
      <c r="N57" s="1318" cm="1">
        <f t="array" ref="N57">+IFERROR(LOOKUP(2,1/((C57&gt;=Mins2)*(C57&lt;=Maxs2)),Rates2),"N/A")</f>
        <v>8.9499999999999996E-2</v>
      </c>
      <c r="O57" s="1314">
        <v>0</v>
      </c>
      <c r="P57" s="1314" t="e">
        <f t="shared" si="3"/>
        <v>#DIV/0!</v>
      </c>
      <c r="Q57" s="1314" t="e">
        <f t="shared" si="6"/>
        <v>#DIV/0!</v>
      </c>
      <c r="R57" s="1319" t="e">
        <f t="shared" si="11"/>
        <v>#DIV/0!</v>
      </c>
      <c r="S57" s="1319" t="e">
        <f t="shared" si="18"/>
        <v>#DIV/0!</v>
      </c>
      <c r="T57" s="1314" t="e">
        <f t="shared" si="12"/>
        <v>#DIV/0!</v>
      </c>
      <c r="U57" s="1312" t="e">
        <f t="shared" si="13"/>
        <v>#DIV/0!</v>
      </c>
      <c r="W57" s="1314">
        <f t="shared" si="7"/>
        <v>0</v>
      </c>
      <c r="X57" s="1314" t="e">
        <f t="shared" si="4"/>
        <v>#DIV/0!</v>
      </c>
      <c r="Y57" s="1314" t="e">
        <f t="shared" si="4"/>
        <v>#DIV/0!</v>
      </c>
      <c r="Z57" s="1319" t="e">
        <f>'Int Reserve - A-B Loan'!I57-'Int Reserve - A-B Loan'!R57</f>
        <v>#DIV/0!</v>
      </c>
      <c r="AA57" s="1319" t="e">
        <f t="shared" si="14"/>
        <v>#DIV/0!</v>
      </c>
      <c r="AB57" s="1314" t="e">
        <f>'Int Reserve - A-B Loan'!K57-'Int Reserve - A-B Loan'!T57</f>
        <v>#DIV/0!</v>
      </c>
      <c r="AC57" s="1312" t="e">
        <f t="shared" si="15"/>
        <v>#DIV/0!</v>
      </c>
    </row>
    <row r="58" spans="3:29" x14ac:dyDescent="0.2">
      <c r="C58" s="1369">
        <f t="shared" si="19"/>
        <v>23</v>
      </c>
      <c r="D58" s="1384">
        <f t="shared" si="16"/>
        <v>46722</v>
      </c>
      <c r="E58" s="1318" cm="1">
        <f t="array" ref="E58">+IFERROR(LOOKUP(2,1/((C58&gt;=Mins)*(C58&lt;=Maxs)),Rates),"N/A")</f>
        <v>0.10150000000000001</v>
      </c>
      <c r="F58" s="1314">
        <v>0</v>
      </c>
      <c r="G58" s="1317" t="e">
        <f>+MIN($I$16-SUM($G$35:G57),$I$16/$D$18)</f>
        <v>#DIV/0!</v>
      </c>
      <c r="H58" s="1317">
        <f t="shared" si="5"/>
        <v>0</v>
      </c>
      <c r="I58" s="1319" t="e">
        <f t="shared" si="17"/>
        <v>#DIV/0!</v>
      </c>
      <c r="J58" s="1319" t="e">
        <f t="shared" si="8"/>
        <v>#DIV/0!</v>
      </c>
      <c r="K58" s="1314" t="e">
        <f t="shared" si="9"/>
        <v>#DIV/0!</v>
      </c>
      <c r="L58" s="1312" t="e">
        <f t="shared" si="10"/>
        <v>#DIV/0!</v>
      </c>
      <c r="N58" s="1318" cm="1">
        <f t="array" ref="N58">+IFERROR(LOOKUP(2,1/((C58&gt;=Mins2)*(C58&lt;=Maxs2)),Rates2),"N/A")</f>
        <v>8.9499999999999996E-2</v>
      </c>
      <c r="O58" s="1314">
        <v>0</v>
      </c>
      <c r="P58" s="1314" t="e">
        <f t="shared" si="3"/>
        <v>#DIV/0!</v>
      </c>
      <c r="Q58" s="1314" t="e">
        <f t="shared" si="6"/>
        <v>#DIV/0!</v>
      </c>
      <c r="R58" s="1319" t="e">
        <f t="shared" si="11"/>
        <v>#DIV/0!</v>
      </c>
      <c r="S58" s="1319" t="e">
        <f t="shared" si="18"/>
        <v>#DIV/0!</v>
      </c>
      <c r="T58" s="1314" t="e">
        <f t="shared" si="12"/>
        <v>#DIV/0!</v>
      </c>
      <c r="U58" s="1312" t="e">
        <f t="shared" si="13"/>
        <v>#DIV/0!</v>
      </c>
      <c r="W58" s="1314">
        <f t="shared" si="7"/>
        <v>0</v>
      </c>
      <c r="X58" s="1314" t="e">
        <f t="shared" si="4"/>
        <v>#DIV/0!</v>
      </c>
      <c r="Y58" s="1314" t="e">
        <f t="shared" si="4"/>
        <v>#DIV/0!</v>
      </c>
      <c r="Z58" s="1319" t="e">
        <f>'Int Reserve - A-B Loan'!I58-'Int Reserve - A-B Loan'!R58</f>
        <v>#DIV/0!</v>
      </c>
      <c r="AA58" s="1319" t="e">
        <f t="shared" si="14"/>
        <v>#DIV/0!</v>
      </c>
      <c r="AB58" s="1314" t="e">
        <f>'Int Reserve - A-B Loan'!K58-'Int Reserve - A-B Loan'!T58</f>
        <v>#DIV/0!</v>
      </c>
      <c r="AC58" s="1312" t="e">
        <f t="shared" si="15"/>
        <v>#DIV/0!</v>
      </c>
    </row>
    <row r="59" spans="3:29" x14ac:dyDescent="0.2">
      <c r="C59" s="1369">
        <f t="shared" si="19"/>
        <v>24</v>
      </c>
      <c r="D59" s="1384">
        <f t="shared" si="16"/>
        <v>46753</v>
      </c>
      <c r="E59" s="1318" cm="1">
        <f t="array" ref="E59">+IFERROR(LOOKUP(2,1/((C59&gt;=Mins)*(C59&lt;=Maxs)),Rates),"N/A")</f>
        <v>0.10150000000000001</v>
      </c>
      <c r="F59" s="1314">
        <v>0</v>
      </c>
      <c r="G59" s="1317" t="e">
        <f>+MIN($I$16-SUM($G$35:G58),$I$16/$D$18)</f>
        <v>#DIV/0!</v>
      </c>
      <c r="H59" s="1317">
        <f t="shared" si="5"/>
        <v>0</v>
      </c>
      <c r="I59" s="1319" t="e">
        <f t="shared" si="17"/>
        <v>#DIV/0!</v>
      </c>
      <c r="J59" s="1319" t="e">
        <f t="shared" si="8"/>
        <v>#DIV/0!</v>
      </c>
      <c r="K59" s="1314" t="e">
        <f t="shared" si="9"/>
        <v>#DIV/0!</v>
      </c>
      <c r="L59" s="1312" t="e">
        <f t="shared" si="10"/>
        <v>#DIV/0!</v>
      </c>
      <c r="N59" s="1318" cm="1">
        <f t="array" ref="N59">+IFERROR(LOOKUP(2,1/((C59&gt;=Mins2)*(C59&lt;=Maxs2)),Rates2),"N/A")</f>
        <v>8.9499999999999996E-2</v>
      </c>
      <c r="O59" s="1314">
        <v>0</v>
      </c>
      <c r="P59" s="1314" t="e">
        <f t="shared" si="3"/>
        <v>#DIV/0!</v>
      </c>
      <c r="Q59" s="1314" t="e">
        <f t="shared" si="6"/>
        <v>#DIV/0!</v>
      </c>
      <c r="R59" s="1319" t="e">
        <f t="shared" si="11"/>
        <v>#DIV/0!</v>
      </c>
      <c r="S59" s="1319" t="e">
        <f t="shared" si="18"/>
        <v>#DIV/0!</v>
      </c>
      <c r="T59" s="1314" t="e">
        <f t="shared" si="12"/>
        <v>#DIV/0!</v>
      </c>
      <c r="U59" s="1312" t="e">
        <f t="shared" si="13"/>
        <v>#DIV/0!</v>
      </c>
      <c r="W59" s="1314">
        <f t="shared" si="7"/>
        <v>0</v>
      </c>
      <c r="X59" s="1314" t="e">
        <f t="shared" si="4"/>
        <v>#DIV/0!</v>
      </c>
      <c r="Y59" s="1314" t="e">
        <f t="shared" si="4"/>
        <v>#DIV/0!</v>
      </c>
      <c r="Z59" s="1319" t="e">
        <f>'Int Reserve - A-B Loan'!I59-'Int Reserve - A-B Loan'!R59</f>
        <v>#DIV/0!</v>
      </c>
      <c r="AA59" s="1319" t="e">
        <f t="shared" si="14"/>
        <v>#DIV/0!</v>
      </c>
      <c r="AB59" s="1314" t="e">
        <f>'Int Reserve - A-B Loan'!K59-'Int Reserve - A-B Loan'!T59</f>
        <v>#DIV/0!</v>
      </c>
      <c r="AC59" s="1312" t="e">
        <f t="shared" si="15"/>
        <v>#DIV/0!</v>
      </c>
    </row>
    <row r="60" spans="3:29" x14ac:dyDescent="0.2">
      <c r="C60" s="1369">
        <f t="shared" si="19"/>
        <v>25</v>
      </c>
      <c r="D60" s="1384">
        <f t="shared" si="16"/>
        <v>46784</v>
      </c>
      <c r="E60" s="1318" cm="1">
        <f t="array" ref="E60">+IFERROR(LOOKUP(2,1/((C60&gt;=Mins)*(C60&lt;=Maxs)),Rates),"N/A")</f>
        <v>0.10150000000000001</v>
      </c>
      <c r="F60" s="1314">
        <v>0</v>
      </c>
      <c r="G60" s="1317" t="e">
        <f>+MIN($I$16-SUM($G$35:G59),$I$16/$D$18)</f>
        <v>#DIV/0!</v>
      </c>
      <c r="H60" s="1317">
        <f t="shared" si="5"/>
        <v>0</v>
      </c>
      <c r="I60" s="1319" t="e">
        <f t="shared" si="17"/>
        <v>#DIV/0!</v>
      </c>
      <c r="J60" s="1319" t="e">
        <f t="shared" si="8"/>
        <v>#DIV/0!</v>
      </c>
      <c r="K60" s="1314" t="e">
        <f t="shared" si="9"/>
        <v>#DIV/0!</v>
      </c>
      <c r="L60" s="1312" t="e">
        <f t="shared" si="10"/>
        <v>#DIV/0!</v>
      </c>
      <c r="N60" s="1318" cm="1">
        <f t="array" ref="N60">+IFERROR(LOOKUP(2,1/((C60&gt;=Mins2)*(C60&lt;=Maxs2)),Rates2),"N/A")</f>
        <v>8.9499999999999996E-2</v>
      </c>
      <c r="O60" s="1314">
        <v>0</v>
      </c>
      <c r="P60" s="1314" t="e">
        <f t="shared" si="3"/>
        <v>#DIV/0!</v>
      </c>
      <c r="Q60" s="1314" t="e">
        <f t="shared" si="6"/>
        <v>#DIV/0!</v>
      </c>
      <c r="R60" s="1319" t="e">
        <f t="shared" si="11"/>
        <v>#DIV/0!</v>
      </c>
      <c r="S60" s="1319" t="e">
        <f t="shared" si="18"/>
        <v>#DIV/0!</v>
      </c>
      <c r="T60" s="1314" t="e">
        <f t="shared" si="12"/>
        <v>#DIV/0!</v>
      </c>
      <c r="U60" s="1312" t="e">
        <f t="shared" si="13"/>
        <v>#DIV/0!</v>
      </c>
      <c r="W60" s="1314">
        <f t="shared" si="7"/>
        <v>0</v>
      </c>
      <c r="X60" s="1314" t="e">
        <f t="shared" si="4"/>
        <v>#DIV/0!</v>
      </c>
      <c r="Y60" s="1314" t="e">
        <f t="shared" si="4"/>
        <v>#DIV/0!</v>
      </c>
      <c r="Z60" s="1319" t="e">
        <f>'Int Reserve - A-B Loan'!I60-'Int Reserve - A-B Loan'!R60</f>
        <v>#DIV/0!</v>
      </c>
      <c r="AA60" s="1319" t="e">
        <f t="shared" si="14"/>
        <v>#DIV/0!</v>
      </c>
      <c r="AB60" s="1314" t="e">
        <f>'Int Reserve - A-B Loan'!K60-'Int Reserve - A-B Loan'!T60</f>
        <v>#DIV/0!</v>
      </c>
      <c r="AC60" s="1312" t="e">
        <f t="shared" si="15"/>
        <v>#DIV/0!</v>
      </c>
    </row>
    <row r="61" spans="3:29" x14ac:dyDescent="0.2">
      <c r="C61" s="1369">
        <f t="shared" si="19"/>
        <v>26</v>
      </c>
      <c r="D61" s="1384">
        <f t="shared" si="16"/>
        <v>46813</v>
      </c>
      <c r="E61" s="1318" cm="1">
        <f t="array" ref="E61">+IFERROR(LOOKUP(2,1/((C61&gt;=Mins)*(C61&lt;=Maxs)),Rates),"N/A")</f>
        <v>0.10150000000000001</v>
      </c>
      <c r="F61" s="1314">
        <v>0</v>
      </c>
      <c r="G61" s="1317" t="e">
        <f>+MIN($I$16-SUM($G$35:G60),$I$16/$D$18)</f>
        <v>#DIV/0!</v>
      </c>
      <c r="H61" s="1317">
        <f t="shared" si="5"/>
        <v>0</v>
      </c>
      <c r="I61" s="1319" t="e">
        <f t="shared" si="17"/>
        <v>#DIV/0!</v>
      </c>
      <c r="J61" s="1319" t="e">
        <f t="shared" si="8"/>
        <v>#DIV/0!</v>
      </c>
      <c r="K61" s="1314" t="e">
        <f t="shared" si="9"/>
        <v>#DIV/0!</v>
      </c>
      <c r="L61" s="1312" t="e">
        <f t="shared" si="10"/>
        <v>#DIV/0!</v>
      </c>
      <c r="N61" s="1318" cm="1">
        <f t="array" ref="N61">+IFERROR(LOOKUP(2,1/((C61&gt;=Mins2)*(C61&lt;=Maxs2)),Rates2),"N/A")</f>
        <v>8.9499999999999996E-2</v>
      </c>
      <c r="O61" s="1314">
        <v>0</v>
      </c>
      <c r="P61" s="1314" t="e">
        <f t="shared" si="3"/>
        <v>#DIV/0!</v>
      </c>
      <c r="Q61" s="1314" t="e">
        <f t="shared" si="6"/>
        <v>#DIV/0!</v>
      </c>
      <c r="R61" s="1319" t="e">
        <f t="shared" si="11"/>
        <v>#DIV/0!</v>
      </c>
      <c r="S61" s="1319" t="e">
        <f t="shared" si="18"/>
        <v>#DIV/0!</v>
      </c>
      <c r="T61" s="1314" t="e">
        <f t="shared" si="12"/>
        <v>#DIV/0!</v>
      </c>
      <c r="U61" s="1312" t="e">
        <f t="shared" si="13"/>
        <v>#DIV/0!</v>
      </c>
      <c r="W61" s="1314">
        <f t="shared" si="7"/>
        <v>0</v>
      </c>
      <c r="X61" s="1314" t="e">
        <f t="shared" si="4"/>
        <v>#DIV/0!</v>
      </c>
      <c r="Y61" s="1314" t="e">
        <f t="shared" si="4"/>
        <v>#DIV/0!</v>
      </c>
      <c r="Z61" s="1319" t="e">
        <f>'Int Reserve - A-B Loan'!I61-'Int Reserve - A-B Loan'!R61</f>
        <v>#DIV/0!</v>
      </c>
      <c r="AA61" s="1319" t="e">
        <f t="shared" si="14"/>
        <v>#DIV/0!</v>
      </c>
      <c r="AB61" s="1314" t="e">
        <f>'Int Reserve - A-B Loan'!K61-'Int Reserve - A-B Loan'!T61</f>
        <v>#DIV/0!</v>
      </c>
      <c r="AC61" s="1312" t="e">
        <f t="shared" si="15"/>
        <v>#DIV/0!</v>
      </c>
    </row>
    <row r="62" spans="3:29" x14ac:dyDescent="0.2">
      <c r="C62" s="1369">
        <f t="shared" si="19"/>
        <v>27</v>
      </c>
      <c r="D62" s="1384">
        <f t="shared" si="16"/>
        <v>46844</v>
      </c>
      <c r="E62" s="1318" cm="1">
        <f t="array" ref="E62">+IFERROR(LOOKUP(2,1/((C62&gt;=Mins)*(C62&lt;=Maxs)),Rates),"N/A")</f>
        <v>0.10150000000000001</v>
      </c>
      <c r="F62" s="1314">
        <v>0</v>
      </c>
      <c r="G62" s="1317" t="e">
        <f>+MIN($I$16-SUM($G$35:G61),$I$16/$D$18)</f>
        <v>#DIV/0!</v>
      </c>
      <c r="H62" s="1317">
        <f t="shared" si="5"/>
        <v>0</v>
      </c>
      <c r="I62" s="1319" t="e">
        <f t="shared" si="17"/>
        <v>#DIV/0!</v>
      </c>
      <c r="J62" s="1319" t="e">
        <f t="shared" si="8"/>
        <v>#DIV/0!</v>
      </c>
      <c r="K62" s="1314" t="e">
        <f t="shared" si="9"/>
        <v>#DIV/0!</v>
      </c>
      <c r="L62" s="1312" t="e">
        <f t="shared" si="10"/>
        <v>#DIV/0!</v>
      </c>
      <c r="N62" s="1318" cm="1">
        <f t="array" ref="N62">+IFERROR(LOOKUP(2,1/((C62&gt;=Mins2)*(C62&lt;=Maxs2)),Rates2),"N/A")</f>
        <v>8.9499999999999996E-2</v>
      </c>
      <c r="O62" s="1314">
        <v>0</v>
      </c>
      <c r="P62" s="1314" t="e">
        <f t="shared" si="3"/>
        <v>#DIV/0!</v>
      </c>
      <c r="Q62" s="1314" t="e">
        <f t="shared" si="6"/>
        <v>#DIV/0!</v>
      </c>
      <c r="R62" s="1319" t="e">
        <f t="shared" si="11"/>
        <v>#DIV/0!</v>
      </c>
      <c r="S62" s="1319" t="e">
        <f t="shared" si="18"/>
        <v>#DIV/0!</v>
      </c>
      <c r="T62" s="1314" t="e">
        <f t="shared" si="12"/>
        <v>#DIV/0!</v>
      </c>
      <c r="U62" s="1312" t="e">
        <f t="shared" si="13"/>
        <v>#DIV/0!</v>
      </c>
      <c r="W62" s="1314">
        <f t="shared" si="7"/>
        <v>0</v>
      </c>
      <c r="X62" s="1314" t="e">
        <f t="shared" si="4"/>
        <v>#DIV/0!</v>
      </c>
      <c r="Y62" s="1314" t="e">
        <f t="shared" si="4"/>
        <v>#DIV/0!</v>
      </c>
      <c r="Z62" s="1319" t="e">
        <f>'Int Reserve - A-B Loan'!I62-'Int Reserve - A-B Loan'!R62</f>
        <v>#DIV/0!</v>
      </c>
      <c r="AA62" s="1319" t="e">
        <f t="shared" si="14"/>
        <v>#DIV/0!</v>
      </c>
      <c r="AB62" s="1314" t="e">
        <f>'Int Reserve - A-B Loan'!K62-'Int Reserve - A-B Loan'!T62</f>
        <v>#DIV/0!</v>
      </c>
      <c r="AC62" s="1312" t="e">
        <f t="shared" si="15"/>
        <v>#DIV/0!</v>
      </c>
    </row>
    <row r="63" spans="3:29" x14ac:dyDescent="0.2">
      <c r="C63" s="1369">
        <f t="shared" si="19"/>
        <v>28</v>
      </c>
      <c r="D63" s="1384">
        <f t="shared" si="16"/>
        <v>46874</v>
      </c>
      <c r="E63" s="1318" cm="1">
        <f t="array" ref="E63">+IFERROR(LOOKUP(2,1/((C63&gt;=Mins)*(C63&lt;=Maxs)),Rates),"N/A")</f>
        <v>0.10150000000000001</v>
      </c>
      <c r="F63" s="1314">
        <v>0</v>
      </c>
      <c r="G63" s="1317" t="e">
        <f>+MIN($I$16-SUM($G$35:G62),$I$16/$D$18)</f>
        <v>#DIV/0!</v>
      </c>
      <c r="H63" s="1317">
        <f t="shared" si="5"/>
        <v>0</v>
      </c>
      <c r="I63" s="1319" t="e">
        <f t="shared" si="17"/>
        <v>#DIV/0!</v>
      </c>
      <c r="J63" s="1319" t="e">
        <f t="shared" si="8"/>
        <v>#DIV/0!</v>
      </c>
      <c r="K63" s="1314" t="e">
        <f t="shared" si="9"/>
        <v>#DIV/0!</v>
      </c>
      <c r="L63" s="1312" t="e">
        <f t="shared" si="10"/>
        <v>#DIV/0!</v>
      </c>
      <c r="N63" s="1318" cm="1">
        <f t="array" ref="N63">+IFERROR(LOOKUP(2,1/((C63&gt;=Mins2)*(C63&lt;=Maxs2)),Rates2),"N/A")</f>
        <v>8.9499999999999996E-2</v>
      </c>
      <c r="O63" s="1314">
        <v>0</v>
      </c>
      <c r="P63" s="1314" t="e">
        <f t="shared" si="3"/>
        <v>#DIV/0!</v>
      </c>
      <c r="Q63" s="1314" t="e">
        <f t="shared" si="6"/>
        <v>#DIV/0!</v>
      </c>
      <c r="R63" s="1319" t="e">
        <f t="shared" si="11"/>
        <v>#DIV/0!</v>
      </c>
      <c r="S63" s="1319" t="e">
        <f t="shared" si="18"/>
        <v>#DIV/0!</v>
      </c>
      <c r="T63" s="1314" t="e">
        <f t="shared" si="12"/>
        <v>#DIV/0!</v>
      </c>
      <c r="U63" s="1312" t="e">
        <f t="shared" si="13"/>
        <v>#DIV/0!</v>
      </c>
      <c r="W63" s="1314">
        <f t="shared" si="7"/>
        <v>0</v>
      </c>
      <c r="X63" s="1314" t="e">
        <f t="shared" si="4"/>
        <v>#DIV/0!</v>
      </c>
      <c r="Y63" s="1314" t="e">
        <f t="shared" si="4"/>
        <v>#DIV/0!</v>
      </c>
      <c r="Z63" s="1319" t="e">
        <f>'Int Reserve - A-B Loan'!I63-'Int Reserve - A-B Loan'!R63</f>
        <v>#DIV/0!</v>
      </c>
      <c r="AA63" s="1319" t="e">
        <f t="shared" si="14"/>
        <v>#DIV/0!</v>
      </c>
      <c r="AB63" s="1314" t="e">
        <f>'Int Reserve - A-B Loan'!K63-'Int Reserve - A-B Loan'!T63</f>
        <v>#DIV/0!</v>
      </c>
      <c r="AC63" s="1312" t="e">
        <f t="shared" si="15"/>
        <v>#DIV/0!</v>
      </c>
    </row>
    <row r="64" spans="3:29" x14ac:dyDescent="0.2">
      <c r="C64" s="1369">
        <f t="shared" si="19"/>
        <v>29</v>
      </c>
      <c r="D64" s="1384">
        <f t="shared" si="16"/>
        <v>46905</v>
      </c>
      <c r="E64" s="1318" cm="1">
        <f t="array" ref="E64">+IFERROR(LOOKUP(2,1/((C64&gt;=Mins)*(C64&lt;=Maxs)),Rates),"N/A")</f>
        <v>0.10150000000000001</v>
      </c>
      <c r="F64" s="1314">
        <v>0</v>
      </c>
      <c r="G64" s="1317" t="e">
        <f>+MIN($I$16-SUM($G$35:G63),$I$16/$D$18)</f>
        <v>#DIV/0!</v>
      </c>
      <c r="H64" s="1317">
        <f t="shared" si="5"/>
        <v>0</v>
      </c>
      <c r="I64" s="1319" t="e">
        <f t="shared" si="17"/>
        <v>#DIV/0!</v>
      </c>
      <c r="J64" s="1319" t="e">
        <f t="shared" si="8"/>
        <v>#DIV/0!</v>
      </c>
      <c r="K64" s="1314" t="e">
        <f t="shared" si="9"/>
        <v>#DIV/0!</v>
      </c>
      <c r="L64" s="1312" t="e">
        <f t="shared" si="10"/>
        <v>#DIV/0!</v>
      </c>
      <c r="N64" s="1318" cm="1">
        <f t="array" ref="N64">+IFERROR(LOOKUP(2,1/((C64&gt;=Mins2)*(C64&lt;=Maxs2)),Rates2),"N/A")</f>
        <v>8.9499999999999996E-2</v>
      </c>
      <c r="O64" s="1314">
        <v>0</v>
      </c>
      <c r="P64" s="1314" t="e">
        <f t="shared" si="3"/>
        <v>#DIV/0!</v>
      </c>
      <c r="Q64" s="1314" t="e">
        <f t="shared" si="6"/>
        <v>#DIV/0!</v>
      </c>
      <c r="R64" s="1319" t="e">
        <f t="shared" si="11"/>
        <v>#DIV/0!</v>
      </c>
      <c r="S64" s="1319" t="e">
        <f t="shared" si="18"/>
        <v>#DIV/0!</v>
      </c>
      <c r="T64" s="1314" t="e">
        <f t="shared" si="12"/>
        <v>#DIV/0!</v>
      </c>
      <c r="U64" s="1312" t="e">
        <f t="shared" si="13"/>
        <v>#DIV/0!</v>
      </c>
      <c r="W64" s="1314">
        <f t="shared" si="7"/>
        <v>0</v>
      </c>
      <c r="X64" s="1314" t="e">
        <f t="shared" si="4"/>
        <v>#DIV/0!</v>
      </c>
      <c r="Y64" s="1314" t="e">
        <f t="shared" si="4"/>
        <v>#DIV/0!</v>
      </c>
      <c r="Z64" s="1319" t="e">
        <f>'Int Reserve - A-B Loan'!I64-'Int Reserve - A-B Loan'!R64</f>
        <v>#DIV/0!</v>
      </c>
      <c r="AA64" s="1319" t="e">
        <f t="shared" si="14"/>
        <v>#DIV/0!</v>
      </c>
      <c r="AB64" s="1314" t="e">
        <f>'Int Reserve - A-B Loan'!K64-'Int Reserve - A-B Loan'!T64</f>
        <v>#DIV/0!</v>
      </c>
      <c r="AC64" s="1312" t="e">
        <f t="shared" si="15"/>
        <v>#DIV/0!</v>
      </c>
    </row>
    <row r="65" spans="3:29" x14ac:dyDescent="0.2">
      <c r="C65" s="1369">
        <f t="shared" si="19"/>
        <v>30</v>
      </c>
      <c r="D65" s="1384">
        <f t="shared" si="16"/>
        <v>46935</v>
      </c>
      <c r="E65" s="1318" cm="1">
        <f t="array" ref="E65">+IFERROR(LOOKUP(2,1/((C65&gt;=Mins)*(C65&lt;=Maxs)),Rates),"N/A")</f>
        <v>0.10150000000000001</v>
      </c>
      <c r="F65" s="1314">
        <v>0</v>
      </c>
      <c r="G65" s="1317" t="e">
        <f>+MIN($I$16-SUM($G$35:G64),$I$16/$D$18)</f>
        <v>#DIV/0!</v>
      </c>
      <c r="H65" s="1317">
        <f t="shared" si="5"/>
        <v>0</v>
      </c>
      <c r="I65" s="1319" t="e">
        <f t="shared" si="17"/>
        <v>#DIV/0!</v>
      </c>
      <c r="J65" s="1319" t="e">
        <f t="shared" si="8"/>
        <v>#DIV/0!</v>
      </c>
      <c r="K65" s="1314" t="e">
        <f t="shared" si="9"/>
        <v>#DIV/0!</v>
      </c>
      <c r="L65" s="1312" t="e">
        <f t="shared" si="10"/>
        <v>#DIV/0!</v>
      </c>
      <c r="N65" s="1318" cm="1">
        <f t="array" ref="N65">+IFERROR(LOOKUP(2,1/((C65&gt;=Mins2)*(C65&lt;=Maxs2)),Rates2),"N/A")</f>
        <v>8.9499999999999996E-2</v>
      </c>
      <c r="O65" s="1314">
        <v>0</v>
      </c>
      <c r="P65" s="1314" t="e">
        <f t="shared" si="3"/>
        <v>#DIV/0!</v>
      </c>
      <c r="Q65" s="1314" t="e">
        <f t="shared" si="6"/>
        <v>#DIV/0!</v>
      </c>
      <c r="R65" s="1319" t="e">
        <f t="shared" si="11"/>
        <v>#DIV/0!</v>
      </c>
      <c r="S65" s="1319" t="e">
        <f t="shared" si="18"/>
        <v>#DIV/0!</v>
      </c>
      <c r="T65" s="1314" t="e">
        <f t="shared" si="12"/>
        <v>#DIV/0!</v>
      </c>
      <c r="U65" s="1312" t="e">
        <f t="shared" si="13"/>
        <v>#DIV/0!</v>
      </c>
      <c r="W65" s="1314">
        <f t="shared" si="7"/>
        <v>0</v>
      </c>
      <c r="X65" s="1314" t="e">
        <f t="shared" si="4"/>
        <v>#DIV/0!</v>
      </c>
      <c r="Y65" s="1314" t="e">
        <f t="shared" si="4"/>
        <v>#DIV/0!</v>
      </c>
      <c r="Z65" s="1319" t="e">
        <f>'Int Reserve - A-B Loan'!I65-'Int Reserve - A-B Loan'!R65</f>
        <v>#DIV/0!</v>
      </c>
      <c r="AA65" s="1319" t="e">
        <f t="shared" si="14"/>
        <v>#DIV/0!</v>
      </c>
      <c r="AB65" s="1314" t="e">
        <f>'Int Reserve - A-B Loan'!K65-'Int Reserve - A-B Loan'!T65</f>
        <v>#DIV/0!</v>
      </c>
      <c r="AC65" s="1312" t="e">
        <f t="shared" si="15"/>
        <v>#DIV/0!</v>
      </c>
    </row>
    <row r="66" spans="3:29" x14ac:dyDescent="0.2">
      <c r="C66" s="1369">
        <f t="shared" si="19"/>
        <v>31</v>
      </c>
      <c r="D66" s="1384">
        <f t="shared" si="16"/>
        <v>46966</v>
      </c>
      <c r="E66" s="1318" cm="1">
        <f t="array" ref="E66">+IFERROR(LOOKUP(2,1/((C66&gt;=Mins)*(C66&lt;=Maxs)),Rates),"N/A")</f>
        <v>0.10150000000000001</v>
      </c>
      <c r="F66" s="1314">
        <v>0</v>
      </c>
      <c r="G66" s="1317" t="e">
        <f>+MIN($I$16-SUM($G$35:G65),$I$16/$D$18)</f>
        <v>#DIV/0!</v>
      </c>
      <c r="H66" s="1317">
        <f t="shared" si="5"/>
        <v>0</v>
      </c>
      <c r="I66" s="1319" t="e">
        <f t="shared" si="17"/>
        <v>#DIV/0!</v>
      </c>
      <c r="J66" s="1319" t="e">
        <f t="shared" si="8"/>
        <v>#DIV/0!</v>
      </c>
      <c r="K66" s="1314" t="e">
        <f t="shared" si="9"/>
        <v>#DIV/0!</v>
      </c>
      <c r="L66" s="1312" t="e">
        <f t="shared" si="10"/>
        <v>#DIV/0!</v>
      </c>
      <c r="N66" s="1318" cm="1">
        <f t="array" ref="N66">+IFERROR(LOOKUP(2,1/((C66&gt;=Mins2)*(C66&lt;=Maxs2)),Rates2),"N/A")</f>
        <v>8.9499999999999996E-2</v>
      </c>
      <c r="O66" s="1314">
        <v>0</v>
      </c>
      <c r="P66" s="1314" t="e">
        <f t="shared" si="3"/>
        <v>#DIV/0!</v>
      </c>
      <c r="Q66" s="1314" t="e">
        <f t="shared" si="6"/>
        <v>#DIV/0!</v>
      </c>
      <c r="R66" s="1319" t="e">
        <f t="shared" si="11"/>
        <v>#DIV/0!</v>
      </c>
      <c r="S66" s="1319" t="e">
        <f t="shared" si="18"/>
        <v>#DIV/0!</v>
      </c>
      <c r="T66" s="1314" t="e">
        <f t="shared" si="12"/>
        <v>#DIV/0!</v>
      </c>
      <c r="U66" s="1312" t="e">
        <f t="shared" si="13"/>
        <v>#DIV/0!</v>
      </c>
      <c r="W66" s="1314">
        <f t="shared" si="7"/>
        <v>0</v>
      </c>
      <c r="X66" s="1314" t="e">
        <f t="shared" si="7"/>
        <v>#DIV/0!</v>
      </c>
      <c r="Y66" s="1314" t="e">
        <f t="shared" si="7"/>
        <v>#DIV/0!</v>
      </c>
      <c r="Z66" s="1319" t="e">
        <f>'Int Reserve - A-B Loan'!I66-'Int Reserve - A-B Loan'!R66</f>
        <v>#DIV/0!</v>
      </c>
      <c r="AA66" s="1319" t="e">
        <f t="shared" si="14"/>
        <v>#DIV/0!</v>
      </c>
      <c r="AB66" s="1314" t="e">
        <f>'Int Reserve - A-B Loan'!K66-'Int Reserve - A-B Loan'!T66</f>
        <v>#DIV/0!</v>
      </c>
      <c r="AC66" s="1312" t="e">
        <f t="shared" si="15"/>
        <v>#DIV/0!</v>
      </c>
    </row>
    <row r="67" spans="3:29" x14ac:dyDescent="0.2">
      <c r="C67" s="1369">
        <f t="shared" si="19"/>
        <v>32</v>
      </c>
      <c r="D67" s="1384">
        <f t="shared" si="16"/>
        <v>46997</v>
      </c>
      <c r="E67" s="1318" cm="1">
        <f t="array" ref="E67">+IFERROR(LOOKUP(2,1/((C67&gt;=Mins)*(C67&lt;=Maxs)),Rates),"N/A")</f>
        <v>0.10150000000000001</v>
      </c>
      <c r="F67" s="1314">
        <v>0</v>
      </c>
      <c r="G67" s="1317" t="e">
        <f>+MIN($I$16-SUM($G$35:G66),$I$16/$D$18)</f>
        <v>#DIV/0!</v>
      </c>
      <c r="H67" s="1317">
        <f t="shared" si="5"/>
        <v>0</v>
      </c>
      <c r="I67" s="1319" t="e">
        <f t="shared" si="17"/>
        <v>#DIV/0!</v>
      </c>
      <c r="J67" s="1319" t="e">
        <f t="shared" si="8"/>
        <v>#DIV/0!</v>
      </c>
      <c r="K67" s="1314" t="e">
        <f t="shared" si="9"/>
        <v>#DIV/0!</v>
      </c>
      <c r="L67" s="1312" t="e">
        <f t="shared" si="10"/>
        <v>#DIV/0!</v>
      </c>
      <c r="N67" s="1318" cm="1">
        <f t="array" ref="N67">+IFERROR(LOOKUP(2,1/((C67&gt;=Mins2)*(C67&lt;=Maxs2)),Rates2),"N/A")</f>
        <v>8.9499999999999996E-2</v>
      </c>
      <c r="O67" s="1314">
        <v>0</v>
      </c>
      <c r="P67" s="1314" t="e">
        <f t="shared" si="3"/>
        <v>#DIV/0!</v>
      </c>
      <c r="Q67" s="1314" t="e">
        <f t="shared" si="6"/>
        <v>#DIV/0!</v>
      </c>
      <c r="R67" s="1319" t="e">
        <f t="shared" si="11"/>
        <v>#DIV/0!</v>
      </c>
      <c r="S67" s="1319" t="e">
        <f t="shared" si="18"/>
        <v>#DIV/0!</v>
      </c>
      <c r="T67" s="1314" t="e">
        <f t="shared" si="12"/>
        <v>#DIV/0!</v>
      </c>
      <c r="U67" s="1312" t="e">
        <f t="shared" si="13"/>
        <v>#DIV/0!</v>
      </c>
      <c r="W67" s="1314">
        <f t="shared" ref="W67:Y87" si="20">F67-O67</f>
        <v>0</v>
      </c>
      <c r="X67" s="1314" t="e">
        <f t="shared" si="20"/>
        <v>#DIV/0!</v>
      </c>
      <c r="Y67" s="1314" t="e">
        <f t="shared" si="20"/>
        <v>#DIV/0!</v>
      </c>
      <c r="Z67" s="1319" t="e">
        <f>'Int Reserve - A-B Loan'!I67-'Int Reserve - A-B Loan'!R67</f>
        <v>#DIV/0!</v>
      </c>
      <c r="AA67" s="1319" t="e">
        <f t="shared" si="14"/>
        <v>#DIV/0!</v>
      </c>
      <c r="AB67" s="1314" t="e">
        <f>'Int Reserve - A-B Loan'!K67-'Int Reserve - A-B Loan'!T67</f>
        <v>#DIV/0!</v>
      </c>
      <c r="AC67" s="1312" t="e">
        <f t="shared" si="15"/>
        <v>#DIV/0!</v>
      </c>
    </row>
    <row r="68" spans="3:29" x14ac:dyDescent="0.2">
      <c r="C68" s="1369">
        <f t="shared" si="19"/>
        <v>33</v>
      </c>
      <c r="D68" s="1384">
        <f t="shared" si="16"/>
        <v>47027</v>
      </c>
      <c r="E68" s="1318" cm="1">
        <f t="array" ref="E68">+IFERROR(LOOKUP(2,1/((C68&gt;=Mins)*(C68&lt;=Maxs)),Rates),"N/A")</f>
        <v>0.10150000000000001</v>
      </c>
      <c r="F68" s="1314">
        <v>0</v>
      </c>
      <c r="G68" s="1317" t="e">
        <f>+MIN($I$16-SUM($G$35:G67),$I$16/$D$18)</f>
        <v>#DIV/0!</v>
      </c>
      <c r="H68" s="1317">
        <f t="shared" si="5"/>
        <v>0</v>
      </c>
      <c r="I68" s="1319" t="e">
        <f t="shared" si="17"/>
        <v>#DIV/0!</v>
      </c>
      <c r="J68" s="1319" t="e">
        <f t="shared" si="8"/>
        <v>#DIV/0!</v>
      </c>
      <c r="K68" s="1314" t="e">
        <f t="shared" si="9"/>
        <v>#DIV/0!</v>
      </c>
      <c r="L68" s="1312" t="e">
        <f t="shared" si="10"/>
        <v>#DIV/0!</v>
      </c>
      <c r="N68" s="1318" cm="1">
        <f t="array" ref="N68">+IFERROR(LOOKUP(2,1/((C68&gt;=Mins2)*(C68&lt;=Maxs2)),Rates2),"N/A")</f>
        <v>8.9499999999999996E-2</v>
      </c>
      <c r="O68" s="1314">
        <v>0</v>
      </c>
      <c r="P68" s="1314" t="e">
        <f t="shared" si="3"/>
        <v>#DIV/0!</v>
      </c>
      <c r="Q68" s="1314" t="e">
        <f t="shared" si="6"/>
        <v>#DIV/0!</v>
      </c>
      <c r="R68" s="1319" t="e">
        <f t="shared" si="11"/>
        <v>#DIV/0!</v>
      </c>
      <c r="S68" s="1319" t="e">
        <f t="shared" si="18"/>
        <v>#DIV/0!</v>
      </c>
      <c r="T68" s="1314" t="e">
        <f t="shared" si="12"/>
        <v>#DIV/0!</v>
      </c>
      <c r="U68" s="1312" t="e">
        <f t="shared" si="13"/>
        <v>#DIV/0!</v>
      </c>
      <c r="W68" s="1314">
        <f t="shared" si="20"/>
        <v>0</v>
      </c>
      <c r="X68" s="1314" t="e">
        <f t="shared" si="20"/>
        <v>#DIV/0!</v>
      </c>
      <c r="Y68" s="1314" t="e">
        <f t="shared" si="20"/>
        <v>#DIV/0!</v>
      </c>
      <c r="Z68" s="1319" t="e">
        <f>'Int Reserve - A-B Loan'!I68-'Int Reserve - A-B Loan'!R68</f>
        <v>#DIV/0!</v>
      </c>
      <c r="AA68" s="1319" t="e">
        <f t="shared" si="14"/>
        <v>#DIV/0!</v>
      </c>
      <c r="AB68" s="1314" t="e">
        <f>'Int Reserve - A-B Loan'!K68-'Int Reserve - A-B Loan'!T68</f>
        <v>#DIV/0!</v>
      </c>
      <c r="AC68" s="1312" t="e">
        <f t="shared" si="15"/>
        <v>#DIV/0!</v>
      </c>
    </row>
    <row r="69" spans="3:29" x14ac:dyDescent="0.2">
      <c r="C69" s="1369">
        <f t="shared" si="19"/>
        <v>34</v>
      </c>
      <c r="D69" s="1384">
        <f t="shared" si="16"/>
        <v>47058</v>
      </c>
      <c r="E69" s="1318" cm="1">
        <f t="array" ref="E69">+IFERROR(LOOKUP(2,1/((C69&gt;=Mins)*(C69&lt;=Maxs)),Rates),"N/A")</f>
        <v>0.10150000000000001</v>
      </c>
      <c r="F69" s="1314">
        <v>0</v>
      </c>
      <c r="G69" s="1317" t="e">
        <f>+MIN($I$16-SUM($G$35:G68),$I$16/$D$18)</f>
        <v>#DIV/0!</v>
      </c>
      <c r="H69" s="1317">
        <f t="shared" si="5"/>
        <v>0</v>
      </c>
      <c r="I69" s="1319" t="e">
        <f t="shared" si="17"/>
        <v>#DIV/0!</v>
      </c>
      <c r="J69" s="1319" t="e">
        <f t="shared" si="8"/>
        <v>#DIV/0!</v>
      </c>
      <c r="K69" s="1314" t="e">
        <f t="shared" si="9"/>
        <v>#DIV/0!</v>
      </c>
      <c r="L69" s="1312" t="e">
        <f t="shared" si="10"/>
        <v>#DIV/0!</v>
      </c>
      <c r="N69" s="1318" cm="1">
        <f t="array" ref="N69">+IFERROR(LOOKUP(2,1/((C69&gt;=Mins2)*(C69&lt;=Maxs2)),Rates2),"N/A")</f>
        <v>8.9499999999999996E-2</v>
      </c>
      <c r="O69" s="1314">
        <v>0</v>
      </c>
      <c r="P69" s="1314" t="e">
        <f t="shared" si="3"/>
        <v>#DIV/0!</v>
      </c>
      <c r="Q69" s="1314" t="e">
        <f t="shared" si="6"/>
        <v>#DIV/0!</v>
      </c>
      <c r="R69" s="1319" t="e">
        <f t="shared" si="11"/>
        <v>#DIV/0!</v>
      </c>
      <c r="S69" s="1319" t="e">
        <f t="shared" si="18"/>
        <v>#DIV/0!</v>
      </c>
      <c r="T69" s="1314" t="e">
        <f t="shared" si="12"/>
        <v>#DIV/0!</v>
      </c>
      <c r="U69" s="1312" t="e">
        <f t="shared" si="13"/>
        <v>#DIV/0!</v>
      </c>
      <c r="W69" s="1314">
        <f t="shared" si="20"/>
        <v>0</v>
      </c>
      <c r="X69" s="1314" t="e">
        <f t="shared" si="20"/>
        <v>#DIV/0!</v>
      </c>
      <c r="Y69" s="1314" t="e">
        <f t="shared" si="20"/>
        <v>#DIV/0!</v>
      </c>
      <c r="Z69" s="1319" t="e">
        <f>'Int Reserve - A-B Loan'!I69-'Int Reserve - A-B Loan'!R69</f>
        <v>#DIV/0!</v>
      </c>
      <c r="AA69" s="1319" t="e">
        <f t="shared" si="14"/>
        <v>#DIV/0!</v>
      </c>
      <c r="AB69" s="1314" t="e">
        <f>'Int Reserve - A-B Loan'!K69-'Int Reserve - A-B Loan'!T69</f>
        <v>#DIV/0!</v>
      </c>
      <c r="AC69" s="1312" t="e">
        <f t="shared" si="15"/>
        <v>#DIV/0!</v>
      </c>
    </row>
    <row r="70" spans="3:29" x14ac:dyDescent="0.2">
      <c r="C70" s="1369">
        <f t="shared" si="19"/>
        <v>35</v>
      </c>
      <c r="D70" s="1384">
        <f t="shared" si="16"/>
        <v>47088</v>
      </c>
      <c r="E70" s="1318" cm="1">
        <f t="array" ref="E70">+IFERROR(LOOKUP(2,1/((C70&gt;=Mins)*(C70&lt;=Maxs)),Rates),"N/A")</f>
        <v>0.10150000000000001</v>
      </c>
      <c r="F70" s="1314">
        <v>0</v>
      </c>
      <c r="G70" s="1317" t="e">
        <f>+MIN($I$16-SUM($G$35:G69),$I$16/$D$18)</f>
        <v>#DIV/0!</v>
      </c>
      <c r="H70" s="1317">
        <f t="shared" si="5"/>
        <v>0</v>
      </c>
      <c r="I70" s="1319" t="e">
        <f t="shared" si="17"/>
        <v>#DIV/0!</v>
      </c>
      <c r="J70" s="1319" t="e">
        <f t="shared" si="8"/>
        <v>#DIV/0!</v>
      </c>
      <c r="K70" s="1314" t="e">
        <f t="shared" si="9"/>
        <v>#DIV/0!</v>
      </c>
      <c r="L70" s="1312" t="e">
        <f t="shared" si="10"/>
        <v>#DIV/0!</v>
      </c>
      <c r="N70" s="1318" cm="1">
        <f t="array" ref="N70">+IFERROR(LOOKUP(2,1/((C70&gt;=Mins2)*(C70&lt;=Maxs2)),Rates2),"N/A")</f>
        <v>8.9499999999999996E-2</v>
      </c>
      <c r="O70" s="1314">
        <v>0</v>
      </c>
      <c r="P70" s="1314" t="e">
        <f t="shared" si="3"/>
        <v>#DIV/0!</v>
      </c>
      <c r="Q70" s="1314" t="e">
        <f t="shared" si="6"/>
        <v>#DIV/0!</v>
      </c>
      <c r="R70" s="1319" t="e">
        <f t="shared" si="11"/>
        <v>#DIV/0!</v>
      </c>
      <c r="S70" s="1319" t="e">
        <f t="shared" si="18"/>
        <v>#DIV/0!</v>
      </c>
      <c r="T70" s="1314" t="e">
        <f t="shared" si="12"/>
        <v>#DIV/0!</v>
      </c>
      <c r="U70" s="1312" t="e">
        <f t="shared" si="13"/>
        <v>#DIV/0!</v>
      </c>
      <c r="W70" s="1314">
        <f t="shared" si="20"/>
        <v>0</v>
      </c>
      <c r="X70" s="1314" t="e">
        <f t="shared" si="20"/>
        <v>#DIV/0!</v>
      </c>
      <c r="Y70" s="1314" t="e">
        <f t="shared" si="20"/>
        <v>#DIV/0!</v>
      </c>
      <c r="Z70" s="1319" t="e">
        <f>'Int Reserve - A-B Loan'!I70-'Int Reserve - A-B Loan'!R70</f>
        <v>#DIV/0!</v>
      </c>
      <c r="AA70" s="1319" t="e">
        <f t="shared" si="14"/>
        <v>#DIV/0!</v>
      </c>
      <c r="AB70" s="1314" t="e">
        <f>'Int Reserve - A-B Loan'!K70-'Int Reserve - A-B Loan'!T70</f>
        <v>#DIV/0!</v>
      </c>
      <c r="AC70" s="1312" t="e">
        <f t="shared" si="15"/>
        <v>#DIV/0!</v>
      </c>
    </row>
    <row r="71" spans="3:29" x14ac:dyDescent="0.2">
      <c r="C71" s="1369">
        <f t="shared" si="19"/>
        <v>36</v>
      </c>
      <c r="D71" s="1384">
        <f t="shared" si="16"/>
        <v>47119</v>
      </c>
      <c r="E71" s="1318" cm="1">
        <f t="array" ref="E71">+IFERROR(LOOKUP(2,1/((C71&gt;=Mins)*(C71&lt;=Maxs)),Rates),"N/A")</f>
        <v>0.10150000000000001</v>
      </c>
      <c r="F71" s="1314">
        <v>0</v>
      </c>
      <c r="G71" s="1317" t="e">
        <f>+MIN($I$16-SUM($G$35:G70),$I$16/$D$18)</f>
        <v>#DIV/0!</v>
      </c>
      <c r="H71" s="1317">
        <f t="shared" si="5"/>
        <v>0</v>
      </c>
      <c r="I71" s="1319" t="e">
        <f t="shared" si="17"/>
        <v>#DIV/0!</v>
      </c>
      <c r="J71" s="1319" t="e">
        <f t="shared" si="8"/>
        <v>#DIV/0!</v>
      </c>
      <c r="K71" s="1314" t="e">
        <f t="shared" si="9"/>
        <v>#DIV/0!</v>
      </c>
      <c r="L71" s="1312" t="e">
        <f t="shared" si="10"/>
        <v>#DIV/0!</v>
      </c>
      <c r="N71" s="1318" cm="1">
        <f t="array" ref="N71">+IFERROR(LOOKUP(2,1/((C71&gt;=Mins2)*(C71&lt;=Maxs2)),Rates2),"N/A")</f>
        <v>8.9499999999999996E-2</v>
      </c>
      <c r="O71" s="1314">
        <v>0</v>
      </c>
      <c r="P71" s="1314" t="e">
        <f t="shared" si="3"/>
        <v>#DIV/0!</v>
      </c>
      <c r="Q71" s="1314" t="e">
        <f t="shared" si="6"/>
        <v>#DIV/0!</v>
      </c>
      <c r="R71" s="1319" t="e">
        <f t="shared" si="11"/>
        <v>#DIV/0!</v>
      </c>
      <c r="S71" s="1319" t="e">
        <f t="shared" si="18"/>
        <v>#DIV/0!</v>
      </c>
      <c r="T71" s="1314" t="e">
        <f t="shared" si="12"/>
        <v>#DIV/0!</v>
      </c>
      <c r="U71" s="1312" t="e">
        <f t="shared" si="13"/>
        <v>#DIV/0!</v>
      </c>
      <c r="W71" s="1314">
        <f t="shared" si="20"/>
        <v>0</v>
      </c>
      <c r="X71" s="1314" t="e">
        <f t="shared" si="20"/>
        <v>#DIV/0!</v>
      </c>
      <c r="Y71" s="1314" t="e">
        <f t="shared" si="20"/>
        <v>#DIV/0!</v>
      </c>
      <c r="Z71" s="1319" t="e">
        <f>'Int Reserve - A-B Loan'!I71-'Int Reserve - A-B Loan'!R71</f>
        <v>#DIV/0!</v>
      </c>
      <c r="AA71" s="1319" t="e">
        <f t="shared" si="14"/>
        <v>#DIV/0!</v>
      </c>
      <c r="AB71" s="1314" t="e">
        <f>'Int Reserve - A-B Loan'!K71-'Int Reserve - A-B Loan'!T71</f>
        <v>#DIV/0!</v>
      </c>
      <c r="AC71" s="1312" t="e">
        <f t="shared" si="15"/>
        <v>#DIV/0!</v>
      </c>
    </row>
    <row r="72" spans="3:29" x14ac:dyDescent="0.2">
      <c r="C72" s="1369">
        <f t="shared" si="19"/>
        <v>37</v>
      </c>
      <c r="D72" s="1384">
        <f t="shared" si="16"/>
        <v>47150</v>
      </c>
      <c r="E72" s="1318" cm="1">
        <f t="array" ref="E72">+IFERROR(LOOKUP(2,1/((C72&gt;=Mins)*(C72&lt;=Maxs)),Rates),"N/A")</f>
        <v>0.10150000000000001</v>
      </c>
      <c r="F72" s="1314">
        <v>0</v>
      </c>
      <c r="G72" s="1317" t="e">
        <f>+MIN($I$16-SUM($G$35:G71),$I$16/$D$18)</f>
        <v>#DIV/0!</v>
      </c>
      <c r="H72" s="1317">
        <f t="shared" si="5"/>
        <v>0</v>
      </c>
      <c r="I72" s="1319" t="e">
        <f t="shared" si="17"/>
        <v>#DIV/0!</v>
      </c>
      <c r="J72" s="1319" t="e">
        <f t="shared" si="8"/>
        <v>#DIV/0!</v>
      </c>
      <c r="K72" s="1314" t="e">
        <f t="shared" si="9"/>
        <v>#DIV/0!</v>
      </c>
      <c r="L72" s="1312" t="e">
        <f t="shared" si="10"/>
        <v>#DIV/0!</v>
      </c>
      <c r="N72" s="1318" cm="1">
        <f t="array" ref="N72">+IFERROR(LOOKUP(2,1/((C72&gt;=Mins2)*(C72&lt;=Maxs2)),Rates2),"N/A")</f>
        <v>8.9499999999999996E-2</v>
      </c>
      <c r="O72" s="1314">
        <v>0</v>
      </c>
      <c r="P72" s="1314" t="e">
        <f t="shared" si="3"/>
        <v>#DIV/0!</v>
      </c>
      <c r="Q72" s="1314" t="e">
        <f t="shared" si="6"/>
        <v>#DIV/0!</v>
      </c>
      <c r="R72" s="1319" t="e">
        <f t="shared" si="11"/>
        <v>#DIV/0!</v>
      </c>
      <c r="S72" s="1319" t="e">
        <f t="shared" si="18"/>
        <v>#DIV/0!</v>
      </c>
      <c r="T72" s="1314" t="e">
        <f t="shared" si="12"/>
        <v>#DIV/0!</v>
      </c>
      <c r="U72" s="1312" t="e">
        <f t="shared" si="13"/>
        <v>#DIV/0!</v>
      </c>
      <c r="W72" s="1314">
        <f t="shared" si="20"/>
        <v>0</v>
      </c>
      <c r="X72" s="1314" t="e">
        <f t="shared" si="20"/>
        <v>#DIV/0!</v>
      </c>
      <c r="Y72" s="1314" t="e">
        <f t="shared" si="20"/>
        <v>#DIV/0!</v>
      </c>
      <c r="Z72" s="1319" t="e">
        <f>'Int Reserve - A-B Loan'!I72-'Int Reserve - A-B Loan'!R72</f>
        <v>#DIV/0!</v>
      </c>
      <c r="AA72" s="1319" t="e">
        <f t="shared" si="14"/>
        <v>#DIV/0!</v>
      </c>
      <c r="AB72" s="1314" t="e">
        <f>'Int Reserve - A-B Loan'!K72-'Int Reserve - A-B Loan'!T72</f>
        <v>#DIV/0!</v>
      </c>
      <c r="AC72" s="1312" t="e">
        <f t="shared" si="15"/>
        <v>#DIV/0!</v>
      </c>
    </row>
    <row r="73" spans="3:29" x14ac:dyDescent="0.2">
      <c r="C73" s="1369">
        <f t="shared" si="19"/>
        <v>38</v>
      </c>
      <c r="D73" s="1384">
        <f t="shared" si="16"/>
        <v>47178</v>
      </c>
      <c r="E73" s="1318" cm="1">
        <f t="array" ref="E73">+IFERROR(LOOKUP(2,1/((C73&gt;=Mins)*(C73&lt;=Maxs)),Rates),"N/A")</f>
        <v>0.10150000000000001</v>
      </c>
      <c r="F73" s="1314">
        <v>0</v>
      </c>
      <c r="G73" s="1317" t="e">
        <f>+MIN($I$16-SUM($G$35:G72),$I$16/$D$18)</f>
        <v>#DIV/0!</v>
      </c>
      <c r="H73" s="1317">
        <f t="shared" si="5"/>
        <v>0</v>
      </c>
      <c r="I73" s="1319" t="e">
        <f t="shared" si="17"/>
        <v>#DIV/0!</v>
      </c>
      <c r="J73" s="1319" t="e">
        <f t="shared" si="8"/>
        <v>#DIV/0!</v>
      </c>
      <c r="K73" s="1314" t="e">
        <f t="shared" si="9"/>
        <v>#DIV/0!</v>
      </c>
      <c r="L73" s="1312" t="e">
        <f t="shared" si="10"/>
        <v>#DIV/0!</v>
      </c>
      <c r="N73" s="1318" cm="1">
        <f t="array" ref="N73">+IFERROR(LOOKUP(2,1/((C73&gt;=Mins2)*(C73&lt;=Maxs2)),Rates2),"N/A")</f>
        <v>8.9499999999999996E-2</v>
      </c>
      <c r="O73" s="1314">
        <v>0</v>
      </c>
      <c r="P73" s="1314" t="e">
        <f t="shared" si="3"/>
        <v>#DIV/0!</v>
      </c>
      <c r="Q73" s="1314" t="e">
        <f t="shared" si="6"/>
        <v>#DIV/0!</v>
      </c>
      <c r="R73" s="1319" t="e">
        <f t="shared" si="11"/>
        <v>#DIV/0!</v>
      </c>
      <c r="S73" s="1319" t="e">
        <f t="shared" si="18"/>
        <v>#DIV/0!</v>
      </c>
      <c r="T73" s="1314" t="e">
        <f t="shared" si="12"/>
        <v>#DIV/0!</v>
      </c>
      <c r="U73" s="1312" t="e">
        <f t="shared" si="13"/>
        <v>#DIV/0!</v>
      </c>
      <c r="W73" s="1314">
        <f t="shared" si="20"/>
        <v>0</v>
      </c>
      <c r="X73" s="1314" t="e">
        <f t="shared" si="20"/>
        <v>#DIV/0!</v>
      </c>
      <c r="Y73" s="1314" t="e">
        <f t="shared" si="20"/>
        <v>#DIV/0!</v>
      </c>
      <c r="Z73" s="1319" t="e">
        <f>'Int Reserve - A-B Loan'!I73-'Int Reserve - A-B Loan'!R73</f>
        <v>#DIV/0!</v>
      </c>
      <c r="AA73" s="1319" t="e">
        <f t="shared" si="14"/>
        <v>#DIV/0!</v>
      </c>
      <c r="AB73" s="1314" t="e">
        <f>'Int Reserve - A-B Loan'!K73-'Int Reserve - A-B Loan'!T73</f>
        <v>#DIV/0!</v>
      </c>
      <c r="AC73" s="1312" t="e">
        <f t="shared" si="15"/>
        <v>#DIV/0!</v>
      </c>
    </row>
    <row r="74" spans="3:29" x14ac:dyDescent="0.2">
      <c r="C74" s="1369">
        <f t="shared" si="19"/>
        <v>39</v>
      </c>
      <c r="D74" s="1384">
        <f t="shared" si="16"/>
        <v>47209</v>
      </c>
      <c r="E74" s="1318" cm="1">
        <f t="array" ref="E74">+IFERROR(LOOKUP(2,1/((C74&gt;=Mins)*(C74&lt;=Maxs)),Rates),"N/A")</f>
        <v>0.10150000000000001</v>
      </c>
      <c r="F74" s="1314">
        <v>0</v>
      </c>
      <c r="G74" s="1317" t="e">
        <f>+MIN($I$16-SUM($G$35:G73),$I$16/$D$18)</f>
        <v>#DIV/0!</v>
      </c>
      <c r="H74" s="1317">
        <f t="shared" si="5"/>
        <v>0</v>
      </c>
      <c r="I74" s="1319" t="e">
        <f t="shared" si="17"/>
        <v>#DIV/0!</v>
      </c>
      <c r="J74" s="1319" t="e">
        <f t="shared" si="8"/>
        <v>#DIV/0!</v>
      </c>
      <c r="K74" s="1314" t="e">
        <f t="shared" si="9"/>
        <v>#DIV/0!</v>
      </c>
      <c r="L74" s="1312" t="e">
        <f t="shared" si="10"/>
        <v>#DIV/0!</v>
      </c>
      <c r="N74" s="1318" cm="1">
        <f t="array" ref="N74">+IFERROR(LOOKUP(2,1/((C74&gt;=Mins2)*(C74&lt;=Maxs2)),Rates2),"N/A")</f>
        <v>8.9499999999999996E-2</v>
      </c>
      <c r="O74" s="1314">
        <v>0</v>
      </c>
      <c r="P74" s="1314" t="e">
        <f t="shared" si="3"/>
        <v>#DIV/0!</v>
      </c>
      <c r="Q74" s="1314" t="e">
        <f t="shared" si="6"/>
        <v>#DIV/0!</v>
      </c>
      <c r="R74" s="1319" t="e">
        <f t="shared" si="11"/>
        <v>#DIV/0!</v>
      </c>
      <c r="S74" s="1319" t="e">
        <f t="shared" si="18"/>
        <v>#DIV/0!</v>
      </c>
      <c r="T74" s="1314" t="e">
        <f t="shared" si="12"/>
        <v>#DIV/0!</v>
      </c>
      <c r="U74" s="1312" t="e">
        <f t="shared" si="13"/>
        <v>#DIV/0!</v>
      </c>
      <c r="W74" s="1314">
        <f t="shared" si="20"/>
        <v>0</v>
      </c>
      <c r="X74" s="1314" t="e">
        <f t="shared" si="20"/>
        <v>#DIV/0!</v>
      </c>
      <c r="Y74" s="1314" t="e">
        <f t="shared" si="20"/>
        <v>#DIV/0!</v>
      </c>
      <c r="Z74" s="1319" t="e">
        <f>'Int Reserve - A-B Loan'!I74-'Int Reserve - A-B Loan'!R74</f>
        <v>#DIV/0!</v>
      </c>
      <c r="AA74" s="1319" t="e">
        <f t="shared" si="14"/>
        <v>#DIV/0!</v>
      </c>
      <c r="AB74" s="1314" t="e">
        <f>'Int Reserve - A-B Loan'!K74-'Int Reserve - A-B Loan'!T74</f>
        <v>#DIV/0!</v>
      </c>
      <c r="AC74" s="1312" t="e">
        <f t="shared" si="15"/>
        <v>#DIV/0!</v>
      </c>
    </row>
    <row r="75" spans="3:29" x14ac:dyDescent="0.2">
      <c r="C75" s="1369">
        <f t="shared" si="19"/>
        <v>40</v>
      </c>
      <c r="D75" s="1384">
        <f t="shared" si="16"/>
        <v>47239</v>
      </c>
      <c r="E75" s="1318" cm="1">
        <f t="array" ref="E75">+IFERROR(LOOKUP(2,1/((C75&gt;=Mins)*(C75&lt;=Maxs)),Rates),"N/A")</f>
        <v>0.10150000000000001</v>
      </c>
      <c r="F75" s="1314">
        <v>0</v>
      </c>
      <c r="G75" s="1317" t="e">
        <f>+MIN($I$16-SUM($G$35:G74),$I$16/$D$18)</f>
        <v>#DIV/0!</v>
      </c>
      <c r="H75" s="1317">
        <f t="shared" si="5"/>
        <v>0</v>
      </c>
      <c r="I75" s="1319" t="e">
        <f t="shared" si="17"/>
        <v>#DIV/0!</v>
      </c>
      <c r="J75" s="1319" t="e">
        <f t="shared" si="8"/>
        <v>#DIV/0!</v>
      </c>
      <c r="K75" s="1314" t="e">
        <f t="shared" si="9"/>
        <v>#DIV/0!</v>
      </c>
      <c r="L75" s="1312" t="e">
        <f t="shared" si="10"/>
        <v>#DIV/0!</v>
      </c>
      <c r="N75" s="1318" cm="1">
        <f t="array" ref="N75">+IFERROR(LOOKUP(2,1/((C75&gt;=Mins2)*(C75&lt;=Maxs2)),Rates2),"N/A")</f>
        <v>8.9499999999999996E-2</v>
      </c>
      <c r="O75" s="1314">
        <v>0</v>
      </c>
      <c r="P75" s="1314" t="e">
        <f t="shared" si="3"/>
        <v>#DIV/0!</v>
      </c>
      <c r="Q75" s="1314" t="e">
        <f t="shared" si="6"/>
        <v>#DIV/0!</v>
      </c>
      <c r="R75" s="1319" t="e">
        <f t="shared" si="11"/>
        <v>#DIV/0!</v>
      </c>
      <c r="S75" s="1319" t="e">
        <f t="shared" si="18"/>
        <v>#DIV/0!</v>
      </c>
      <c r="T75" s="1314" t="e">
        <f t="shared" si="12"/>
        <v>#DIV/0!</v>
      </c>
      <c r="U75" s="1312" t="e">
        <f t="shared" si="13"/>
        <v>#DIV/0!</v>
      </c>
      <c r="W75" s="1314">
        <f t="shared" si="20"/>
        <v>0</v>
      </c>
      <c r="X75" s="1314" t="e">
        <f t="shared" si="20"/>
        <v>#DIV/0!</v>
      </c>
      <c r="Y75" s="1314" t="e">
        <f t="shared" si="20"/>
        <v>#DIV/0!</v>
      </c>
      <c r="Z75" s="1319" t="e">
        <f>'Int Reserve - A-B Loan'!I75-'Int Reserve - A-B Loan'!R75</f>
        <v>#DIV/0!</v>
      </c>
      <c r="AA75" s="1319" t="e">
        <f t="shared" si="14"/>
        <v>#DIV/0!</v>
      </c>
      <c r="AB75" s="1314" t="e">
        <f>'Int Reserve - A-B Loan'!K75-'Int Reserve - A-B Loan'!T75</f>
        <v>#DIV/0!</v>
      </c>
      <c r="AC75" s="1312" t="e">
        <f t="shared" si="15"/>
        <v>#DIV/0!</v>
      </c>
    </row>
    <row r="76" spans="3:29" x14ac:dyDescent="0.2">
      <c r="C76" s="1369">
        <f t="shared" si="19"/>
        <v>41</v>
      </c>
      <c r="D76" s="1384">
        <f t="shared" si="16"/>
        <v>47270</v>
      </c>
      <c r="E76" s="1318" cm="1">
        <f t="array" ref="E76">+IFERROR(LOOKUP(2,1/((C76&gt;=Mins)*(C76&lt;=Maxs)),Rates),"N/A")</f>
        <v>0.10150000000000001</v>
      </c>
      <c r="F76" s="1314">
        <v>0</v>
      </c>
      <c r="G76" s="1317" t="e">
        <f>+MIN($I$16-SUM($G$35:G75),$I$16/$D$18)</f>
        <v>#DIV/0!</v>
      </c>
      <c r="H76" s="1317">
        <f t="shared" si="5"/>
        <v>0</v>
      </c>
      <c r="I76" s="1319" t="e">
        <f t="shared" si="17"/>
        <v>#DIV/0!</v>
      </c>
      <c r="J76" s="1319" t="e">
        <f t="shared" si="8"/>
        <v>#DIV/0!</v>
      </c>
      <c r="K76" s="1314" t="e">
        <f t="shared" si="9"/>
        <v>#DIV/0!</v>
      </c>
      <c r="L76" s="1312" t="e">
        <f t="shared" si="10"/>
        <v>#DIV/0!</v>
      </c>
      <c r="N76" s="1318" cm="1">
        <f t="array" ref="N76">+IFERROR(LOOKUP(2,1/((C76&gt;=Mins2)*(C76&lt;=Maxs2)),Rates2),"N/A")</f>
        <v>8.9499999999999996E-2</v>
      </c>
      <c r="O76" s="1314">
        <v>0</v>
      </c>
      <c r="P76" s="1314" t="e">
        <f t="shared" si="3"/>
        <v>#DIV/0!</v>
      </c>
      <c r="Q76" s="1314" t="e">
        <f t="shared" si="6"/>
        <v>#DIV/0!</v>
      </c>
      <c r="R76" s="1319" t="e">
        <f t="shared" si="11"/>
        <v>#DIV/0!</v>
      </c>
      <c r="S76" s="1319" t="e">
        <f t="shared" si="18"/>
        <v>#DIV/0!</v>
      </c>
      <c r="T76" s="1314" t="e">
        <f t="shared" si="12"/>
        <v>#DIV/0!</v>
      </c>
      <c r="U76" s="1312" t="e">
        <f t="shared" si="13"/>
        <v>#DIV/0!</v>
      </c>
      <c r="W76" s="1314">
        <f t="shared" si="20"/>
        <v>0</v>
      </c>
      <c r="X76" s="1314" t="e">
        <f t="shared" si="20"/>
        <v>#DIV/0!</v>
      </c>
      <c r="Y76" s="1314" t="e">
        <f t="shared" si="20"/>
        <v>#DIV/0!</v>
      </c>
      <c r="Z76" s="1319" t="e">
        <f>'Int Reserve - A-B Loan'!I76-'Int Reserve - A-B Loan'!R76</f>
        <v>#DIV/0!</v>
      </c>
      <c r="AA76" s="1319" t="e">
        <f t="shared" si="14"/>
        <v>#DIV/0!</v>
      </c>
      <c r="AB76" s="1314" t="e">
        <f>'Int Reserve - A-B Loan'!K76-'Int Reserve - A-B Loan'!T76</f>
        <v>#DIV/0!</v>
      </c>
      <c r="AC76" s="1312" t="e">
        <f t="shared" si="15"/>
        <v>#DIV/0!</v>
      </c>
    </row>
    <row r="77" spans="3:29" x14ac:dyDescent="0.2">
      <c r="C77" s="1369">
        <f t="shared" si="19"/>
        <v>42</v>
      </c>
      <c r="D77" s="1384">
        <f t="shared" si="16"/>
        <v>47300</v>
      </c>
      <c r="E77" s="1318" cm="1">
        <f t="array" ref="E77">+IFERROR(LOOKUP(2,1/((C77&gt;=Mins)*(C77&lt;=Maxs)),Rates),"N/A")</f>
        <v>0.10150000000000001</v>
      </c>
      <c r="F77" s="1314">
        <v>0</v>
      </c>
      <c r="G77" s="1317" t="e">
        <f>+MIN($I$16-SUM($G$35:G76),$I$16/$D$18)</f>
        <v>#DIV/0!</v>
      </c>
      <c r="H77" s="1317">
        <f t="shared" si="5"/>
        <v>0</v>
      </c>
      <c r="I77" s="1319" t="e">
        <f t="shared" si="17"/>
        <v>#DIV/0!</v>
      </c>
      <c r="J77" s="1319" t="e">
        <f t="shared" si="8"/>
        <v>#DIV/0!</v>
      </c>
      <c r="K77" s="1314" t="e">
        <f t="shared" si="9"/>
        <v>#DIV/0!</v>
      </c>
      <c r="L77" s="1312" t="e">
        <f t="shared" si="10"/>
        <v>#DIV/0!</v>
      </c>
      <c r="N77" s="1318" cm="1">
        <f t="array" ref="N77">+IFERROR(LOOKUP(2,1/((C77&gt;=Mins2)*(C77&lt;=Maxs2)),Rates2),"N/A")</f>
        <v>8.9499999999999996E-2</v>
      </c>
      <c r="O77" s="1314">
        <v>0</v>
      </c>
      <c r="P77" s="1314" t="e">
        <f t="shared" si="3"/>
        <v>#DIV/0!</v>
      </c>
      <c r="Q77" s="1314" t="e">
        <f t="shared" si="6"/>
        <v>#DIV/0!</v>
      </c>
      <c r="R77" s="1319" t="e">
        <f t="shared" si="11"/>
        <v>#DIV/0!</v>
      </c>
      <c r="S77" s="1319" t="e">
        <f t="shared" si="18"/>
        <v>#DIV/0!</v>
      </c>
      <c r="T77" s="1314" t="e">
        <f t="shared" si="12"/>
        <v>#DIV/0!</v>
      </c>
      <c r="U77" s="1312" t="e">
        <f t="shared" si="13"/>
        <v>#DIV/0!</v>
      </c>
      <c r="W77" s="1314">
        <f t="shared" si="20"/>
        <v>0</v>
      </c>
      <c r="X77" s="1314" t="e">
        <f t="shared" si="20"/>
        <v>#DIV/0!</v>
      </c>
      <c r="Y77" s="1314" t="e">
        <f t="shared" si="20"/>
        <v>#DIV/0!</v>
      </c>
      <c r="Z77" s="1319" t="e">
        <f>'Int Reserve - A-B Loan'!I77-'Int Reserve - A-B Loan'!R77</f>
        <v>#DIV/0!</v>
      </c>
      <c r="AA77" s="1319" t="e">
        <f t="shared" si="14"/>
        <v>#DIV/0!</v>
      </c>
      <c r="AB77" s="1314" t="e">
        <f>'Int Reserve - A-B Loan'!K77-'Int Reserve - A-B Loan'!T77</f>
        <v>#DIV/0!</v>
      </c>
      <c r="AC77" s="1312" t="e">
        <f t="shared" si="15"/>
        <v>#DIV/0!</v>
      </c>
    </row>
    <row r="78" spans="3:29" x14ac:dyDescent="0.2">
      <c r="C78" s="1369">
        <f t="shared" si="19"/>
        <v>43</v>
      </c>
      <c r="D78" s="1384">
        <f t="shared" si="16"/>
        <v>47331</v>
      </c>
      <c r="E78" s="1318" cm="1">
        <f t="array" ref="E78">+IFERROR(LOOKUP(2,1/((C78&gt;=Mins)*(C78&lt;=Maxs)),Rates),"N/A")</f>
        <v>0.10150000000000001</v>
      </c>
      <c r="F78" s="1314">
        <v>0</v>
      </c>
      <c r="G78" s="1317" t="e">
        <f>+MIN($I$16-SUM($G$35:G77),$I$16/$D$18)</f>
        <v>#DIV/0!</v>
      </c>
      <c r="H78" s="1317">
        <f t="shared" si="5"/>
        <v>0</v>
      </c>
      <c r="I78" s="1319" t="e">
        <f t="shared" si="17"/>
        <v>#DIV/0!</v>
      </c>
      <c r="J78" s="1319" t="e">
        <f t="shared" si="8"/>
        <v>#DIV/0!</v>
      </c>
      <c r="K78" s="1314" t="e">
        <f t="shared" si="9"/>
        <v>#DIV/0!</v>
      </c>
      <c r="L78" s="1312" t="e">
        <f t="shared" si="10"/>
        <v>#DIV/0!</v>
      </c>
      <c r="N78" s="1318" cm="1">
        <f t="array" ref="N78">+IFERROR(LOOKUP(2,1/((C78&gt;=Mins2)*(C78&lt;=Maxs2)),Rates2),"N/A")</f>
        <v>8.9499999999999996E-2</v>
      </c>
      <c r="O78" s="1314">
        <v>0</v>
      </c>
      <c r="P78" s="1314" t="e">
        <f t="shared" si="3"/>
        <v>#DIV/0!</v>
      </c>
      <c r="Q78" s="1314" t="e">
        <f t="shared" si="6"/>
        <v>#DIV/0!</v>
      </c>
      <c r="R78" s="1319" t="e">
        <f t="shared" si="11"/>
        <v>#DIV/0!</v>
      </c>
      <c r="S78" s="1319" t="e">
        <f t="shared" si="18"/>
        <v>#DIV/0!</v>
      </c>
      <c r="T78" s="1314" t="e">
        <f t="shared" si="12"/>
        <v>#DIV/0!</v>
      </c>
      <c r="U78" s="1312" t="e">
        <f t="shared" si="13"/>
        <v>#DIV/0!</v>
      </c>
      <c r="W78" s="1314">
        <f t="shared" si="20"/>
        <v>0</v>
      </c>
      <c r="X78" s="1314" t="e">
        <f t="shared" si="20"/>
        <v>#DIV/0!</v>
      </c>
      <c r="Y78" s="1314" t="e">
        <f t="shared" si="20"/>
        <v>#DIV/0!</v>
      </c>
      <c r="Z78" s="1319" t="e">
        <f>'Int Reserve - A-B Loan'!I78-'Int Reserve - A-B Loan'!R78</f>
        <v>#DIV/0!</v>
      </c>
      <c r="AA78" s="1319" t="e">
        <f t="shared" si="14"/>
        <v>#DIV/0!</v>
      </c>
      <c r="AB78" s="1314" t="e">
        <f>'Int Reserve - A-B Loan'!K78-'Int Reserve - A-B Loan'!T78</f>
        <v>#DIV/0!</v>
      </c>
      <c r="AC78" s="1312" t="e">
        <f t="shared" si="15"/>
        <v>#DIV/0!</v>
      </c>
    </row>
    <row r="79" spans="3:29" x14ac:dyDescent="0.2">
      <c r="C79" s="1369">
        <f t="shared" si="19"/>
        <v>44</v>
      </c>
      <c r="D79" s="1384">
        <f t="shared" si="16"/>
        <v>47362</v>
      </c>
      <c r="E79" s="1318" cm="1">
        <f t="array" ref="E79">+IFERROR(LOOKUP(2,1/((C79&gt;=Mins)*(C79&lt;=Maxs)),Rates),"N/A")</f>
        <v>0.10150000000000001</v>
      </c>
      <c r="F79" s="1314">
        <v>0</v>
      </c>
      <c r="G79" s="1317" t="e">
        <f>+MIN($I$16-SUM($G$35:G78),$I$16/$D$18)</f>
        <v>#DIV/0!</v>
      </c>
      <c r="H79" s="1317">
        <f t="shared" si="5"/>
        <v>0</v>
      </c>
      <c r="I79" s="1319" t="e">
        <f t="shared" si="17"/>
        <v>#DIV/0!</v>
      </c>
      <c r="J79" s="1319" t="e">
        <f t="shared" si="8"/>
        <v>#DIV/0!</v>
      </c>
      <c r="K79" s="1314" t="e">
        <f t="shared" si="9"/>
        <v>#DIV/0!</v>
      </c>
      <c r="L79" s="1312" t="e">
        <f t="shared" si="10"/>
        <v>#DIV/0!</v>
      </c>
      <c r="N79" s="1318" cm="1">
        <f t="array" ref="N79">+IFERROR(LOOKUP(2,1/((C79&gt;=Mins2)*(C79&lt;=Maxs2)),Rates2),"N/A")</f>
        <v>8.9499999999999996E-2</v>
      </c>
      <c r="O79" s="1314">
        <v>0</v>
      </c>
      <c r="P79" s="1314" t="e">
        <f t="shared" si="3"/>
        <v>#DIV/0!</v>
      </c>
      <c r="Q79" s="1314" t="e">
        <f t="shared" si="6"/>
        <v>#DIV/0!</v>
      </c>
      <c r="R79" s="1319" t="e">
        <f t="shared" si="11"/>
        <v>#DIV/0!</v>
      </c>
      <c r="S79" s="1319" t="e">
        <f t="shared" si="18"/>
        <v>#DIV/0!</v>
      </c>
      <c r="T79" s="1314" t="e">
        <f t="shared" si="12"/>
        <v>#DIV/0!</v>
      </c>
      <c r="U79" s="1312" t="e">
        <f t="shared" si="13"/>
        <v>#DIV/0!</v>
      </c>
      <c r="W79" s="1314">
        <f t="shared" si="20"/>
        <v>0</v>
      </c>
      <c r="X79" s="1314" t="e">
        <f t="shared" si="20"/>
        <v>#DIV/0!</v>
      </c>
      <c r="Y79" s="1314" t="e">
        <f t="shared" si="20"/>
        <v>#DIV/0!</v>
      </c>
      <c r="Z79" s="1319" t="e">
        <f>'Int Reserve - A-B Loan'!I79-'Int Reserve - A-B Loan'!R79</f>
        <v>#DIV/0!</v>
      </c>
      <c r="AA79" s="1319" t="e">
        <f t="shared" si="14"/>
        <v>#DIV/0!</v>
      </c>
      <c r="AB79" s="1314" t="e">
        <f>'Int Reserve - A-B Loan'!K79-'Int Reserve - A-B Loan'!T79</f>
        <v>#DIV/0!</v>
      </c>
      <c r="AC79" s="1312" t="e">
        <f t="shared" si="15"/>
        <v>#DIV/0!</v>
      </c>
    </row>
    <row r="80" spans="3:29" x14ac:dyDescent="0.2">
      <c r="C80" s="1369">
        <f t="shared" si="19"/>
        <v>45</v>
      </c>
      <c r="D80" s="1384">
        <f t="shared" si="16"/>
        <v>47392</v>
      </c>
      <c r="E80" s="1318" cm="1">
        <f t="array" ref="E80">+IFERROR(LOOKUP(2,1/((C80&gt;=Mins)*(C80&lt;=Maxs)),Rates),"N/A")</f>
        <v>0.10150000000000001</v>
      </c>
      <c r="F80" s="1314">
        <v>0</v>
      </c>
      <c r="G80" s="1317" t="e">
        <f>+MIN($I$16-SUM($G$35:G79),$I$16/$D$18)</f>
        <v>#DIV/0!</v>
      </c>
      <c r="H80" s="1317">
        <f t="shared" si="5"/>
        <v>0</v>
      </c>
      <c r="I80" s="1319" t="e">
        <f t="shared" si="17"/>
        <v>#DIV/0!</v>
      </c>
      <c r="J80" s="1319" t="e">
        <f t="shared" si="8"/>
        <v>#DIV/0!</v>
      </c>
      <c r="K80" s="1314" t="e">
        <f t="shared" si="9"/>
        <v>#DIV/0!</v>
      </c>
      <c r="L80" s="1312" t="e">
        <f t="shared" si="10"/>
        <v>#DIV/0!</v>
      </c>
      <c r="N80" s="1318" cm="1">
        <f t="array" ref="N80">+IFERROR(LOOKUP(2,1/((C80&gt;=Mins2)*(C80&lt;=Maxs2)),Rates2),"N/A")</f>
        <v>8.9499999999999996E-2</v>
      </c>
      <c r="O80" s="1314">
        <v>0</v>
      </c>
      <c r="P80" s="1314" t="e">
        <f t="shared" si="3"/>
        <v>#DIV/0!</v>
      </c>
      <c r="Q80" s="1314" t="e">
        <f t="shared" si="6"/>
        <v>#DIV/0!</v>
      </c>
      <c r="R80" s="1319" t="e">
        <f t="shared" si="11"/>
        <v>#DIV/0!</v>
      </c>
      <c r="S80" s="1319" t="e">
        <f t="shared" si="18"/>
        <v>#DIV/0!</v>
      </c>
      <c r="T80" s="1314" t="e">
        <f t="shared" si="12"/>
        <v>#DIV/0!</v>
      </c>
      <c r="U80" s="1312" t="e">
        <f t="shared" si="13"/>
        <v>#DIV/0!</v>
      </c>
      <c r="W80" s="1314">
        <f t="shared" si="20"/>
        <v>0</v>
      </c>
      <c r="X80" s="1314" t="e">
        <f t="shared" si="20"/>
        <v>#DIV/0!</v>
      </c>
      <c r="Y80" s="1314" t="e">
        <f t="shared" si="20"/>
        <v>#DIV/0!</v>
      </c>
      <c r="Z80" s="1319" t="e">
        <f>'Int Reserve - A-B Loan'!I80-'Int Reserve - A-B Loan'!R80</f>
        <v>#DIV/0!</v>
      </c>
      <c r="AA80" s="1319" t="e">
        <f t="shared" si="14"/>
        <v>#DIV/0!</v>
      </c>
      <c r="AB80" s="1314" t="e">
        <f>'Int Reserve - A-B Loan'!K80-'Int Reserve - A-B Loan'!T80</f>
        <v>#DIV/0!</v>
      </c>
      <c r="AC80" s="1312" t="e">
        <f t="shared" si="15"/>
        <v>#DIV/0!</v>
      </c>
    </row>
    <row r="81" spans="3:29" x14ac:dyDescent="0.2">
      <c r="C81" s="1369">
        <f t="shared" si="19"/>
        <v>46</v>
      </c>
      <c r="D81" s="1384">
        <f t="shared" si="16"/>
        <v>47423</v>
      </c>
      <c r="E81" s="1318" cm="1">
        <f t="array" ref="E81">+IFERROR(LOOKUP(2,1/((C81&gt;=Mins)*(C81&lt;=Maxs)),Rates),"N/A")</f>
        <v>0.10150000000000001</v>
      </c>
      <c r="F81" s="1314">
        <v>0</v>
      </c>
      <c r="G81" s="1317" t="e">
        <f>+MIN($I$16-SUM($G$35:G80),$I$16/$D$18)</f>
        <v>#DIV/0!</v>
      </c>
      <c r="H81" s="1317">
        <f t="shared" si="5"/>
        <v>0</v>
      </c>
      <c r="I81" s="1319" t="e">
        <f t="shared" si="17"/>
        <v>#DIV/0!</v>
      </c>
      <c r="J81" s="1319" t="e">
        <f t="shared" si="8"/>
        <v>#DIV/0!</v>
      </c>
      <c r="K81" s="1314" t="e">
        <f t="shared" si="9"/>
        <v>#DIV/0!</v>
      </c>
      <c r="L81" s="1312" t="e">
        <f t="shared" si="10"/>
        <v>#DIV/0!</v>
      </c>
      <c r="N81" s="1318" cm="1">
        <f t="array" ref="N81">+IFERROR(LOOKUP(2,1/((C81&gt;=Mins2)*(C81&lt;=Maxs2)),Rates2),"N/A")</f>
        <v>8.9499999999999996E-2</v>
      </c>
      <c r="O81" s="1314">
        <v>0</v>
      </c>
      <c r="P81" s="1314" t="e">
        <f t="shared" si="3"/>
        <v>#DIV/0!</v>
      </c>
      <c r="Q81" s="1314" t="e">
        <f t="shared" si="6"/>
        <v>#DIV/0!</v>
      </c>
      <c r="R81" s="1319" t="e">
        <f t="shared" si="11"/>
        <v>#DIV/0!</v>
      </c>
      <c r="S81" s="1319" t="e">
        <f t="shared" si="18"/>
        <v>#DIV/0!</v>
      </c>
      <c r="T81" s="1314" t="e">
        <f t="shared" si="12"/>
        <v>#DIV/0!</v>
      </c>
      <c r="U81" s="1312" t="e">
        <f t="shared" si="13"/>
        <v>#DIV/0!</v>
      </c>
      <c r="W81" s="1314">
        <f t="shared" si="20"/>
        <v>0</v>
      </c>
      <c r="X81" s="1314" t="e">
        <f t="shared" si="20"/>
        <v>#DIV/0!</v>
      </c>
      <c r="Y81" s="1314" t="e">
        <f t="shared" si="20"/>
        <v>#DIV/0!</v>
      </c>
      <c r="Z81" s="1319" t="e">
        <f>'Int Reserve - A-B Loan'!I81-'Int Reserve - A-B Loan'!R81</f>
        <v>#DIV/0!</v>
      </c>
      <c r="AA81" s="1319" t="e">
        <f t="shared" si="14"/>
        <v>#DIV/0!</v>
      </c>
      <c r="AB81" s="1314" t="e">
        <f>'Int Reserve - A-B Loan'!K81-'Int Reserve - A-B Loan'!T81</f>
        <v>#DIV/0!</v>
      </c>
      <c r="AC81" s="1312" t="e">
        <f t="shared" si="15"/>
        <v>#DIV/0!</v>
      </c>
    </row>
    <row r="82" spans="3:29" x14ac:dyDescent="0.2">
      <c r="C82" s="1369">
        <f t="shared" si="19"/>
        <v>47</v>
      </c>
      <c r="D82" s="1384">
        <f t="shared" si="16"/>
        <v>47453</v>
      </c>
      <c r="E82" s="1318" cm="1">
        <f t="array" ref="E82">+IFERROR(LOOKUP(2,1/((C82&gt;=Mins)*(C82&lt;=Maxs)),Rates),"N/A")</f>
        <v>0.10150000000000001</v>
      </c>
      <c r="F82" s="1314">
        <v>0</v>
      </c>
      <c r="G82" s="1317" t="e">
        <f>+MIN($I$16-SUM($G$35:G81),$I$16/$D$18)</f>
        <v>#DIV/0!</v>
      </c>
      <c r="H82" s="1317">
        <f t="shared" si="5"/>
        <v>0</v>
      </c>
      <c r="I82" s="1319" t="e">
        <f t="shared" si="17"/>
        <v>#DIV/0!</v>
      </c>
      <c r="J82" s="1319" t="e">
        <f t="shared" si="8"/>
        <v>#DIV/0!</v>
      </c>
      <c r="K82" s="1314" t="e">
        <f t="shared" si="9"/>
        <v>#DIV/0!</v>
      </c>
      <c r="L82" s="1312" t="e">
        <f t="shared" si="10"/>
        <v>#DIV/0!</v>
      </c>
      <c r="N82" s="1318" cm="1">
        <f t="array" ref="N82">+IFERROR(LOOKUP(2,1/((C82&gt;=Mins2)*(C82&lt;=Maxs2)),Rates2),"N/A")</f>
        <v>8.9499999999999996E-2</v>
      </c>
      <c r="O82" s="1314">
        <v>0</v>
      </c>
      <c r="P82" s="1314" t="e">
        <f t="shared" si="3"/>
        <v>#DIV/0!</v>
      </c>
      <c r="Q82" s="1314" t="e">
        <f t="shared" si="6"/>
        <v>#DIV/0!</v>
      </c>
      <c r="R82" s="1319" t="e">
        <f t="shared" si="11"/>
        <v>#DIV/0!</v>
      </c>
      <c r="S82" s="1319" t="e">
        <f t="shared" si="18"/>
        <v>#DIV/0!</v>
      </c>
      <c r="T82" s="1314" t="e">
        <f t="shared" si="12"/>
        <v>#DIV/0!</v>
      </c>
      <c r="U82" s="1312" t="e">
        <f t="shared" si="13"/>
        <v>#DIV/0!</v>
      </c>
      <c r="W82" s="1314">
        <f t="shared" si="20"/>
        <v>0</v>
      </c>
      <c r="X82" s="1314" t="e">
        <f t="shared" si="20"/>
        <v>#DIV/0!</v>
      </c>
      <c r="Y82" s="1314" t="e">
        <f t="shared" si="20"/>
        <v>#DIV/0!</v>
      </c>
      <c r="Z82" s="1319" t="e">
        <f>'Int Reserve - A-B Loan'!I82-'Int Reserve - A-B Loan'!R82</f>
        <v>#DIV/0!</v>
      </c>
      <c r="AA82" s="1319" t="e">
        <f t="shared" si="14"/>
        <v>#DIV/0!</v>
      </c>
      <c r="AB82" s="1314" t="e">
        <f>'Int Reserve - A-B Loan'!K82-'Int Reserve - A-B Loan'!T82</f>
        <v>#DIV/0!</v>
      </c>
      <c r="AC82" s="1312" t="e">
        <f t="shared" si="15"/>
        <v>#DIV/0!</v>
      </c>
    </row>
    <row r="83" spans="3:29" x14ac:dyDescent="0.2">
      <c r="C83" s="1369">
        <f t="shared" si="19"/>
        <v>48</v>
      </c>
      <c r="D83" s="1384">
        <f t="shared" si="16"/>
        <v>47484</v>
      </c>
      <c r="E83" s="1318" cm="1">
        <f t="array" ref="E83">+IFERROR(LOOKUP(2,1/((C83&gt;=Mins)*(C83&lt;=Maxs)),Rates),"N/A")</f>
        <v>0.10150000000000001</v>
      </c>
      <c r="F83" s="1314">
        <v>0</v>
      </c>
      <c r="G83" s="1317" t="e">
        <f>+MIN($I$16-SUM($G$35:G82),$I$16/$D$18)</f>
        <v>#DIV/0!</v>
      </c>
      <c r="H83" s="1317">
        <f t="shared" si="5"/>
        <v>0</v>
      </c>
      <c r="I83" s="1319" t="e">
        <f t="shared" si="17"/>
        <v>#DIV/0!</v>
      </c>
      <c r="J83" s="1319" t="e">
        <f t="shared" si="8"/>
        <v>#DIV/0!</v>
      </c>
      <c r="K83" s="1314" t="e">
        <f t="shared" si="9"/>
        <v>#DIV/0!</v>
      </c>
      <c r="L83" s="1312" t="e">
        <f t="shared" si="10"/>
        <v>#DIV/0!</v>
      </c>
      <c r="N83" s="1318" cm="1">
        <f t="array" ref="N83">+IFERROR(LOOKUP(2,1/((C83&gt;=Mins2)*(C83&lt;=Maxs2)),Rates2),"N/A")</f>
        <v>8.9499999999999996E-2</v>
      </c>
      <c r="O83" s="1314">
        <v>0</v>
      </c>
      <c r="P83" s="1314" t="e">
        <f t="shared" si="3"/>
        <v>#DIV/0!</v>
      </c>
      <c r="Q83" s="1314" t="e">
        <f t="shared" si="6"/>
        <v>#DIV/0!</v>
      </c>
      <c r="R83" s="1319" t="e">
        <f t="shared" si="11"/>
        <v>#DIV/0!</v>
      </c>
      <c r="S83" s="1319" t="e">
        <f t="shared" si="18"/>
        <v>#DIV/0!</v>
      </c>
      <c r="T83" s="1314" t="e">
        <f t="shared" si="12"/>
        <v>#DIV/0!</v>
      </c>
      <c r="U83" s="1312" t="e">
        <f t="shared" si="13"/>
        <v>#DIV/0!</v>
      </c>
      <c r="W83" s="1314">
        <f t="shared" si="20"/>
        <v>0</v>
      </c>
      <c r="X83" s="1314" t="e">
        <f t="shared" si="20"/>
        <v>#DIV/0!</v>
      </c>
      <c r="Y83" s="1314" t="e">
        <f t="shared" si="20"/>
        <v>#DIV/0!</v>
      </c>
      <c r="Z83" s="1319" t="e">
        <f>'Int Reserve - A-B Loan'!I83-'Int Reserve - A-B Loan'!R83</f>
        <v>#DIV/0!</v>
      </c>
      <c r="AA83" s="1319" t="e">
        <f t="shared" si="14"/>
        <v>#DIV/0!</v>
      </c>
      <c r="AB83" s="1314" t="e">
        <f>'Int Reserve - A-B Loan'!K83-'Int Reserve - A-B Loan'!T83</f>
        <v>#DIV/0!</v>
      </c>
      <c r="AC83" s="1312" t="e">
        <f t="shared" si="15"/>
        <v>#DIV/0!</v>
      </c>
    </row>
    <row r="84" spans="3:29" x14ac:dyDescent="0.2">
      <c r="C84" s="1369">
        <f t="shared" si="19"/>
        <v>49</v>
      </c>
      <c r="D84" s="1384">
        <f t="shared" si="16"/>
        <v>47515</v>
      </c>
      <c r="E84" s="1318" cm="1">
        <f t="array" ref="E84">+IFERROR(LOOKUP(2,1/((C84&gt;=Mins)*(C84&lt;=Maxs)),Rates),"N/A")</f>
        <v>0.10150000000000001</v>
      </c>
      <c r="F84" s="1314">
        <v>0</v>
      </c>
      <c r="G84" s="1317" t="e">
        <f>+MIN($I$16-SUM($G$35:G83),$I$16/$D$18)</f>
        <v>#DIV/0!</v>
      </c>
      <c r="H84" s="1317">
        <f t="shared" si="5"/>
        <v>0</v>
      </c>
      <c r="I84" s="1319" t="e">
        <f t="shared" si="17"/>
        <v>#DIV/0!</v>
      </c>
      <c r="J84" s="1319" t="e">
        <f t="shared" si="8"/>
        <v>#DIV/0!</v>
      </c>
      <c r="K84" s="1314" t="e">
        <f t="shared" si="9"/>
        <v>#DIV/0!</v>
      </c>
      <c r="L84" s="1312" t="e">
        <f t="shared" si="10"/>
        <v>#DIV/0!</v>
      </c>
      <c r="N84" s="1318" cm="1">
        <f t="array" ref="N84">+IFERROR(LOOKUP(2,1/((C84&gt;=Mins2)*(C84&lt;=Maxs2)),Rates2),"N/A")</f>
        <v>8.9499999999999996E-2</v>
      </c>
      <c r="O84" s="1314">
        <v>0</v>
      </c>
      <c r="P84" s="1314" t="e">
        <f t="shared" si="3"/>
        <v>#DIV/0!</v>
      </c>
      <c r="Q84" s="1314" t="e">
        <f t="shared" si="6"/>
        <v>#DIV/0!</v>
      </c>
      <c r="R84" s="1319" t="e">
        <f t="shared" si="11"/>
        <v>#DIV/0!</v>
      </c>
      <c r="S84" s="1319" t="e">
        <f t="shared" si="18"/>
        <v>#DIV/0!</v>
      </c>
      <c r="T84" s="1314" t="e">
        <f t="shared" si="12"/>
        <v>#DIV/0!</v>
      </c>
      <c r="U84" s="1312" t="e">
        <f t="shared" si="13"/>
        <v>#DIV/0!</v>
      </c>
      <c r="W84" s="1314">
        <f t="shared" si="20"/>
        <v>0</v>
      </c>
      <c r="X84" s="1314" t="e">
        <f t="shared" si="20"/>
        <v>#DIV/0!</v>
      </c>
      <c r="Y84" s="1314" t="e">
        <f t="shared" si="20"/>
        <v>#DIV/0!</v>
      </c>
      <c r="Z84" s="1319" t="e">
        <f>'Int Reserve - A-B Loan'!I84-'Int Reserve - A-B Loan'!R84</f>
        <v>#DIV/0!</v>
      </c>
      <c r="AA84" s="1319" t="e">
        <f t="shared" si="14"/>
        <v>#DIV/0!</v>
      </c>
      <c r="AB84" s="1314" t="e">
        <f>'Int Reserve - A-B Loan'!K84-'Int Reserve - A-B Loan'!T84</f>
        <v>#DIV/0!</v>
      </c>
      <c r="AC84" s="1312" t="e">
        <f t="shared" si="15"/>
        <v>#DIV/0!</v>
      </c>
    </row>
    <row r="85" spans="3:29" x14ac:dyDescent="0.2">
      <c r="C85" s="1369">
        <f t="shared" si="19"/>
        <v>50</v>
      </c>
      <c r="D85" s="1384">
        <f t="shared" si="16"/>
        <v>47543</v>
      </c>
      <c r="E85" s="1318" cm="1">
        <f t="array" ref="E85">+IFERROR(LOOKUP(2,1/((C85&gt;=Mins)*(C85&lt;=Maxs)),Rates),"N/A")</f>
        <v>0.10150000000000001</v>
      </c>
      <c r="F85" s="1314">
        <v>0</v>
      </c>
      <c r="G85" s="1317" t="e">
        <f>+MIN($I$16-SUM($G$35:G84),$I$16/$D$18)</f>
        <v>#DIV/0!</v>
      </c>
      <c r="H85" s="1317">
        <f t="shared" si="5"/>
        <v>0</v>
      </c>
      <c r="I85" s="1319" t="e">
        <f t="shared" si="17"/>
        <v>#DIV/0!</v>
      </c>
      <c r="J85" s="1319" t="e">
        <f t="shared" si="8"/>
        <v>#DIV/0!</v>
      </c>
      <c r="K85" s="1314" t="e">
        <f t="shared" si="9"/>
        <v>#DIV/0!</v>
      </c>
      <c r="L85" s="1312" t="e">
        <f t="shared" si="10"/>
        <v>#DIV/0!</v>
      </c>
      <c r="N85" s="1318" cm="1">
        <f t="array" ref="N85">+IFERROR(LOOKUP(2,1/((C85&gt;=Mins2)*(C85&lt;=Maxs2)),Rates2),"N/A")</f>
        <v>8.9499999999999996E-2</v>
      </c>
      <c r="O85" s="1314">
        <v>0</v>
      </c>
      <c r="P85" s="1314" t="e">
        <f t="shared" si="3"/>
        <v>#DIV/0!</v>
      </c>
      <c r="Q85" s="1314" t="e">
        <f t="shared" si="6"/>
        <v>#DIV/0!</v>
      </c>
      <c r="R85" s="1319" t="e">
        <f t="shared" si="11"/>
        <v>#DIV/0!</v>
      </c>
      <c r="S85" s="1319" t="e">
        <f t="shared" si="18"/>
        <v>#DIV/0!</v>
      </c>
      <c r="T85" s="1314" t="e">
        <f t="shared" si="12"/>
        <v>#DIV/0!</v>
      </c>
      <c r="U85" s="1312" t="e">
        <f t="shared" si="13"/>
        <v>#DIV/0!</v>
      </c>
      <c r="W85" s="1314">
        <f t="shared" si="20"/>
        <v>0</v>
      </c>
      <c r="X85" s="1314" t="e">
        <f t="shared" si="20"/>
        <v>#DIV/0!</v>
      </c>
      <c r="Y85" s="1314" t="e">
        <f t="shared" si="20"/>
        <v>#DIV/0!</v>
      </c>
      <c r="Z85" s="1319" t="e">
        <f>'Int Reserve - A-B Loan'!I85-'Int Reserve - A-B Loan'!R85</f>
        <v>#DIV/0!</v>
      </c>
      <c r="AA85" s="1319" t="e">
        <f t="shared" si="14"/>
        <v>#DIV/0!</v>
      </c>
      <c r="AB85" s="1314" t="e">
        <f>'Int Reserve - A-B Loan'!K85-'Int Reserve - A-B Loan'!T85</f>
        <v>#DIV/0!</v>
      </c>
      <c r="AC85" s="1312" t="e">
        <f t="shared" si="15"/>
        <v>#DIV/0!</v>
      </c>
    </row>
    <row r="86" spans="3:29" x14ac:dyDescent="0.2">
      <c r="C86" s="1369">
        <f t="shared" si="19"/>
        <v>51</v>
      </c>
      <c r="D86" s="1384">
        <f t="shared" si="16"/>
        <v>47574</v>
      </c>
      <c r="E86" s="1318" cm="1">
        <f t="array" ref="E86">+IFERROR(LOOKUP(2,1/((C86&gt;=Mins)*(C86&lt;=Maxs)),Rates),"N/A")</f>
        <v>0.10150000000000001</v>
      </c>
      <c r="F86" s="1314">
        <v>0</v>
      </c>
      <c r="G86" s="1317" t="e">
        <f>+MIN($I$16-SUM($G$35:G85),$I$16/$D$18)</f>
        <v>#DIV/0!</v>
      </c>
      <c r="H86" s="1317">
        <f t="shared" si="5"/>
        <v>0</v>
      </c>
      <c r="I86" s="1319" t="e">
        <f t="shared" si="17"/>
        <v>#DIV/0!</v>
      </c>
      <c r="J86" s="1319" t="e">
        <f t="shared" si="8"/>
        <v>#DIV/0!</v>
      </c>
      <c r="K86" s="1314" t="e">
        <f t="shared" si="9"/>
        <v>#DIV/0!</v>
      </c>
      <c r="L86" s="1312" t="e">
        <f t="shared" si="10"/>
        <v>#DIV/0!</v>
      </c>
      <c r="N86" s="1318" cm="1">
        <f t="array" ref="N86">+IFERROR(LOOKUP(2,1/((C86&gt;=Mins2)*(C86&lt;=Maxs2)),Rates2),"N/A")</f>
        <v>8.9499999999999996E-2</v>
      </c>
      <c r="O86" s="1314">
        <v>0</v>
      </c>
      <c r="P86" s="1314" t="e">
        <f t="shared" si="3"/>
        <v>#DIV/0!</v>
      </c>
      <c r="Q86" s="1314" t="e">
        <f t="shared" si="6"/>
        <v>#DIV/0!</v>
      </c>
      <c r="R86" s="1319" t="e">
        <f t="shared" si="11"/>
        <v>#DIV/0!</v>
      </c>
      <c r="S86" s="1319" t="e">
        <f t="shared" si="18"/>
        <v>#DIV/0!</v>
      </c>
      <c r="T86" s="1314" t="e">
        <f t="shared" si="12"/>
        <v>#DIV/0!</v>
      </c>
      <c r="U86" s="1312" t="e">
        <f t="shared" si="13"/>
        <v>#DIV/0!</v>
      </c>
      <c r="W86" s="1314">
        <f t="shared" si="20"/>
        <v>0</v>
      </c>
      <c r="X86" s="1314" t="e">
        <f t="shared" si="20"/>
        <v>#DIV/0!</v>
      </c>
      <c r="Y86" s="1314" t="e">
        <f t="shared" si="20"/>
        <v>#DIV/0!</v>
      </c>
      <c r="Z86" s="1319" t="e">
        <f>'Int Reserve - A-B Loan'!I86-'Int Reserve - A-B Loan'!R86</f>
        <v>#DIV/0!</v>
      </c>
      <c r="AA86" s="1319" t="e">
        <f t="shared" si="14"/>
        <v>#DIV/0!</v>
      </c>
      <c r="AB86" s="1314" t="e">
        <f>'Int Reserve - A-B Loan'!K86-'Int Reserve - A-B Loan'!T86</f>
        <v>#DIV/0!</v>
      </c>
      <c r="AC86" s="1312" t="e">
        <f t="shared" si="15"/>
        <v>#DIV/0!</v>
      </c>
    </row>
    <row r="87" spans="3:29" x14ac:dyDescent="0.2">
      <c r="C87" s="1369">
        <f t="shared" si="19"/>
        <v>52</v>
      </c>
      <c r="D87" s="1384">
        <f t="shared" si="16"/>
        <v>47604</v>
      </c>
      <c r="E87" s="1318" cm="1">
        <f t="array" ref="E87">+IFERROR(LOOKUP(2,1/((C87&gt;=Mins)*(C87&lt;=Maxs)),Rates),"N/A")</f>
        <v>0.10150000000000001</v>
      </c>
      <c r="F87" s="1314">
        <v>0</v>
      </c>
      <c r="G87" s="1317" t="e">
        <f>+MIN($I$16-SUM($G$35:G86),$I$16/$D$18)</f>
        <v>#DIV/0!</v>
      </c>
      <c r="H87" s="1317">
        <f t="shared" si="5"/>
        <v>0</v>
      </c>
      <c r="I87" s="1319" t="e">
        <f t="shared" si="17"/>
        <v>#DIV/0!</v>
      </c>
      <c r="J87" s="1319" t="e">
        <f t="shared" si="8"/>
        <v>#DIV/0!</v>
      </c>
      <c r="K87" s="1314" t="e">
        <f t="shared" si="9"/>
        <v>#DIV/0!</v>
      </c>
      <c r="L87" s="1312" t="e">
        <f t="shared" si="10"/>
        <v>#DIV/0!</v>
      </c>
      <c r="N87" s="1318" cm="1">
        <f t="array" ref="N87">+IFERROR(LOOKUP(2,1/((C87&gt;=Mins2)*(C87&lt;=Maxs2)),Rates2),"N/A")</f>
        <v>8.9499999999999996E-2</v>
      </c>
      <c r="O87" s="1314">
        <v>0</v>
      </c>
      <c r="P87" s="1314" t="e">
        <f t="shared" si="3"/>
        <v>#DIV/0!</v>
      </c>
      <c r="Q87" s="1314" t="e">
        <f t="shared" si="6"/>
        <v>#DIV/0!</v>
      </c>
      <c r="R87" s="1319" t="e">
        <f t="shared" si="11"/>
        <v>#DIV/0!</v>
      </c>
      <c r="S87" s="1319" t="e">
        <f t="shared" si="18"/>
        <v>#DIV/0!</v>
      </c>
      <c r="T87" s="1314" t="e">
        <f t="shared" si="12"/>
        <v>#DIV/0!</v>
      </c>
      <c r="U87" s="1312" t="e">
        <f>U86+P87+T87-Q87</f>
        <v>#DIV/0!</v>
      </c>
      <c r="W87" s="1314">
        <f t="shared" si="20"/>
        <v>0</v>
      </c>
      <c r="X87" s="1314" t="e">
        <f t="shared" si="20"/>
        <v>#DIV/0!</v>
      </c>
      <c r="Y87" s="1314" t="e">
        <f t="shared" si="20"/>
        <v>#DIV/0!</v>
      </c>
      <c r="Z87" s="1319" t="e">
        <f>'Int Reserve - A-B Loan'!I87-'Int Reserve - A-B Loan'!R87</f>
        <v>#DIV/0!</v>
      </c>
      <c r="AA87" s="1319" t="e">
        <f>Z87-AB87</f>
        <v>#DIV/0!</v>
      </c>
      <c r="AB87" s="1314" t="e">
        <f>'Int Reserve - A-B Loan'!K87-'Int Reserve - A-B Loan'!T87</f>
        <v>#DIV/0!</v>
      </c>
      <c r="AC87" s="1312" t="e">
        <f>AC86+X87+AB87-Y87</f>
        <v>#DIV/0!</v>
      </c>
    </row>
    <row r="88" spans="3:29" x14ac:dyDescent="0.2">
      <c r="F88" s="1378">
        <f t="shared" ref="F88:K88" si="21">SUM(F35:F87)</f>
        <v>1150000</v>
      </c>
      <c r="G88" s="1378" t="e">
        <f t="shared" si="21"/>
        <v>#DIV/0!</v>
      </c>
      <c r="H88" s="1378">
        <f t="shared" si="21"/>
        <v>1</v>
      </c>
      <c r="I88" s="1378" t="e">
        <f t="shared" si="21"/>
        <v>#DIV/0!</v>
      </c>
      <c r="J88" s="1378" t="e">
        <f t="shared" si="21"/>
        <v>#DIV/0!</v>
      </c>
      <c r="K88" s="1378" t="e">
        <f t="shared" si="21"/>
        <v>#DIV/0!</v>
      </c>
      <c r="O88" s="1378">
        <f t="shared" ref="O88:T88" si="22">SUM(O35:O87)</f>
        <v>700000</v>
      </c>
      <c r="P88" s="1378" t="e">
        <f t="shared" si="22"/>
        <v>#DIV/0!</v>
      </c>
      <c r="Q88" s="1378" t="e">
        <f t="shared" si="22"/>
        <v>#DIV/0!</v>
      </c>
      <c r="R88" s="1378" t="e">
        <f t="shared" si="22"/>
        <v>#DIV/0!</v>
      </c>
      <c r="S88" s="1378" t="e">
        <f t="shared" si="22"/>
        <v>#DIV/0!</v>
      </c>
      <c r="T88" s="1378" t="e">
        <f t="shared" si="22"/>
        <v>#DIV/0!</v>
      </c>
      <c r="W88" s="1378">
        <f t="shared" ref="W88:AB88" si="23">SUM(W35:W87)</f>
        <v>450000</v>
      </c>
      <c r="X88" s="1378" t="e">
        <f t="shared" si="23"/>
        <v>#DIV/0!</v>
      </c>
      <c r="Y88" s="1378" t="e">
        <f t="shared" si="23"/>
        <v>#DIV/0!</v>
      </c>
      <c r="Z88" s="1378" t="e">
        <f t="shared" si="23"/>
        <v>#DIV/0!</v>
      </c>
      <c r="AA88" s="1378" t="e">
        <f t="shared" si="23"/>
        <v>#DIV/0!</v>
      </c>
      <c r="AB88" s="1378" t="e">
        <f t="shared" si="23"/>
        <v>#DIV/0!</v>
      </c>
    </row>
    <row r="89" spans="3:29" x14ac:dyDescent="0.2">
      <c r="F89" s="1386">
        <f>+'Int Reserve - A-B Loan'!O88+'Int Reserve - A-B Loan'!W88</f>
        <v>1150000</v>
      </c>
      <c r="G89" s="1386" t="e">
        <f>+'Int Reserve - A-B Loan'!P88+'Int Reserve - A-B Loan'!X88</f>
        <v>#DIV/0!</v>
      </c>
      <c r="H89" s="1386" t="e">
        <f>+'Int Reserve - A-B Loan'!Q88+'Int Reserve - A-B Loan'!Y88</f>
        <v>#DIV/0!</v>
      </c>
      <c r="I89" s="1386" t="e">
        <f>+'Int Reserve - A-B Loan'!R88+'Int Reserve - A-B Loan'!Z88</f>
        <v>#DIV/0!</v>
      </c>
      <c r="J89" s="1387"/>
      <c r="K89" s="1386" t="e">
        <f>+'Int Reserve - A-B Loan'!T88+'Int Reserve - A-B Loan'!AB88</f>
        <v>#DIV/0!</v>
      </c>
      <c r="P89" s="1378"/>
      <c r="R89" s="1378"/>
      <c r="X89" s="1378"/>
      <c r="Z89" s="1378"/>
    </row>
    <row r="90" spans="3:29" x14ac:dyDescent="0.2">
      <c r="F90" s="1389" t="s">
        <v>752</v>
      </c>
      <c r="G90" s="1390" t="e">
        <f>G88-G89</f>
        <v>#DIV/0!</v>
      </c>
      <c r="H90" s="1390" t="e">
        <f>H88-H89</f>
        <v>#DIV/0!</v>
      </c>
      <c r="I90" s="1390" t="e">
        <f>I88-I89</f>
        <v>#DIV/0!</v>
      </c>
      <c r="J90" s="1390">
        <f>F88-F89</f>
        <v>0</v>
      </c>
      <c r="K90" s="1390" t="e">
        <f>K88-K89</f>
        <v>#DIV/0!</v>
      </c>
      <c r="O90" s="1389" t="s">
        <v>752</v>
      </c>
      <c r="P90" s="1391" t="e">
        <f>+P88+R88-Q88</f>
        <v>#DIV/0!</v>
      </c>
      <c r="Q90" s="1378"/>
      <c r="W90" s="1389" t="s">
        <v>752</v>
      </c>
      <c r="X90" s="1391" t="e">
        <f>+X88+Z88-Y88</f>
        <v>#DIV/0!</v>
      </c>
    </row>
    <row r="91" spans="3:29" x14ac:dyDescent="0.2">
      <c r="F91" s="1389" t="s">
        <v>752</v>
      </c>
      <c r="G91" s="1390" t="e">
        <f>+G88+I88-H88</f>
        <v>#DIV/0!</v>
      </c>
      <c r="I91" s="1378"/>
      <c r="P91" s="1392"/>
      <c r="Q91" s="1378"/>
      <c r="V91" s="1376"/>
      <c r="X91" s="1392"/>
      <c r="Y91" s="1378"/>
    </row>
    <row r="92" spans="3:29" x14ac:dyDescent="0.2">
      <c r="F92" s="1389" t="s">
        <v>753</v>
      </c>
      <c r="G92" s="1388"/>
      <c r="H92" s="1393" t="e">
        <f>+G88+K88</f>
        <v>#DIV/0!</v>
      </c>
      <c r="I92" s="1388" t="e">
        <f>IF(H92&gt;G24, "!! Advances Exceed Loan !!","Okay")</f>
        <v>#DIV/0!</v>
      </c>
      <c r="J92" s="1388"/>
      <c r="O92" s="1389" t="s">
        <v>753</v>
      </c>
      <c r="P92" s="1388"/>
      <c r="Q92" s="1393" t="e">
        <f>+P88+T88</f>
        <v>#DIV/0!</v>
      </c>
      <c r="R92" s="1388" t="e">
        <f>IF(Q92&gt;P24, "!! Advances Exceed Loan !!","Okay")</f>
        <v>#DIV/0!</v>
      </c>
      <c r="S92" s="1388"/>
      <c r="W92" s="1389" t="s">
        <v>753</v>
      </c>
      <c r="X92" s="1388"/>
      <c r="Y92" s="1393" t="e">
        <f>+X88+AB88</f>
        <v>#DIV/0!</v>
      </c>
      <c r="Z92" s="1388" t="e">
        <f>IF(Y92&gt;X24, "!! Advances Exceed Loan !!","Okay")</f>
        <v>#DIV/0!</v>
      </c>
      <c r="AA92" s="1388"/>
    </row>
    <row r="93" spans="3:29" x14ac:dyDescent="0.2">
      <c r="H93" s="1392"/>
    </row>
    <row r="94" spans="3:29" x14ac:dyDescent="0.2">
      <c r="H94" s="1392"/>
    </row>
  </sheetData>
  <mergeCells count="2">
    <mergeCell ref="C7:I7"/>
    <mergeCell ref="C13:D13"/>
  </mergeCells>
  <dataValidations disablePrompts="1" count="1">
    <dataValidation type="list" allowBlank="1" showInputMessage="1" showErrorMessage="1" sqref="D16" xr:uid="{0DF7DD13-3E89-47AC-A5D2-9C4231D0097F}">
      <formula1>"Capitalized, Paid Current"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Button 1">
              <controlPr defaultSize="0" print="0" autoFill="0" autoPict="0">
                <anchor moveWithCells="1" sizeWithCells="1">
                  <from>
                    <xdr:col>6</xdr:col>
                    <xdr:colOff>1009650</xdr:colOff>
                    <xdr:row>16</xdr:row>
                    <xdr:rowOff>133350</xdr:rowOff>
                  </from>
                  <to>
                    <xdr:col>8</xdr:col>
                    <xdr:colOff>0</xdr:colOff>
                    <xdr:row>18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Button 2">
              <controlPr defaultSize="0" print="0" autoFill="0" autoPict="0">
                <anchor moveWithCells="1" sizeWithCells="1">
                  <from>
                    <xdr:col>6</xdr:col>
                    <xdr:colOff>1009650</xdr:colOff>
                    <xdr:row>16</xdr:row>
                    <xdr:rowOff>133350</xdr:rowOff>
                  </from>
                  <to>
                    <xdr:col>8</xdr:col>
                    <xdr:colOff>9525</xdr:colOff>
                    <xdr:row>18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E137-6AA9-4078-A0F4-304EBEB4459D}">
  <dimension ref="B3:P4"/>
  <sheetViews>
    <sheetView showGridLines="0" zoomScaleNormal="100" workbookViewId="0"/>
  </sheetViews>
  <sheetFormatPr defaultColWidth="8.7109375" defaultRowHeight="15" x14ac:dyDescent="0.25"/>
  <cols>
    <col min="2" max="2" width="25.42578125" customWidth="1"/>
    <col min="3" max="4" width="20.42578125" customWidth="1"/>
    <col min="5" max="5" width="25.42578125" customWidth="1"/>
    <col min="6" max="6" width="10.42578125" customWidth="1"/>
    <col min="7" max="16" width="15.7109375" customWidth="1"/>
  </cols>
  <sheetData>
    <row r="3" spans="2:16" s="509" customFormat="1" x14ac:dyDescent="0.25">
      <c r="B3" s="505" t="s">
        <v>468</v>
      </c>
      <c r="C3" s="378" t="s">
        <v>484</v>
      </c>
      <c r="D3" s="378" t="s">
        <v>485</v>
      </c>
      <c r="E3" s="506" t="s">
        <v>486</v>
      </c>
      <c r="F3" s="506" t="s">
        <v>487</v>
      </c>
      <c r="G3" s="378" t="s">
        <v>61</v>
      </c>
      <c r="H3" s="506" t="s">
        <v>488</v>
      </c>
      <c r="I3" s="378" t="s">
        <v>489</v>
      </c>
      <c r="J3" s="378" t="s">
        <v>105</v>
      </c>
      <c r="K3" s="378" t="s">
        <v>490</v>
      </c>
      <c r="L3" s="378" t="s">
        <v>491</v>
      </c>
      <c r="M3" s="378" t="s">
        <v>492</v>
      </c>
      <c r="N3" s="507" t="s">
        <v>493</v>
      </c>
      <c r="O3" s="508" t="s">
        <v>494</v>
      </c>
      <c r="P3" s="508" t="s">
        <v>158</v>
      </c>
    </row>
    <row r="4" spans="2:16" s="510" customFormat="1" x14ac:dyDescent="0.25">
      <c r="B4" s="257"/>
      <c r="C4" s="257"/>
      <c r="D4" s="257"/>
      <c r="E4" s="257"/>
      <c r="F4" s="257"/>
      <c r="G4" s="510">
        <f>+Economics!F15</f>
        <v>0</v>
      </c>
      <c r="H4" s="510" t="str">
        <f>IFERROR(+Economics!J15,"--")</f>
        <v>N/A</v>
      </c>
      <c r="I4" s="510" t="str">
        <f>IFERROR(+Economics!G32,"--")</f>
        <v>--</v>
      </c>
      <c r="J4" s="510">
        <f>+Economics!H33</f>
        <v>0</v>
      </c>
      <c r="K4" s="510" t="str">
        <f>IFERROR(+J4/G4,"--")</f>
        <v>--</v>
      </c>
      <c r="L4" s="510">
        <f>+Economics!G34</f>
        <v>0</v>
      </c>
      <c r="M4" s="510">
        <f>IFERROR(+Economics!H34,"--")</f>
        <v>0</v>
      </c>
      <c r="N4" s="510" t="str">
        <f>IFERROR(+M4/G4,"--")</f>
        <v>--</v>
      </c>
      <c r="O4" s="510" t="str">
        <f>IFERROR(Economics!$J$34,"--")</f>
        <v>N/A</v>
      </c>
      <c r="P4" s="510" t="str">
        <f>IFERROR(Economics!I79,"--")</f>
        <v>--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9484510b-f930-464b-a977-a0a887fa087d" xsi:nil="true"/>
    <lcf76f155ced4ddcb4097134ff3c332f xmlns="49238738-2cec-43d9-8ad2-14b061b1b8ce">
      <Terms xmlns="http://schemas.microsoft.com/office/infopath/2007/PartnerControls"/>
    </lcf76f155ced4ddcb4097134ff3c332f>
    <_Flow_SignoffStatus xmlns="49238738-2cec-43d9-8ad2-14b061b1b8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3FA0822086B5498D3EDD526E12404D" ma:contentTypeVersion="21" ma:contentTypeDescription="Create a new document." ma:contentTypeScope="" ma:versionID="350c9232b9d0a7b8828b3c1e74259291">
  <xsd:schema xmlns:xsd="http://www.w3.org/2001/XMLSchema" xmlns:xs="http://www.w3.org/2001/XMLSchema" xmlns:p="http://schemas.microsoft.com/office/2006/metadata/properties" xmlns:ns1="http://schemas.microsoft.com/sharepoint/v3" xmlns:ns2="49238738-2cec-43d9-8ad2-14b061b1b8ce" xmlns:ns3="9484510b-f930-464b-a977-a0a887fa087d" targetNamespace="http://schemas.microsoft.com/office/2006/metadata/properties" ma:root="true" ma:fieldsID="fa557b97ae456fadc46ab7ca6c14cc5e" ns1:_="" ns2:_="" ns3:_="">
    <xsd:import namespace="http://schemas.microsoft.com/sharepoint/v3"/>
    <xsd:import namespace="49238738-2cec-43d9-8ad2-14b061b1b8ce"/>
    <xsd:import namespace="9484510b-f930-464b-a977-a0a887fa08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38738-2cec-43d9-8ad2-14b061b1b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8e54374-fd09-435c-ac79-e87410dc23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4510b-f930-464b-a977-a0a887fa087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4dab3b-353b-4bbe-9131-931e236f1b82}" ma:internalName="TaxCatchAll" ma:showField="CatchAllData" ma:web="9484510b-f930-464b-a977-a0a887fa08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5C2FD6-C8B9-4108-920A-6CF203138E1F}">
  <ds:schemaRefs>
    <ds:schemaRef ds:uri="9484510b-f930-464b-a977-a0a887fa087d"/>
    <ds:schemaRef ds:uri="http://schemas.microsoft.com/office/2006/metadata/properties"/>
    <ds:schemaRef ds:uri="http://purl.org/dc/terms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49238738-2cec-43d9-8ad2-14b061b1b8c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621263-33B0-46FB-8788-E8241C14AB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5978F1-4B02-418F-9251-61E109FD8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9238738-2cec-43d9-8ad2-14b061b1b8ce"/>
    <ds:schemaRef ds:uri="9484510b-f930-464b-a977-a0a887fa08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Summary</vt:lpstr>
      <vt:lpstr>Economics</vt:lpstr>
      <vt:lpstr>Buydown Calc</vt:lpstr>
      <vt:lpstr>ControlBackEnd</vt:lpstr>
      <vt:lpstr>PremiumBackEnd</vt:lpstr>
      <vt:lpstr>Premium&amp;DSCBackEndNEW</vt:lpstr>
      <vt:lpstr>BenchmarkBackEnd</vt:lpstr>
      <vt:lpstr>Rent Roll</vt:lpstr>
      <vt:lpstr>Utilities</vt:lpstr>
      <vt:lpstr>PNW Verification</vt:lpstr>
      <vt:lpstr>Sales Comps</vt:lpstr>
      <vt:lpstr>Leasing Comps</vt:lpstr>
      <vt:lpstr>Budget</vt:lpstr>
      <vt:lpstr>Int Reserve - Single Loan</vt:lpstr>
      <vt:lpstr>Int Reserve - A-B Loan</vt:lpstr>
      <vt:lpstr>KS Database Inputs</vt:lpstr>
      <vt:lpstr>'Int Reserve - A-B Loan'!Maxs</vt:lpstr>
      <vt:lpstr>'Int Reserve - Single Loan'!Maxs</vt:lpstr>
      <vt:lpstr>'Int Reserve - A-B Loan'!Maxs2</vt:lpstr>
      <vt:lpstr>'Int Reserve - Single Loan'!Maxs2</vt:lpstr>
      <vt:lpstr>'Int Reserve - A-B Loan'!Mins</vt:lpstr>
      <vt:lpstr>'Int Reserve - Single Loan'!Mins</vt:lpstr>
      <vt:lpstr>'Int Reserve - A-B Loan'!Mins2</vt:lpstr>
      <vt:lpstr>'Int Reserve - Single Loan'!Mins2</vt:lpstr>
      <vt:lpstr>'Int Reserve - A-B Loan'!Rates</vt:lpstr>
      <vt:lpstr>'Int Reserve - Single Loan'!Rates</vt:lpstr>
      <vt:lpstr>'Int Reserve - A-B Loan'!Rates2</vt:lpstr>
      <vt:lpstr>'Int Reserve - Single Loan'!Rates2</vt:lpstr>
      <vt:lpstr>Unit_Type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Jake Smith</dc:creator>
  <cp:keywords/>
  <dc:description/>
  <cp:lastModifiedBy>Adam Flomen</cp:lastModifiedBy>
  <cp:revision/>
  <dcterms:created xsi:type="dcterms:W3CDTF">2018-04-06T17:30:59Z</dcterms:created>
  <dcterms:modified xsi:type="dcterms:W3CDTF">2026-01-05T14:26:01Z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0x010100C63FA0822086B5498D3EDD526E12404D</vt:lpwstr>
  </property>
  <property fmtid="{D5CDD505-2E9C-101B-9397-08002B2CF9AE}" pid="3" name="AuthorIds_UIVersion_512">
    <vt:lpwstr>1244</vt:lpwstr>
  </property>
  <property fmtid="{D5CDD505-2E9C-101B-9397-08002B2CF9AE}" pid="4" name="MediaServiceImageTags">
    <vt:lpwstr/>
  </property>
</Properties>
</file>