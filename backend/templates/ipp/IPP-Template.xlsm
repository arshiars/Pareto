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shiarahimi/Downloads/drive-download-20260314T043256Z-3-001/"/>
    </mc:Choice>
  </mc:AlternateContent>
  <xr:revisionPtr revIDLastSave="0" documentId="13_ncr:1_{DC3598D9-06E2-B648-A3D9-5BE30E8AF57D}" xr6:coauthVersionLast="47" xr6:coauthVersionMax="47" xr10:uidLastSave="{00000000-0000-0000-0000-000000000000}"/>
  <bookViews>
    <workbookView xWindow="0" yWindow="660" windowWidth="30240" windowHeight="18980" tabRatio="897" xr2:uid="{00000000-000D-0000-FFFF-FFFF00000000}"/>
  </bookViews>
  <sheets>
    <sheet name="UW - IPP ICI" sheetId="5" r:id="rId1"/>
    <sheet name="Rent Roll" sheetId="14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INDEX_SHEET___ASAP_Utilities" localSheetId="1">#REF!</definedName>
    <definedName name="___INDEX_SHEET___ASAP_Utilities">#REF!</definedName>
    <definedName name="__R">'[2]YM Tranche 2'!$F$7</definedName>
    <definedName name="_2484_1_00">"Project_number"</definedName>
    <definedName name="_Fill" localSheetId="1" hidden="1">#REF!</definedName>
    <definedName name="_Fill" hidden="1">#REF!</definedName>
    <definedName name="_xlnm._FilterDatabase" localSheetId="1" hidden="1">'Rent Roll'!$A$4:$J$39</definedName>
    <definedName name="_Key1" localSheetId="1" hidden="1">#REF!</definedName>
    <definedName name="_Key1" hidden="1">#REF!</definedName>
    <definedName name="_Key2" hidden="1">#REF!</definedName>
    <definedName name="_LOAN" localSheetId="1">#REF!</definedName>
    <definedName name="_LOAN">#REF!</definedName>
    <definedName name="_OH1" localSheetId="1">#REF!</definedName>
    <definedName name="_OH1">#REF!</definedName>
    <definedName name="_OH2" localSheetId="1">#REF!</definedName>
    <definedName name="_OH2">#REF!</definedName>
    <definedName name="_OH3" localSheetId="1">#REF!</definedName>
    <definedName name="_OH3">#REF!</definedName>
    <definedName name="_OH4" localSheetId="1">#REF!</definedName>
    <definedName name="_OH4">#REF!</definedName>
    <definedName name="_Order1" hidden="1">255</definedName>
    <definedName name="_Order2" hidden="1">255</definedName>
    <definedName name="_R" localSheetId="1">#REF!</definedName>
    <definedName name="_R">#REF!</definedName>
    <definedName name="_Sort" localSheetId="1" hidden="1">#REF!</definedName>
    <definedName name="_Sort" hidden="1">#REF!</definedName>
    <definedName name="_Table2_In1" localSheetId="1" hidden="1">#REF!</definedName>
    <definedName name="_Table2_In1" hidden="1">#REF!</definedName>
    <definedName name="_Table2_In2" localSheetId="1" hidden="1">#REF!</definedName>
    <definedName name="_Table2_In2" hidden="1">#REF!</definedName>
    <definedName name="_Table2_Out" localSheetId="1" hidden="1">#REF!</definedName>
    <definedName name="_Table2_Out" hidden="1">#REF!</definedName>
    <definedName name="\A" localSheetId="1">#REF!</definedName>
    <definedName name="\A">#REF!</definedName>
    <definedName name="\B" localSheetId="1">#REF!</definedName>
    <definedName name="\B">#REF!</definedName>
    <definedName name="\f" localSheetId="1">#REF!</definedName>
    <definedName name="\f">#REF!</definedName>
    <definedName name="\m" localSheetId="1">#REF!</definedName>
    <definedName name="\m">#REF!</definedName>
    <definedName name="\o" localSheetId="1">#REF!</definedName>
    <definedName name="\o">#REF!</definedName>
    <definedName name="\p" localSheetId="1">#REF!</definedName>
    <definedName name="\p">#REF!</definedName>
    <definedName name="\r" localSheetId="1">#REF!</definedName>
    <definedName name="\r">#REF!</definedName>
    <definedName name="\x">[1]OPLAN95!#REF!</definedName>
    <definedName name="a">'[3]Cash Flow'!$A$14:$W$194</definedName>
    <definedName name="AccessDatabase" hidden="1">"J:\Condo\The Bonavista\The Bonavista.mdb"</definedName>
    <definedName name="Adera1" localSheetId="1" hidden="1">#REF!</definedName>
    <definedName name="Adera1" hidden="1">#REF!</definedName>
    <definedName name="ad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ad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All_other_levies">'[4]Coho 2 (Osprey 3B)'!#REF!</definedName>
    <definedName name="Amortization__Yrs" localSheetId="1">#REF!</definedName>
    <definedName name="Amortization__Yrs">#REF!</definedName>
    <definedName name="AQ" localSheetId="1">#REF!</definedName>
    <definedName name="AQ">#REF!</definedName>
    <definedName name="avgopcst" localSheetId="1">#REF!</definedName>
    <definedName name="avgopcst">#REF!</definedName>
    <definedName name="Base_sales_revenue">'[4]Coho 2 (Osprey 3B)'!#REF!</definedName>
    <definedName name="Button_1">"CalifornianCasa_UnitDetails_List"</definedName>
    <definedName name="Button_80">"The_Bonavista_UnitDetails_List"</definedName>
    <definedName name="CalifornianCasa_UnitDetails_List" localSheetId="1">#REF!</definedName>
    <definedName name="CalifornianCasa_UnitDetails_List">#REF!</definedName>
    <definedName name="CashFlow">'[5]Cash Flow'!$A$14:$W$194</definedName>
    <definedName name="chart_balance" localSheetId="1">OFFSET(#REF!,2,0,#REF!,1)</definedName>
    <definedName name="chart_balance">OFFSET(#REF!,2,0,#REF!,1)</definedName>
    <definedName name="chart_balance_noextra">#N/A</definedName>
    <definedName name="chart_date" localSheetId="1">OFFSET(#REF!,2,0,#REF!,1)</definedName>
    <definedName name="chart_date">OFFSET(#REF!,2,0,#REF!,1)</definedName>
    <definedName name="chart_date1" localSheetId="1">OFFSET(#REF!,2,0,#REF!,1)</definedName>
    <definedName name="chart_date1">OFFSET(#REF!,2,0,#REF!,1)</definedName>
    <definedName name="chart_nper">#N/A</definedName>
    <definedName name="Chart1">[6]MADRONA!$M$4</definedName>
    <definedName name="Chart2">[6]MADRONA!$N$2</definedName>
    <definedName name="COLUMN">#N/A</definedName>
    <definedName name="Combined_Budget_Print_Area" localSheetId="1">#REF!</definedName>
    <definedName name="Combined_Budget_Print_Area">#REF!</definedName>
    <definedName name="Combined_Expenditure_by_month" localSheetId="1">#REF!</definedName>
    <definedName name="Combined_Expenditure_by_month">#REF!</definedName>
    <definedName name="compound_period" localSheetId="1">INDEX({2,12,4,1},MATCH(#REF!,'Rent Roll'!compound_periods,0))</definedName>
    <definedName name="compound_period">INDEX({2,12,4,1},MATCH(#REF!,[7]!compound_periods,0))</definedName>
    <definedName name="compound_periods" localSheetId="1">{"Semi-Annually";"Monthly";"Quarterly";"Annually"}</definedName>
    <definedName name="compound_periods">{"Semi-Annually";"Monthly";"Quarterly";"Annually"}</definedName>
    <definedName name="Construction">'[4]Coho 2 (Osprey 3B)'!#REF!</definedName>
    <definedName name="D" localSheetId="1">#REF!</definedName>
    <definedName name="D">#REF!</definedName>
    <definedName name="dasdfasd" localSheetId="1">#REF!</definedName>
    <definedName name="dasdfasd">#REF!</definedName>
    <definedName name="data">'[8]download realigned'!$A$1:$Y$12683</definedName>
    <definedName name="DATA_01" localSheetId="1">'[9]Building Costs'!#REF!</definedName>
    <definedName name="DATA_01">'[9]Building Costs'!#REF!</definedName>
    <definedName name="DATA_02" localSheetId="1">'[9]Building Costs'!#REF!</definedName>
    <definedName name="DATA_02">'[9]Building Costs'!#REF!</definedName>
    <definedName name="DATA_03">'[9]Building Costs'!#REF!</definedName>
    <definedName name="Date" localSheetId="1">#REF!</definedName>
    <definedName name="Date">#REF!</definedName>
    <definedName name="dater" localSheetId="1">#REF!</definedName>
    <definedName name="dater">#REF!</definedName>
    <definedName name="DEBT">'[10]Senior Mortgage'!$A$12:$F$32</definedName>
    <definedName name="Design___consultants" localSheetId="1">'[4]Coho 2 (Osprey 3B)'!#REF!</definedName>
    <definedName name="Design___consultants">'[4]Coho 2 (Osprey 3B)'!#REF!</definedName>
    <definedName name="dfd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d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gsg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fgsg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DRAW" localSheetId="1">#REF!</definedName>
    <definedName name="DRAW">#REF!</definedName>
    <definedName name="dsthdryjcghmcg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dsthdryjcghmcg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eret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eret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ExRate" localSheetId="1">#REF!</definedName>
    <definedName name="ExRate">#REF!</definedName>
    <definedName name="extra_payment_interval" localSheetId="1">#REF!</definedName>
    <definedName name="extra_payment_interval">#REF!</definedName>
    <definedName name="fgr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r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s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gs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inal2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inal2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latRentRoll">[11]WAVG!$A$7:$J$65536</definedName>
    <definedName name="fpdate" localSheetId="1">#REF!</definedName>
    <definedName name="fpdate">#REF!</definedName>
    <definedName name="fqww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qww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frequency" localSheetId="1">{"Annually";"Semi-Annually";"Quarterly";"Bi-Monthly";"Monthly";"Semi-Monthly";"Bi-Weekly";"Weekly"}</definedName>
    <definedName name="frequency">{"Annually";"Semi-Annually";"Quarterly";"Bi-Monthly";"Monthly";"Semi-Monthly";"Bi-Weekly";"Weekly"}</definedName>
    <definedName name="fuck">[6]MADRONA!$B$68:$B$73</definedName>
    <definedName name="fuckyou">[6]MADRONA!$B$24:$Q$54</definedName>
    <definedName name="g" localSheetId="1">#REF!</definedName>
    <definedName name="g">#REF!</definedName>
    <definedName name="gg" localSheetId="1">#REF!</definedName>
    <definedName name="gg">#REF!</definedName>
    <definedName name="ggf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gf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h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h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rade" localSheetId="1">#REF!</definedName>
    <definedName name="Grade">#REF!</definedName>
    <definedName name="Gross_profit" localSheetId="1">'[4]Coho 2 (Osprey 3B)'!#REF!</definedName>
    <definedName name="Gross_profit">'[4]Coho 2 (Osprey 3B)'!#REF!</definedName>
    <definedName name="gs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gs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gss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gss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h">[6]MADRONA!$B$94:$C$153</definedName>
    <definedName name="hrt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hrt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ImportName">[5]Summary!$C$7</definedName>
    <definedName name="INCENTIVE" localSheetId="1">#REF!</definedName>
    <definedName name="INCENTIVE">#REF!</definedName>
    <definedName name="INFLATED" localSheetId="1">#REF!</definedName>
    <definedName name="INFLATED">#REF!</definedName>
    <definedName name="INFLATOR" localSheetId="1">#REF!</definedName>
    <definedName name="INFLATOR">#REF!</definedName>
    <definedName name="INFLATORER" localSheetId="1">#REF!</definedName>
    <definedName name="INFLATORER">#REF!</definedName>
    <definedName name="INTEREST" localSheetId="1">#REF!</definedName>
    <definedName name="INTEREST">#REF!</definedName>
    <definedName name="Interest_Rate" localSheetId="1">#REF!</definedName>
    <definedName name="Interest_Rate">#REF!</definedName>
    <definedName name="IntroPrintArea" localSheetId="1">#REF!</definedName>
    <definedName name="IntroPrintArea">#REF!</definedName>
    <definedName name="IPPS" localSheetId="1">#REF!</definedName>
    <definedName name="IPPS">#REF!</definedName>
    <definedName name="IrrLookupRange">'[5]Financing CF '!$F$7:$AB$49</definedName>
    <definedName name="J" localSheetId="1">#REF!</definedName>
    <definedName name="J">#REF!</definedName>
    <definedName name="k" localSheetId="1">#REF!</definedName>
    <definedName name="k">#REF!</definedName>
    <definedName name="khgkjh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khgkjh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LDATE" localSheetId="1">#REF!</definedName>
    <definedName name="LDATE">#REF!</definedName>
    <definedName name="LOAN" localSheetId="1">#REF!</definedName>
    <definedName name="LOAN">#REF!</definedName>
    <definedName name="Loan_Amount" localSheetId="1">#REF!</definedName>
    <definedName name="Loan_Amount">#REF!</definedName>
    <definedName name="Look1Area" localSheetId="1">#REF!</definedName>
    <definedName name="Look1Area">#REF!</definedName>
    <definedName name="Look2Area" localSheetId="1">#REF!</definedName>
    <definedName name="Look2Area">#REF!</definedName>
    <definedName name="Look3Area" localSheetId="1">#REF!</definedName>
    <definedName name="Look3Area">#REF!</definedName>
    <definedName name="Look4Area" localSheetId="1">#REF!</definedName>
    <definedName name="Look4Area">#REF!</definedName>
    <definedName name="Look5Area" localSheetId="1">#REF!</definedName>
    <definedName name="Look5Area">#REF!</definedName>
    <definedName name="MineCost" localSheetId="1">#REF!</definedName>
    <definedName name="MineCost">#REF!</definedName>
    <definedName name="MODEL" localSheetId="1">#REF!</definedName>
    <definedName name="MODEL">#REF!</definedName>
    <definedName name="MODEL1" localSheetId="1">#REF!</definedName>
    <definedName name="MODEL1">#REF!</definedName>
    <definedName name="months_per_period" localSheetId="1">INDEX({12,6,3,2,1,0.5,0.5,0.25},MATCH(#REF!,'Rent Roll'!frequency,0))</definedName>
    <definedName name="months_per_period">INDEX({12,6,3,2,1,0.5,0.5,0.25},MATCH(#REF!,frequency,0))</definedName>
    <definedName name="N" localSheetId="1">#REF!</definedName>
    <definedName name="N">#REF!</definedName>
    <definedName name="NewName" localSheetId="1" hidden="1">#REF!</definedName>
    <definedName name="NewName" hidden="1">#REF!</definedName>
    <definedName name="nio">'[12]Globa Ass''ns'!$J$8</definedName>
    <definedName name="NOTES">#N/A</definedName>
    <definedName name="nper">#N/A</definedName>
    <definedName name="payment" localSheetId="1">#REF!</definedName>
    <definedName name="payment">#REF!</definedName>
    <definedName name="periods_per_year" localSheetId="1">INDEX({1,2,4,6,12,24,26,52},MATCH(#REF!,'Rent Roll'!frequency,0))</definedName>
    <definedName name="periods_per_year">INDEX({1,2,4,6,12,24,26,52},MATCH(#REF!,frequency,0))</definedName>
    <definedName name="Pivot">"Rollover!$A$1:$G$10"</definedName>
    <definedName name="Price" localSheetId="1">#REF!</definedName>
    <definedName name="Price">#REF!</definedName>
    <definedName name="PRINCIPLE" localSheetId="1">#REF!</definedName>
    <definedName name="PRINCIPLE">#REF!</definedName>
    <definedName name="PRINT" localSheetId="1">#REF!</definedName>
    <definedName name="PRINT">#REF!</definedName>
    <definedName name="_xlnm.Print_Area" localSheetId="1">#REF!</definedName>
    <definedName name="_xlnm.Print_Area">#REF!</definedName>
    <definedName name="PRINT_AREA_MI" localSheetId="1">#REF!</definedName>
    <definedName name="PRINT_AREA_MI">#REF!</definedName>
    <definedName name="PRINT_EVERYONE" localSheetId="1">#REF!</definedName>
    <definedName name="PRINT_EVERYONE">#REF!</definedName>
    <definedName name="PRINT_RALF" localSheetId="1">#REF!</definedName>
    <definedName name="PRINT_RALF">#REF!</definedName>
    <definedName name="_xlnm.Print_Titles" localSheetId="1">#REF!</definedName>
    <definedName name="_xlnm.Print_Titles">#REF!</definedName>
    <definedName name="PRINT_TITLES_MI" localSheetId="1">#REF!</definedName>
    <definedName name="PRINT_TITLES_MI">#REF!</definedName>
    <definedName name="ProcessCost" localSheetId="1">#REF!</definedName>
    <definedName name="ProcessCost">#REF!</definedName>
    <definedName name="Profit" localSheetId="1">#REF!</definedName>
    <definedName name="Profit">#REF!</definedName>
    <definedName name="Project_number">[13]SQL!#REF!</definedName>
    <definedName name="PROJECT_NUMBER_" localSheetId="1">#REF!</definedName>
    <definedName name="PROJECT_NUMBER_">#REF!</definedName>
    <definedName name="Q" localSheetId="1">#REF!</definedName>
    <definedName name="Q">#REF!</definedName>
    <definedName name="qw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qw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rate" localSheetId="1">#REF!</definedName>
    <definedName name="rate">#REF!</definedName>
    <definedName name="REFI">'[10]Senior Mortgage'!$AT$5:$AV$304</definedName>
    <definedName name="Revenue" localSheetId="1">#REF!</definedName>
    <definedName name="Revenue">#REF!</definedName>
    <definedName name="Rollover2" localSheetId="1">#REF!</definedName>
    <definedName name="Rollover2">#REF!</definedName>
    <definedName name="rrr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rrr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ales" localSheetId="1">#REF!</definedName>
    <definedName name="Sales">#REF!</definedName>
    <definedName name="Sales1" localSheetId="1">#REF!</definedName>
    <definedName name="Sales1">#REF!</definedName>
    <definedName name="Sample1">[14]Template!#REF!</definedName>
    <definedName name="sdsa" localSheetId="1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dsa" hidden="1">{"ASS",#N/A,FALSE,"Assumptions";"OUT1",#N/A,FALSE,"1";"out2",#N/A,FALSE,"2";"out3",#N/A,FALSE,"3";"out4",#N/A,FALSE,"4";"out5",#N/A,FALSE,"5";"out6",#N/A,FALSE,"6";"out7",#N/A,FALSE,"7";"out8",#N/A,FALSE,"8";"out9",#N/A,FALSE,"9";"out10",#N/A,FALSE,"10";"out11",#N/A,FALSE,"11";"out12",#N/A,FALSE,"12";"out13",#N/A,FALSE,"13";"out14",#N/A,FALSE,"14";"out15",#N/A,FALSE,"15";"out16",#N/A,FALSE,"16";"out17",#N/A,FALSE,"17";"out18",#N/A,FALSE,"18";"out19",#N/A,FALSE,"19";"out20",#N/A,FALSE,"20";"out21",#N/A,FALSE,"21";"out23",#N/A,FALSE,"23";"out24",#N/A,FALSE,"24";"out25",#N/A,FALSE,"25";"out26",#N/A,FALSE,"26";"out27",#N/A,FALSE,"27";"out28",#N/A,FALSE,"28";"out29",#N/A,FALSE,"29";"out30",#N/A,FALSE,"30";"out31",#N/A,FALSE,"31";"out32",#N/A,FALSE,"32";"out33",#N/A,FALSE,"33";"out34",#N/A,FALSE,"34";"out35",#N/A,FALSE,"35";"out36",#N/A,FALSE,"36";"out37",#N/A,FALSE,"37";"out38",#N/A,FALSE,"38";"out39",#N/A,FALSE,"39";"out40",#N/A,FALSE,"40";"out41",#N/A,FALSE,"41";"out42",#N/A,FALSE,"42";"out43",#N/A,FALSE,"43";"out44",#N/A,FALSE,"44";"out45",#N/A,FALSE,"45";"out46",#N/A,FALSE,"46";"out47",#N/A,FALSE,"47";"out48",#N/A,FALSE,"48";"out49",#N/A,FALSE,"49";"out50",#N/A,FALSE,"50";"out51",#N/A,FALSE,"51";"out52",#N/A,FALSE,"52";"out53",#N/A,FALSE,"53";"out54",#N/A,FALSE,"54";"out55",#N/A,FALSE,"55";"out56",#N/A,FALSE,"56";"out57",#N/A,FALSE,"57";"out58",#N/A,FALSE,"58"}</definedName>
    <definedName name="Selling_costs_as_a_percent_of_revenue">'[4]Coho 2 (Osprey 3B)'!#REF!</definedName>
    <definedName name="T" localSheetId="1">#REF!</definedName>
    <definedName name="T">#REF!</definedName>
    <definedName name="T2_" localSheetId="1">#REF!</definedName>
    <definedName name="T2_">#REF!</definedName>
    <definedName name="Table2">'[10]Senior Mortgage'!$AE$5:$AK$304</definedName>
    <definedName name="Table3">'[10]Senior Mortgage'!$AE$5:$AK$304</definedName>
    <definedName name="TAX" localSheetId="1">#REF!</definedName>
    <definedName name="TAX">#REF!</definedName>
    <definedName name="term" localSheetId="1">#REF!</definedName>
    <definedName name="term">#REF!</definedName>
    <definedName name="test" hidden="1">[6]MADRONA!$A$2:$A$55</definedName>
    <definedName name="The_Bonavista_UnitDetails_List" localSheetId="1">#REF!</definedName>
    <definedName name="The_Bonavista_UnitDetails_List">#REF!</definedName>
    <definedName name="Tonnes" localSheetId="1">#REF!</definedName>
    <definedName name="Tonnes">#REF!</definedName>
    <definedName name="Total_cost">'[4]Coho 2 (Osprey 3B)'!#REF!</definedName>
    <definedName name="Total_No._Units">[15]Construction!$C$29</definedName>
    <definedName name="Total_sales_revenue_net_selling_costs" localSheetId="1">'[4]Coho 2 (Osprey 3B)'!#REF!</definedName>
    <definedName name="Total_sales_revenue_net_selling_costs">'[4]Coho 2 (Osprey 3B)'!#REF!</definedName>
    <definedName name="Total_units" localSheetId="1">'[4]Coho 2 (Osprey 3B)'!#REF!</definedName>
    <definedName name="Total_units">'[4]Coho 2 (Osprey 3B)'!#REF!</definedName>
    <definedName name="total_warranty_per_unit_cost">'[4]Coho 2 (Osprey 3B)'!#REF!</definedName>
    <definedName name="TotalCost" localSheetId="1">#REF!</definedName>
    <definedName name="TotalCost">#REF!</definedName>
    <definedName name="ttrrt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ttrrt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Units">'[4]Coho 2 (Osprey 3B)'!#REF!</definedName>
    <definedName name="Update" localSheetId="1" hidden="1">#REF!</definedName>
    <definedName name="Update" hidden="1">#REF!</definedName>
    <definedName name="uu">[6]MADRONA!$J$31</definedName>
    <definedName name="valuevx">42.314159</definedName>
    <definedName name="wrn.Final." localSheetId="1" hidden="1">{"print",#N/A,TRUE,"jec1";"print",#N/A,TRUE,"jec2";"print",#N/A,TRUE,"jec3";"print",#N/A,TRUE,"jec4";"print",#N/A,TRUE,"jec5";"print",#N/A,TRUE,"jec6";"print",#N/A,TRUE,"jec7";"print",#N/A,TRUE,"jec8";"print",#N/A,TRUE,"jec9";"print",#N/A,TRUE,"jec10";"print",#N/A,TRUE,"jec11";"print",#N/A,TRUE,"jec12";"print",#N/A,TRUE,"jec13";"print",#N/A,TRUE,"jec14";"print",#N/A,TRUE,"jec15";"print",#N/A,TRUE,"jec16";"print",#N/A,TRUE,"jec17";"print",#N/A,TRUE,"jec18"}</definedName>
    <definedName name="wrn.Final." hidden="1">{"print",#N/A,TRUE,"jec1";"print",#N/A,TRUE,"jec2";"print",#N/A,TRUE,"jec3";"print",#N/A,TRUE,"jec4";"print",#N/A,TRUE,"jec5";"print",#N/A,TRUE,"jec6";"print",#N/A,TRUE,"jec7";"print",#N/A,TRUE,"jec8";"print",#N/A,TRUE,"jec9";"print",#N/A,TRUE,"jec10";"print",#N/A,TRUE,"jec11";"print",#N/A,TRUE,"jec12";"print",#N/A,TRUE,"jec13";"print",#N/A,TRUE,"jec14";"print",#N/A,TRUE,"jec15";"print",#N/A,TRUE,"jec16";"print",#N/A,TRUE,"jec17";"print",#N/A,TRUE,"jec18"}</definedName>
    <definedName name="wrn.FinalMort.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rn.FinalMort.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rn.The._.Rock." localSheetId="1" hidden="1">{"1",#N/A,TRUE,"1";"2",#N/A,TRUE,"2";"3",#N/A,TRUE,"3";"4",#N/A,TRUE,"4";"5",#N/A,TRUE,"5";"6",#N/A,TRUE,"6";"7",#N/A,TRUE,"7";"8",#N/A,TRUE,"8";"9",#N/A,TRUE,"9";"10",#N/A,TRUE,"10";"11",#N/A,TRUE,"11";"12",#N/A,TRUE,"12";"13",#N/A,TRUE,"13";"14",#N/A,TRUE,"14";"15",#N/A,TRUE,"15";"16",#N/A,TRUE,"16";"17",#N/A,TRUE,"17";"18",#N/A,TRUE,"18";"19",#N/A,TRUE,"19";"20",#N/A,TRUE,"20";"21",#N/A,TRUE,"21";"22",#N/A,TRUE,"22";"23",#N/A,TRUE,"23";"24",#N/A,TRUE,"24";"25",#N/A,TRUE,"25";"26",#N/A,TRUE,"26";"27",#N/A,TRUE,"27";"28",#N/A,TRUE,"28";"29",#N/A,TRUE,"29";"30",#N/A,TRUE,"30";"31",#N/A,TRUE,"31";"32",#N/A,TRUE,"32";"33",#N/A,TRUE,"33";"34",#N/A,TRUE,"34";"35",#N/A,TRUE,"35";"36",#N/A,TRUE,"36";"37",#N/A,TRUE,"37";"38",#N/A,TRUE,"38";"39",#N/A,TRUE,"39";"40",#N/A,TRUE,"40";"41",#N/A,TRUE,"41";"42",#N/A,TRUE,"42";"43",#N/A,TRUE,"43";"44",#N/A,TRUE,"44";"45",#N/A,TRUE,"45";"46",#N/A,TRUE,"46";"47",#N/A,TRUE,"47";"48",#N/A,TRUE,"48";"49",#N/A,TRUE,"49";"50",#N/A,TRUE,"50";"51",#N/A,TRUE,"51"}</definedName>
    <definedName name="wrn.The._.Rock." hidden="1">{"1",#N/A,TRUE,"1";"2",#N/A,TRUE,"2";"3",#N/A,TRUE,"3";"4",#N/A,TRUE,"4";"5",#N/A,TRUE,"5";"6",#N/A,TRUE,"6";"7",#N/A,TRUE,"7";"8",#N/A,TRUE,"8";"9",#N/A,TRUE,"9";"10",#N/A,TRUE,"10";"11",#N/A,TRUE,"11";"12",#N/A,TRUE,"12";"13",#N/A,TRUE,"13";"14",#N/A,TRUE,"14";"15",#N/A,TRUE,"15";"16",#N/A,TRUE,"16";"17",#N/A,TRUE,"17";"18",#N/A,TRUE,"18";"19",#N/A,TRUE,"19";"20",#N/A,TRUE,"20";"21",#N/A,TRUE,"21";"22",#N/A,TRUE,"22";"23",#N/A,TRUE,"23";"24",#N/A,TRUE,"24";"25",#N/A,TRUE,"25";"26",#N/A,TRUE,"26";"27",#N/A,TRUE,"27";"28",#N/A,TRUE,"28";"29",#N/A,TRUE,"29";"30",#N/A,TRUE,"30";"31",#N/A,TRUE,"31";"32",#N/A,TRUE,"32";"33",#N/A,TRUE,"33";"34",#N/A,TRUE,"34";"35",#N/A,TRUE,"35";"36",#N/A,TRUE,"36";"37",#N/A,TRUE,"37";"38",#N/A,TRUE,"38";"39",#N/A,TRUE,"39";"40",#N/A,TRUE,"40";"41",#N/A,TRUE,"41";"42",#N/A,TRUE,"42";"43",#N/A,TRUE,"43";"44",#N/A,TRUE,"44";"45",#N/A,TRUE,"45";"46",#N/A,TRUE,"46";"47",#N/A,TRUE,"47";"48",#N/A,TRUE,"48";"49",#N/A,TRUE,"49";"50",#N/A,TRUE,"50";"51",#N/A,TRUE,"51"}</definedName>
    <definedName name="wrn.Total." localSheetId="1" hidden="1">{"Industrial",#N/A,FALSE,"Thumb";"Office",#N/A,FALSE,"Thumb";"Retail",#N/A,FALSE,"Thumb"}</definedName>
    <definedName name="wrn.Total." hidden="1">{"Industrial",#N/A,FALSE,"Thumb";"Office",#N/A,FALSE,"Thumb";"Retail",#N/A,FALSE,"Thumb"}</definedName>
    <definedName name="ww" localSheetId="1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  <definedName name="ww" hidden="1">{"ASS",#N/A,TRUE,"Assumptions";"OUT1",#N/A,TRUE,"1";"out2",#N/A,TRUE,"2";"out3",#N/A,TRUE,"3";"out4",#N/A,TRUE,"4";"out5",#N/A,TRUE,"5";"out6",#N/A,TRUE,"6";"out7",#N/A,TRUE,"7";"out8",#N/A,TRUE,"8";"out9",#N/A,TRUE,"9";"out10",#N/A,TRUE,"10";"out11",#N/A,TRUE,"11";"out12",#N/A,TRUE,"12";"out13",#N/A,TRUE,"13";"out14",#N/A,TRUE,"14";"out15",#N/A,TRUE,"15";"out16",#N/A,TRUE,"16";"out17",#N/A,TRUE,"17";"out18",#N/A,TRUE,"18";"out19",#N/A,TRUE,"19";"out20",#N/A,TRUE,"20";"out21",#N/A,TRUE,"21";"OUT22",#N/A,TRUE,"22";"out23",#N/A,TRUE,"23";"out24",#N/A,TRUE,"24";"out25",#N/A,TRUE,"25";"out26",#N/A,TRUE,"26";"out27",#N/A,TRUE,"27";"out28",#N/A,TRUE,"28";"out29",#N/A,TRUE,"29";"out30",#N/A,TRUE,"30";"out31",#N/A,TRUE,"31";"out32",#N/A,TRUE,"32";"out33",#N/A,TRUE,"33";"out34",#N/A,TRUE,"34";"out35",#N/A,TRUE,"35";"out36",#N/A,TRUE,"36";"out37",#N/A,TRUE,"37";"out38",#N/A,TRUE,"38";"out39",#N/A,TRUE,"39";"out40",#N/A,TRUE,"40";"out41",#N/A,TRUE,"41";"out42",#N/A,TRUE,"42";"out43",#N/A,TRUE,"43";"out44",#N/A,TRUE,"44";"out45",#N/A,TRUE,"45";"out46",#N/A,TRUE,"46";"out47",#N/A,TRUE,"47";"out48",#N/A,TRUE,"48";"out49",#N/A,TRUE,"49";"out50",#N/A,TRUE,"50";"out51",#N/A,TRUE,"51";"out52",#N/A,TRUE,"52";"out53",#N/A,TRUE,"53";"out54",#N/A,TRUE,"54";"out55",#N/A,TRUE,"55";"out56",#N/A,TRUE,"56";"out57",#N/A,TRUE,"57";"out58",#N/A,TRUE,"58"}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5" l="1"/>
  <c r="E30" i="5"/>
  <c r="H30" i="5"/>
  <c r="D5" i="14"/>
  <c r="J71" i="5"/>
  <c r="Q74" i="5" s="1"/>
  <c r="U74" i="5" s="1"/>
  <c r="U73" i="5"/>
  <c r="U63" i="5"/>
  <c r="U62" i="5"/>
  <c r="P63" i="5" l="1"/>
  <c r="P62" i="5"/>
  <c r="G83" i="5" l="1"/>
  <c r="J83" i="5" s="1"/>
  <c r="G80" i="5"/>
  <c r="J80" i="5" s="1"/>
  <c r="P5" i="5" l="1"/>
  <c r="N19" i="5"/>
  <c r="P19" i="5"/>
  <c r="P17" i="5"/>
  <c r="N7" i="5"/>
  <c r="P7" i="5"/>
  <c r="O18" i="5"/>
  <c r="O17" i="5"/>
  <c r="N18" i="5"/>
  <c r="N17" i="5"/>
  <c r="O6" i="5"/>
  <c r="O5" i="5"/>
  <c r="N6" i="5"/>
  <c r="N5" i="5"/>
  <c r="S24" i="5"/>
  <c r="T18" i="5" s="1"/>
  <c r="S12" i="5"/>
  <c r="T8" i="5" s="1"/>
  <c r="T7" i="5" l="1"/>
  <c r="T6" i="5"/>
  <c r="T17" i="5"/>
  <c r="T5" i="5"/>
  <c r="T20" i="5"/>
  <c r="T22" i="5"/>
  <c r="T21" i="5"/>
  <c r="T9" i="5"/>
  <c r="T19" i="5"/>
  <c r="T24" i="5" l="1"/>
  <c r="T12" i="5"/>
  <c r="C63" i="5"/>
  <c r="C62" i="5"/>
  <c r="B95" i="5"/>
  <c r="P74" i="5"/>
  <c r="P73" i="5"/>
  <c r="S73" i="5" s="1"/>
  <c r="F116" i="5"/>
  <c r="T73" i="5" l="1"/>
  <c r="F115" i="5"/>
  <c r="F117" i="5"/>
  <c r="F118" i="5" l="1"/>
  <c r="F114" i="5"/>
  <c r="T62" i="5" l="1"/>
  <c r="S62" i="5"/>
  <c r="J49" i="5"/>
  <c r="G49" i="5"/>
  <c r="G63" i="5"/>
  <c r="G60" i="5"/>
  <c r="G66" i="5" s="1"/>
  <c r="E58" i="5"/>
  <c r="E56" i="5"/>
  <c r="G52" i="5"/>
  <c r="H58" i="5"/>
  <c r="H56" i="5"/>
  <c r="J52" i="5"/>
  <c r="J60" i="5"/>
  <c r="J66" i="5" s="1"/>
  <c r="H62" i="5" s="1"/>
  <c r="J63" i="5"/>
  <c r="T63" i="5" s="1"/>
  <c r="J88" i="5"/>
  <c r="G88" i="5"/>
  <c r="P64" i="5" l="1"/>
  <c r="R64" i="5"/>
  <c r="U64" i="5" s="1"/>
  <c r="S63" i="5"/>
  <c r="S64" i="5" s="1"/>
  <c r="T64" i="5"/>
  <c r="G44" i="5"/>
  <c r="H66" i="5"/>
  <c r="E63" i="5"/>
  <c r="H63" i="5"/>
  <c r="E62" i="5"/>
  <c r="E64" i="5"/>
  <c r="J44" i="5"/>
  <c r="E66" i="5"/>
  <c r="G65" i="5"/>
  <c r="H64" i="5"/>
  <c r="J65" i="5"/>
  <c r="H65" i="5" s="1"/>
  <c r="G95" i="5"/>
  <c r="J95" i="5" s="1"/>
  <c r="T65" i="5" l="1"/>
  <c r="T66" i="5" s="1"/>
  <c r="U66" i="5" s="1"/>
  <c r="Q64" i="5"/>
  <c r="E65" i="5"/>
  <c r="B82" i="5" l="1"/>
  <c r="B90" i="5" s="1"/>
  <c r="B107" i="5" s="1"/>
  <c r="B79" i="5"/>
  <c r="B88" i="5" s="1"/>
  <c r="B105" i="5" s="1"/>
  <c r="G39" i="5"/>
  <c r="B43" i="14"/>
  <c r="C6" i="5" s="1"/>
  <c r="P6" i="5" l="1"/>
  <c r="S74" i="5"/>
  <c r="P75" i="5"/>
  <c r="G90" i="5"/>
  <c r="Q75" i="5"/>
  <c r="B41" i="14"/>
  <c r="B52" i="14" s="1"/>
  <c r="D18" i="5" s="1"/>
  <c r="I50" i="14"/>
  <c r="I49" i="14"/>
  <c r="I48" i="14"/>
  <c r="I47" i="14"/>
  <c r="I46" i="14"/>
  <c r="H1" i="14"/>
  <c r="F50" i="14"/>
  <c r="E50" i="14"/>
  <c r="B50" i="14"/>
  <c r="D16" i="5" s="1"/>
  <c r="A50" i="14"/>
  <c r="B16" i="5" s="1"/>
  <c r="F49" i="14"/>
  <c r="E49" i="14"/>
  <c r="B49" i="14"/>
  <c r="D15" i="5" s="1"/>
  <c r="A49" i="14"/>
  <c r="B15" i="5" s="1"/>
  <c r="F48" i="14"/>
  <c r="E48" i="14"/>
  <c r="B48" i="14"/>
  <c r="D14" i="5" s="1"/>
  <c r="A48" i="14"/>
  <c r="B14" i="5" s="1"/>
  <c r="F47" i="14"/>
  <c r="E47" i="14"/>
  <c r="B47" i="14"/>
  <c r="D13" i="5" s="1"/>
  <c r="A47" i="14"/>
  <c r="B13" i="5" s="1"/>
  <c r="F46" i="14"/>
  <c r="E46" i="14"/>
  <c r="B46" i="14"/>
  <c r="D12" i="5" s="1"/>
  <c r="A46" i="14"/>
  <c r="B12" i="5" s="1"/>
  <c r="B40" i="14"/>
  <c r="B53" i="14" s="1"/>
  <c r="G28" i="14"/>
  <c r="D28" i="14"/>
  <c r="H27" i="14"/>
  <c r="G27" i="14"/>
  <c r="D27" i="14"/>
  <c r="G26" i="14"/>
  <c r="D26" i="14"/>
  <c r="G25" i="14"/>
  <c r="D25" i="14"/>
  <c r="G24" i="14"/>
  <c r="D24" i="14"/>
  <c r="G23" i="14"/>
  <c r="D23" i="14"/>
  <c r="G22" i="14"/>
  <c r="D22" i="14"/>
  <c r="G21" i="14"/>
  <c r="D21" i="14"/>
  <c r="G20" i="14"/>
  <c r="D20" i="14"/>
  <c r="G19" i="14"/>
  <c r="D19" i="14"/>
  <c r="G18" i="14"/>
  <c r="D18" i="14"/>
  <c r="G17" i="14"/>
  <c r="D17" i="14"/>
  <c r="G16" i="14"/>
  <c r="D16" i="14"/>
  <c r="G15" i="14"/>
  <c r="D15" i="14"/>
  <c r="G14" i="14"/>
  <c r="D14" i="14"/>
  <c r="L5" i="14" s="1"/>
  <c r="G13" i="14"/>
  <c r="D13" i="14"/>
  <c r="G12" i="14"/>
  <c r="D12" i="14"/>
  <c r="G11" i="14"/>
  <c r="D11" i="14"/>
  <c r="G10" i="14"/>
  <c r="D10" i="14"/>
  <c r="G9" i="14"/>
  <c r="G50" i="14" s="1"/>
  <c r="D9" i="14"/>
  <c r="D50" i="14" s="1"/>
  <c r="G8" i="14"/>
  <c r="G49" i="14" s="1"/>
  <c r="D8" i="14"/>
  <c r="D49" i="14" s="1"/>
  <c r="G7" i="14"/>
  <c r="G48" i="14" s="1"/>
  <c r="D7" i="14"/>
  <c r="D48" i="14" s="1"/>
  <c r="C48" i="14" s="1"/>
  <c r="G6" i="14"/>
  <c r="G47" i="14" s="1"/>
  <c r="D6" i="14"/>
  <c r="D47" i="14" s="1"/>
  <c r="C47" i="14" s="1"/>
  <c r="N5" i="14"/>
  <c r="G5" i="14"/>
  <c r="G46" i="14" s="1"/>
  <c r="D46" i="14"/>
  <c r="C46" i="14" s="1"/>
  <c r="C49" i="14" l="1"/>
  <c r="F15" i="5" s="1"/>
  <c r="G15" i="5" s="1"/>
  <c r="C50" i="14"/>
  <c r="F16" i="5" s="1"/>
  <c r="G16" i="5" s="1"/>
  <c r="U75" i="5"/>
  <c r="J36" i="5"/>
  <c r="J18" i="5"/>
  <c r="G18" i="5"/>
  <c r="D41" i="14"/>
  <c r="D52" i="14" s="1"/>
  <c r="C52" i="14" s="1"/>
  <c r="H26" i="14"/>
  <c r="L1" i="14"/>
  <c r="K6" i="14" s="1"/>
  <c r="N6" i="14" s="1"/>
  <c r="F12" i="5"/>
  <c r="G12" i="5" s="1"/>
  <c r="I12" i="5"/>
  <c r="J12" i="5" s="1"/>
  <c r="G53" i="14"/>
  <c r="F13" i="5"/>
  <c r="G13" i="5" s="1"/>
  <c r="I13" i="5"/>
  <c r="J13" i="5" s="1"/>
  <c r="J37" i="5"/>
  <c r="B51" i="14"/>
  <c r="D17" i="5" s="1"/>
  <c r="C41" i="14"/>
  <c r="H25" i="14"/>
  <c r="H28" i="14"/>
  <c r="H20" i="14"/>
  <c r="H21" i="14"/>
  <c r="H9" i="14"/>
  <c r="H50" i="14" s="1"/>
  <c r="H13" i="14"/>
  <c r="H12" i="14"/>
  <c r="H17" i="14"/>
  <c r="H8" i="14"/>
  <c r="H49" i="14" s="1"/>
  <c r="H16" i="14"/>
  <c r="H24" i="14"/>
  <c r="H11" i="14"/>
  <c r="H15" i="14"/>
  <c r="H19" i="14"/>
  <c r="H23" i="14"/>
  <c r="H7" i="14"/>
  <c r="H48" i="14" s="1"/>
  <c r="H5" i="14"/>
  <c r="H46" i="14" s="1"/>
  <c r="H6" i="14"/>
  <c r="H47" i="14" s="1"/>
  <c r="H10" i="14"/>
  <c r="H14" i="14"/>
  <c r="H18" i="14"/>
  <c r="H22" i="14"/>
  <c r="B42" i="14"/>
  <c r="C42" i="14" s="1"/>
  <c r="D40" i="14"/>
  <c r="D53" i="14" s="1"/>
  <c r="C53" i="14" s="1"/>
  <c r="I15" i="5" l="1"/>
  <c r="J15" i="5" s="1"/>
  <c r="I16" i="5"/>
  <c r="J16" i="5" s="1"/>
  <c r="L6" i="14"/>
  <c r="K7" i="14"/>
  <c r="N7" i="14" s="1"/>
  <c r="F14" i="5"/>
  <c r="G14" i="5" s="1"/>
  <c r="I14" i="5"/>
  <c r="J14" i="5" s="1"/>
  <c r="D19" i="5"/>
  <c r="D51" i="14"/>
  <c r="C51" i="14" s="1"/>
  <c r="H40" i="14"/>
  <c r="D42" i="14"/>
  <c r="C40" i="14"/>
  <c r="J106" i="5" l="1"/>
  <c r="G108" i="5"/>
  <c r="G106" i="5"/>
  <c r="J108" i="5"/>
  <c r="F44" i="5"/>
  <c r="I73" i="5"/>
  <c r="F73" i="5"/>
  <c r="H53" i="14"/>
  <c r="H51" i="14" s="1"/>
  <c r="J8" i="5"/>
  <c r="F62" i="5"/>
  <c r="F58" i="5"/>
  <c r="F56" i="5"/>
  <c r="F55" i="5"/>
  <c r="F52" i="5"/>
  <c r="F59" i="5"/>
  <c r="F53" i="5"/>
  <c r="F64" i="5"/>
  <c r="F60" i="5"/>
  <c r="F57" i="5"/>
  <c r="F54" i="5"/>
  <c r="F51" i="5"/>
  <c r="F63" i="5"/>
  <c r="F66" i="5"/>
  <c r="F65" i="5"/>
  <c r="I66" i="5"/>
  <c r="I44" i="5"/>
  <c r="I53" i="5"/>
  <c r="I57" i="5"/>
  <c r="I54" i="5"/>
  <c r="I58" i="5"/>
  <c r="I52" i="5"/>
  <c r="I51" i="5"/>
  <c r="I55" i="5"/>
  <c r="I59" i="5"/>
  <c r="I56" i="5"/>
  <c r="I60" i="5"/>
  <c r="I63" i="5"/>
  <c r="I64" i="5"/>
  <c r="I62" i="5"/>
  <c r="I65" i="5"/>
  <c r="L7" i="14"/>
  <c r="K8" i="14"/>
  <c r="N8" i="14" s="1"/>
  <c r="F36" i="5"/>
  <c r="I39" i="5"/>
  <c r="F38" i="5"/>
  <c r="F37" i="5"/>
  <c r="F39" i="5"/>
  <c r="I36" i="5"/>
  <c r="I37" i="5"/>
  <c r="C12" i="5"/>
  <c r="I70" i="5"/>
  <c r="I72" i="5"/>
  <c r="F70" i="5"/>
  <c r="D39" i="5"/>
  <c r="F71" i="5"/>
  <c r="F72" i="5"/>
  <c r="C15" i="5"/>
  <c r="F29" i="5"/>
  <c r="I28" i="5"/>
  <c r="F23" i="5"/>
  <c r="F28" i="5"/>
  <c r="I29" i="5"/>
  <c r="F20" i="5"/>
  <c r="F22" i="5"/>
  <c r="F27" i="5"/>
  <c r="F21" i="5"/>
  <c r="I27" i="5"/>
  <c r="C14" i="5"/>
  <c r="C13" i="5"/>
  <c r="C16" i="5"/>
  <c r="I22" i="5"/>
  <c r="C4" i="5"/>
  <c r="I21" i="5"/>
  <c r="F17" i="5"/>
  <c r="F19" i="5" s="1"/>
  <c r="G19" i="5" s="1"/>
  <c r="I17" i="5"/>
  <c r="I19" i="5" s="1"/>
  <c r="J19" i="5" s="1"/>
  <c r="C19" i="5"/>
  <c r="I23" i="5"/>
  <c r="C17" i="5"/>
  <c r="C18" i="5"/>
  <c r="I20" i="5"/>
  <c r="N64" i="5" l="1"/>
  <c r="C7" i="5"/>
  <c r="J7" i="5"/>
  <c r="G17" i="5"/>
  <c r="J17" i="5"/>
  <c r="N75" i="5"/>
  <c r="L8" i="14"/>
  <c r="K9" i="14"/>
  <c r="N9" i="14" s="1"/>
  <c r="J24" i="5" l="1"/>
  <c r="G24" i="5"/>
  <c r="G107" i="5" s="1"/>
  <c r="L9" i="14"/>
  <c r="K10" i="14"/>
  <c r="N10" i="14" s="1"/>
  <c r="F24" i="5" l="1"/>
  <c r="G25" i="5"/>
  <c r="G105" i="5"/>
  <c r="I24" i="5"/>
  <c r="J25" i="5"/>
  <c r="J26" i="5" s="1"/>
  <c r="L10" i="14"/>
  <c r="K11" i="14"/>
  <c r="I26" i="5" l="1"/>
  <c r="I31" i="5"/>
  <c r="N11" i="14"/>
  <c r="L11" i="14"/>
  <c r="L12" i="14" s="1"/>
  <c r="L15" i="14" s="1"/>
  <c r="M11" i="14" l="1"/>
  <c r="M7" i="14"/>
  <c r="M6" i="14"/>
  <c r="M8" i="14"/>
  <c r="M5" i="14"/>
  <c r="M9" i="14"/>
  <c r="M10" i="14"/>
  <c r="M12" i="14" l="1"/>
  <c r="R73" i="5" l="1"/>
  <c r="N12" i="14" l="1"/>
  <c r="C5" i="5" l="1"/>
  <c r="N15" i="14" l="1"/>
  <c r="O5" i="14"/>
  <c r="O6" i="14"/>
  <c r="O7" i="14"/>
  <c r="O8" i="14"/>
  <c r="O9" i="14"/>
  <c r="O10" i="14"/>
  <c r="O11" i="14"/>
  <c r="G26" i="5"/>
  <c r="O12" i="14" l="1"/>
  <c r="F31" i="5"/>
  <c r="F26" i="5"/>
  <c r="F30" i="5"/>
  <c r="G32" i="5" l="1"/>
  <c r="F32" i="5" s="1"/>
  <c r="G33" i="5" l="1"/>
  <c r="G98" i="5" l="1"/>
  <c r="G99" i="5" s="1"/>
  <c r="G100" i="5" s="1"/>
  <c r="G102" i="5" s="1"/>
  <c r="G47" i="5"/>
  <c r="G89" i="5"/>
  <c r="F91" i="5"/>
  <c r="F89" i="5"/>
  <c r="G91" i="5"/>
  <c r="G96" i="5"/>
  <c r="F96" i="5"/>
  <c r="F33" i="5"/>
  <c r="G84" i="5"/>
  <c r="G81" i="5"/>
  <c r="G35" i="5"/>
  <c r="F35" i="5" s="1"/>
  <c r="G101" i="5" l="1"/>
  <c r="G40" i="5"/>
  <c r="F40" i="5" l="1"/>
  <c r="G43" i="5"/>
  <c r="G75" i="5"/>
  <c r="F43" i="5" l="1"/>
  <c r="G45" i="5"/>
  <c r="G82" i="5"/>
  <c r="G79" i="5"/>
  <c r="G74" i="5"/>
  <c r="F75" i="5"/>
  <c r="F74" i="5" l="1"/>
  <c r="P8" i="5"/>
  <c r="G46" i="5"/>
  <c r="F45" i="5"/>
  <c r="P12" i="5" l="1"/>
  <c r="Q7" i="5" s="1"/>
  <c r="T74" i="5" l="1"/>
  <c r="T75" i="5" s="1"/>
  <c r="P18" i="5"/>
  <c r="Q5" i="5"/>
  <c r="Q6" i="5"/>
  <c r="Q8" i="5"/>
  <c r="J90" i="5"/>
  <c r="I71" i="5"/>
  <c r="S75" i="5"/>
  <c r="R75" i="5"/>
  <c r="T76" i="5" l="1"/>
  <c r="Q12" i="5"/>
  <c r="S76" i="5"/>
  <c r="M69" i="5" s="1"/>
  <c r="I30" i="5"/>
  <c r="J32" i="5"/>
  <c r="I32" i="5" s="1"/>
  <c r="J33" i="5"/>
  <c r="I96" i="5" s="1"/>
  <c r="J35" i="5"/>
  <c r="J38" i="5"/>
  <c r="H116" i="5" s="1"/>
  <c r="J47" i="5"/>
  <c r="J105" i="5"/>
  <c r="J107" i="5"/>
  <c r="H114" i="5" l="1"/>
  <c r="I114" i="5" s="1"/>
  <c r="J40" i="5"/>
  <c r="I40" i="5" s="1"/>
  <c r="I33" i="5"/>
  <c r="J91" i="5"/>
  <c r="I91" i="5"/>
  <c r="J89" i="5"/>
  <c r="I89" i="5"/>
  <c r="J84" i="5"/>
  <c r="I116" i="5"/>
  <c r="J116" i="5"/>
  <c r="J43" i="5"/>
  <c r="H117" i="5"/>
  <c r="I35" i="5"/>
  <c r="I38" i="5"/>
  <c r="J81" i="5"/>
  <c r="H115" i="5"/>
  <c r="J98" i="5"/>
  <c r="J99" i="5" s="1"/>
  <c r="J100" i="5" s="1"/>
  <c r="H118" i="5"/>
  <c r="J114" i="5"/>
  <c r="J96" i="5"/>
  <c r="J75" i="5" l="1"/>
  <c r="I115" i="5"/>
  <c r="J115" i="5"/>
  <c r="J117" i="5"/>
  <c r="I117" i="5"/>
  <c r="I43" i="5"/>
  <c r="J45" i="5"/>
  <c r="I75" i="5"/>
  <c r="J79" i="5"/>
  <c r="J82" i="5"/>
  <c r="J74" i="5"/>
  <c r="I118" i="5"/>
  <c r="J118" i="5"/>
  <c r="J102" i="5"/>
  <c r="J101" i="5"/>
  <c r="I45" i="5" l="1"/>
  <c r="J46" i="5"/>
  <c r="P20" i="5"/>
  <c r="I74" i="5"/>
  <c r="P24" i="5" l="1"/>
  <c r="Q19" i="5" l="1"/>
  <c r="Q17" i="5"/>
  <c r="Q18" i="5"/>
  <c r="Q20" i="5"/>
  <c r="Q2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Jake Smith</author>
  </authors>
  <commentList>
    <comment ref="J37" authorId="0" shapeId="0" xr:uid="{FC78EBF3-8589-403D-8A9F-596F75C55BC8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Rate x Revenue x Years on Lease (5 or 10)</t>
        </r>
      </text>
    </comment>
    <comment ref="J38" authorId="0" shapeId="0" xr:uid="{31FFAEA4-FC6D-4E2F-AA8F-3A90B428DE35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Take a % of this if gradual lease up. 100% if no leasing will occur during allowance 
period</t>
        </r>
      </text>
    </comment>
    <comment ref="J39" authorId="0" shapeId="0" xr:uid="{24A0D14E-549F-4137-B06B-E429F5F79FF2}">
      <text>
        <r>
          <rPr>
            <b/>
            <sz val="9"/>
            <color indexed="81"/>
            <rFont val="Tahoma"/>
            <family val="2"/>
          </rPr>
          <t>Jake Smith:</t>
        </r>
        <r>
          <rPr>
            <sz val="9"/>
            <color indexed="81"/>
            <rFont val="Tahoma"/>
            <family val="2"/>
          </rPr>
          <t xml:space="preserve">
Those costs a buyer would consider as value impairments</t>
        </r>
      </text>
    </comment>
  </commentList>
</comments>
</file>

<file path=xl/sharedStrings.xml><?xml version="1.0" encoding="utf-8"?>
<sst xmlns="http://schemas.openxmlformats.org/spreadsheetml/2006/main" count="264" uniqueCount="168">
  <si>
    <t>Total</t>
  </si>
  <si>
    <t>MLP</t>
  </si>
  <si>
    <t>SMF</t>
  </si>
  <si>
    <t>Spread</t>
  </si>
  <si>
    <t>Fee</t>
  </si>
  <si>
    <t>Rate</t>
  </si>
  <si>
    <t>%</t>
  </si>
  <si>
    <t>Term</t>
  </si>
  <si>
    <t>First Mortgage</t>
  </si>
  <si>
    <t>Equity</t>
  </si>
  <si>
    <t>Fee $</t>
  </si>
  <si>
    <t>LTV</t>
  </si>
  <si>
    <t>Property Value</t>
  </si>
  <si>
    <t>Prime Rate</t>
  </si>
  <si>
    <t>Project Statistics</t>
  </si>
  <si>
    <t>Site Area (acres)</t>
  </si>
  <si>
    <t>Stabilized Market Value</t>
  </si>
  <si>
    <t>PSF</t>
  </si>
  <si>
    <t>(-) Property Taxes</t>
  </si>
  <si>
    <t>(-) Utilities</t>
  </si>
  <si>
    <t>(-) Management Fee</t>
  </si>
  <si>
    <t>(-) Structural Reserve</t>
  </si>
  <si>
    <t>Capital Structure</t>
  </si>
  <si>
    <t>Total KingSett Exposure</t>
  </si>
  <si>
    <t>Appraisal Surplus</t>
  </si>
  <si>
    <t>Hard Costs</t>
  </si>
  <si>
    <t>Soft Costs</t>
  </si>
  <si>
    <t>DCs and Levies</t>
  </si>
  <si>
    <t>Financing Costs</t>
  </si>
  <si>
    <t>Project Metrics</t>
  </si>
  <si>
    <t>Net Operating Income</t>
  </si>
  <si>
    <t>Break Even Analysis (@ Loan Loss)</t>
  </si>
  <si>
    <t>Vacancy Rate</t>
  </si>
  <si>
    <t>Second Mortgage</t>
  </si>
  <si>
    <t>Interest $</t>
  </si>
  <si>
    <t>Total Budget</t>
  </si>
  <si>
    <t>Tenant</t>
  </si>
  <si>
    <t>1 x 5</t>
  </si>
  <si>
    <t>2 x 5</t>
  </si>
  <si>
    <t>N/A</t>
  </si>
  <si>
    <t>Area</t>
  </si>
  <si>
    <t>Rent</t>
  </si>
  <si>
    <t>Renewal Option</t>
  </si>
  <si>
    <t>WALT:</t>
  </si>
  <si>
    <t>Vacant</t>
  </si>
  <si>
    <t>Occupied</t>
  </si>
  <si>
    <t>As at</t>
  </si>
  <si>
    <t>Lease
 Start</t>
  </si>
  <si>
    <t>Lease 
End</t>
  </si>
  <si>
    <t>Rem. 
Term</t>
  </si>
  <si>
    <t>Other CRU</t>
  </si>
  <si>
    <t>Royal Bank</t>
  </si>
  <si>
    <t>Dollarama</t>
  </si>
  <si>
    <t>Reitmans</t>
  </si>
  <si>
    <t>Crown &amp; Tower Pub</t>
  </si>
  <si>
    <t>Orange Theory Fitness</t>
  </si>
  <si>
    <t>Famoso Restaurant</t>
  </si>
  <si>
    <t>Jesus is Lord</t>
  </si>
  <si>
    <t>Grandin Bakery</t>
  </si>
  <si>
    <t>Sung Lee Taekwondo</t>
  </si>
  <si>
    <t>Bright Smile Dental</t>
  </si>
  <si>
    <t>Toast Breakfast</t>
  </si>
  <si>
    <t>Starbucks</t>
  </si>
  <si>
    <t>Bellerose Liquor</t>
  </si>
  <si>
    <t>Urban Massage &amp; Wellness Inc.</t>
  </si>
  <si>
    <t>Vo's Nails</t>
  </si>
  <si>
    <t>Mr. Sub</t>
  </si>
  <si>
    <t>Liberty Tax</t>
  </si>
  <si>
    <t>Page the Cleaners</t>
  </si>
  <si>
    <t>UPS Store</t>
  </si>
  <si>
    <t>Deor Hair</t>
  </si>
  <si>
    <t>Cheap Smokes &amp; Cigars</t>
  </si>
  <si>
    <t>Other Tenants - Leased</t>
  </si>
  <si>
    <t>Tenant Summary</t>
  </si>
  <si>
    <t>Varies</t>
  </si>
  <si>
    <t>-</t>
  </si>
  <si>
    <t>Term Remaining</t>
  </si>
  <si>
    <t>Rental Revenue Summary:</t>
  </si>
  <si>
    <t>Less: Vacancy Allowance</t>
  </si>
  <si>
    <t>Effective Gross Rent</t>
  </si>
  <si>
    <t>(+) Other Misc. Rent</t>
  </si>
  <si>
    <t>(+) Recoverable Rent - Property Tax</t>
  </si>
  <si>
    <t>(+) Recoverable Rent - Utilities</t>
  </si>
  <si>
    <t>(+) Recoverable Rent - All Other</t>
  </si>
  <si>
    <t>(-) Other Recoverable Expenses</t>
  </si>
  <si>
    <t>Total Base Rent</t>
  </si>
  <si>
    <t>Gross Rent</t>
  </si>
  <si>
    <t>Coverage Ratio</t>
  </si>
  <si>
    <t>Parking</t>
  </si>
  <si>
    <t>Stories</t>
  </si>
  <si>
    <t>Buildings</t>
  </si>
  <si>
    <t>Units</t>
  </si>
  <si>
    <t>Avg. Unit Size (SF)</t>
  </si>
  <si>
    <t>Net Leasable Area (SF)</t>
  </si>
  <si>
    <t>Total Operating Expenses</t>
  </si>
  <si>
    <t>Cap Rate:</t>
  </si>
  <si>
    <t>Valuation Summary</t>
  </si>
  <si>
    <t>Less: Tenant Inducements</t>
  </si>
  <si>
    <t>Less: LC's</t>
  </si>
  <si>
    <t>Less: NOI Loss</t>
  </si>
  <si>
    <t>Less: Required Cap Ex</t>
  </si>
  <si>
    <t>Value Conclusion</t>
  </si>
  <si>
    <t>PSF:</t>
  </si>
  <si>
    <t>Years:</t>
  </si>
  <si>
    <t>NOI/Debt</t>
  </si>
  <si>
    <t>Stabilized</t>
  </si>
  <si>
    <t>In-Place</t>
  </si>
  <si>
    <t>Debt Service Coverage Analysis</t>
  </si>
  <si>
    <t>Debt Service Analysis (Take-Out Financing)</t>
  </si>
  <si>
    <t>DSCR &amp; Free Cashflow</t>
  </si>
  <si>
    <t>DSCR &amp; Free Cashflow:</t>
  </si>
  <si>
    <t>Rent PSF</t>
  </si>
  <si>
    <t xml:space="preserve">Debt Service </t>
  </si>
  <si>
    <t>Take-Out Loan Terms:</t>
  </si>
  <si>
    <t>Check Zero</t>
  </si>
  <si>
    <t>Rent Roll Summary</t>
  </si>
  <si>
    <t>Rollover Summary</t>
  </si>
  <si>
    <t>Year</t>
  </si>
  <si>
    <t>Base Revenue</t>
  </si>
  <si>
    <t>Sources and Uses of Funds</t>
  </si>
  <si>
    <t>Uses of Funds</t>
  </si>
  <si>
    <t>Land Cost</t>
  </si>
  <si>
    <t>Land Value</t>
  </si>
  <si>
    <t>Sources of Funds</t>
  </si>
  <si>
    <t>Contingency (% of HC)</t>
  </si>
  <si>
    <t>Development Management Fee (% of Budget)</t>
  </si>
  <si>
    <t>Total Sources</t>
  </si>
  <si>
    <t>Less: Budget</t>
  </si>
  <si>
    <t>Profit</t>
  </si>
  <si>
    <t>Profit - % of Cost</t>
  </si>
  <si>
    <t>Development Yield - %</t>
  </si>
  <si>
    <t>Utilization</t>
  </si>
  <si>
    <t>Total Financing Costs:</t>
  </si>
  <si>
    <t>Check Surplus:</t>
  </si>
  <si>
    <t>Stalls/1000SF</t>
  </si>
  <si>
    <t>WALT</t>
  </si>
  <si>
    <t>Cap Rate</t>
  </si>
  <si>
    <t>Value (net)</t>
  </si>
  <si>
    <t>SMF LTV</t>
  </si>
  <si>
    <t>MLP LTV</t>
  </si>
  <si>
    <t>Cap Rate Sensitivty</t>
  </si>
  <si>
    <t>Project Address</t>
  </si>
  <si>
    <t>1234 Project St</t>
  </si>
  <si>
    <t>Estimated Financing Costs</t>
  </si>
  <si>
    <t>Year Built</t>
  </si>
  <si>
    <t>Sources &amp; Uses</t>
  </si>
  <si>
    <t>Sources</t>
  </si>
  <si>
    <t>Uses</t>
  </si>
  <si>
    <t>As-Is / Acquisition:</t>
  </si>
  <si>
    <t>[Payout Existing Debt]</t>
  </si>
  <si>
    <t>[Purchase Price]</t>
  </si>
  <si>
    <t>[Closing Costs]</t>
  </si>
  <si>
    <r>
      <t xml:space="preserve">[Cash or Implied] </t>
    </r>
    <r>
      <rPr>
        <sz val="10.5"/>
        <rFont val="Calibri"/>
        <family val="2"/>
        <scheme val="minor"/>
      </rPr>
      <t>Equity</t>
    </r>
  </si>
  <si>
    <t>[Equity Takeout]</t>
  </si>
  <si>
    <t>[Fill in]</t>
  </si>
  <si>
    <t>Stabilized:</t>
  </si>
  <si>
    <t>[Renovation Costs]</t>
  </si>
  <si>
    <t>Sub Debt</t>
  </si>
  <si>
    <t>LTPP</t>
  </si>
  <si>
    <t>Purchase Price</t>
  </si>
  <si>
    <t>(or N/A)</t>
  </si>
  <si>
    <t>Take-Out Loan Based on 1.20x DSCR:</t>
  </si>
  <si>
    <t>Stub Loan:</t>
  </si>
  <si>
    <t>Debt Service (I/O):</t>
  </si>
  <si>
    <t>Cash Surplus/(Shortfall) from Operations:</t>
  </si>
  <si>
    <t>Stub Loan Debt Service Coverage:</t>
  </si>
  <si>
    <t>Annualized fee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</si>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</sst>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-&quot;$&quot;* #,##0_-;\-&quot;$&quot;* #,##0_-;_-&quot;$&quot;* &quot;-&quot;??_-;_-@_-"/>
    <numFmt numFmtId="168" formatCode="_(&quot;$&quot;* #,##0_);_(&quot;$&quot;* \(#,##0\);_(&quot;$&quot;* &quot;-&quot;??_);_(@_)"/>
    <numFmt numFmtId="169" formatCode="_(* #,##0_);_(* \(#,##0\);_(* &quot;-&quot;??_);_(@_)"/>
    <numFmt numFmtId="170" formatCode="_-* #,##0_-;\-* #,##0_-;_-* &quot;-&quot;??_-;_-@_-"/>
    <numFmt numFmtId="171" formatCode="_-* #,##0.0_-;\-* #,##0.0_-;_-* &quot;-&quot;??_-;_-@_-"/>
    <numFmt numFmtId="172" formatCode="_(* #,##0.00_);_(* \(#,##0.00\);_(* &quot;-&quot;_);_(@_)"/>
    <numFmt numFmtId="173" formatCode="0\ &quot;stalls&quot;"/>
    <numFmt numFmtId="174" formatCode="&quot;$&quot;#,##0&quot;/mo&quot;"/>
    <numFmt numFmtId="175" formatCode="&quot;$&quot;#,##0"/>
    <numFmt numFmtId="176" formatCode="0\ &quot;yr am&quot;"/>
    <numFmt numFmtId="177" formatCode="[$-409]d\-mmm\-yy;@"/>
    <numFmt numFmtId="178" formatCode="_(* #,##0.0_);_(* \(#,##0.0\);_(* &quot;-&quot;??_);_(@_)"/>
    <numFmt numFmtId="179" formatCode="#.00&quot; x&quot;"/>
    <numFmt numFmtId="180" formatCode="&quot;&gt; &quot;#"/>
    <numFmt numFmtId="181" formatCode="_(* #,##0.0_);_(* \(#,##0.0\);_(* &quot;-&quot;_);_(@_)"/>
    <numFmt numFmtId="182" formatCode="_(* ###0_);_(* \(#,##0\);_(* &quot;-&quot;_);_(@_)"/>
    <numFmt numFmtId="183" formatCode="0.00_)"/>
    <numFmt numFmtId="184" formatCode="_([$$-409]* #,##0.00_);_([$$-409]* \(#,##0.00\);_([$$-409]* &quot;-&quot;??_);_(@_)"/>
  </numFmts>
  <fonts count="25">
    <font>
      <sz val="10"/>
      <name val="Courie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.5"/>
      <color theme="0"/>
      <name val="Calibri"/>
      <family val="2"/>
      <scheme val="minor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u/>
      <sz val="10.5"/>
      <name val="Calibri"/>
      <family val="2"/>
      <scheme val="minor"/>
    </font>
    <font>
      <sz val="10.5"/>
      <color rgb="FF0000FF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sz val="10.5"/>
      <color rgb="FFFF0000"/>
      <name val="Calibri"/>
      <family val="2"/>
      <scheme val="minor"/>
    </font>
    <font>
      <u/>
      <sz val="10.5"/>
      <color theme="1"/>
      <name val="Calibri"/>
      <family val="2"/>
      <scheme val="minor"/>
    </font>
    <font>
      <sz val="10.5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.5"/>
      <color rgb="FF7030A0"/>
      <name val="Calibri"/>
      <family val="2"/>
      <scheme val="minor"/>
    </font>
    <font>
      <b/>
      <u/>
      <sz val="10.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519B"/>
        <bgColor indexed="64"/>
      </patternFill>
    </fill>
    <fill>
      <patternFill patternType="solid">
        <fgColor rgb="FFF5FAFD"/>
        <bgColor indexed="64"/>
      </patternFill>
    </fill>
    <fill>
      <patternFill patternType="solid">
        <fgColor rgb="FFE6E6E6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43">
    <xf numFmtId="1" fontId="0" fillId="0" borderId="0" applyFill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8" fillId="0" borderId="0" applyBorder="0"/>
    <xf numFmtId="0" fontId="7" fillId="0" borderId="0"/>
    <xf numFmtId="0" fontId="8" fillId="0" borderId="0"/>
    <xf numFmtId="43" fontId="8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8" fillId="0" borderId="0" applyBorder="0"/>
    <xf numFmtId="9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6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" fillId="0" borderId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93">
    <xf numFmtId="1" fontId="0" fillId="0" borderId="0" xfId="0"/>
    <xf numFmtId="0" fontId="11" fillId="0" borderId="0" xfId="13" applyFont="1"/>
    <xf numFmtId="43" fontId="12" fillId="0" borderId="0" xfId="6" applyFont="1" applyFill="1" applyBorder="1"/>
    <xf numFmtId="0" fontId="12" fillId="0" borderId="0" xfId="12" applyFont="1"/>
    <xf numFmtId="41" fontId="12" fillId="0" borderId="0" xfId="14" applyNumberFormat="1" applyFont="1" applyFill="1" applyBorder="1"/>
    <xf numFmtId="9" fontId="12" fillId="0" borderId="0" xfId="15" applyFont="1" applyFill="1" applyBorder="1"/>
    <xf numFmtId="41" fontId="12" fillId="0" borderId="0" xfId="12" applyNumberFormat="1" applyFont="1" applyAlignment="1">
      <alignment horizontal="right"/>
    </xf>
    <xf numFmtId="43" fontId="12" fillId="0" borderId="0" xfId="6" applyFont="1" applyFill="1" applyBorder="1" applyAlignment="1">
      <alignment vertical="center"/>
    </xf>
    <xf numFmtId="42" fontId="12" fillId="0" borderId="0" xfId="14" applyNumberFormat="1" applyFont="1" applyFill="1" applyBorder="1"/>
    <xf numFmtId="43" fontId="13" fillId="0" borderId="0" xfId="6" applyFont="1" applyFill="1" applyBorder="1"/>
    <xf numFmtId="42" fontId="13" fillId="0" borderId="0" xfId="14" applyNumberFormat="1" applyFont="1" applyFill="1" applyBorder="1"/>
    <xf numFmtId="5" fontId="12" fillId="0" borderId="0" xfId="12" applyNumberFormat="1" applyFont="1" applyAlignment="1">
      <alignment horizontal="right"/>
    </xf>
    <xf numFmtId="42" fontId="13" fillId="0" borderId="1" xfId="14" applyNumberFormat="1" applyFont="1" applyFill="1" applyBorder="1" applyAlignment="1">
      <alignment vertical="center"/>
    </xf>
    <xf numFmtId="169" fontId="12" fillId="0" borderId="0" xfId="6" applyNumberFormat="1" applyFont="1" applyFill="1" applyBorder="1"/>
    <xf numFmtId="41" fontId="12" fillId="0" borderId="0" xfId="14" applyNumberFormat="1" applyFont="1" applyFill="1" applyBorder="1" applyAlignment="1">
      <alignment vertical="center"/>
    </xf>
    <xf numFmtId="169" fontId="13" fillId="0" borderId="2" xfId="6" applyNumberFormat="1" applyFont="1" applyFill="1" applyBorder="1"/>
    <xf numFmtId="169" fontId="13" fillId="0" borderId="1" xfId="6" applyNumberFormat="1" applyFont="1" applyFill="1" applyBorder="1" applyAlignment="1">
      <alignment horizontal="right"/>
    </xf>
    <xf numFmtId="169" fontId="12" fillId="0" borderId="4" xfId="6" applyNumberFormat="1" applyFont="1" applyFill="1" applyBorder="1"/>
    <xf numFmtId="43" fontId="13" fillId="3" borderId="2" xfId="6" applyFont="1" applyFill="1" applyBorder="1" applyAlignment="1">
      <alignment vertical="center"/>
    </xf>
    <xf numFmtId="43" fontId="13" fillId="3" borderId="1" xfId="6" applyFont="1" applyFill="1" applyBorder="1"/>
    <xf numFmtId="42" fontId="13" fillId="3" borderId="1" xfId="12" applyNumberFormat="1" applyFont="1" applyFill="1" applyBorder="1" applyAlignment="1">
      <alignment vertical="center"/>
    </xf>
    <xf numFmtId="9" fontId="12" fillId="0" borderId="0" xfId="16" applyFont="1" applyFill="1" applyBorder="1" applyAlignment="1">
      <alignment horizontal="center" vertical="center"/>
    </xf>
    <xf numFmtId="166" fontId="12" fillId="0" borderId="0" xfId="12" applyNumberFormat="1" applyFont="1" applyAlignment="1">
      <alignment horizontal="right"/>
    </xf>
    <xf numFmtId="42" fontId="16" fillId="0" borderId="0" xfId="14" applyNumberFormat="1" applyFont="1" applyFill="1" applyBorder="1"/>
    <xf numFmtId="174" fontId="16" fillId="0" borderId="0" xfId="6" applyNumberFormat="1" applyFont="1" applyFill="1" applyBorder="1" applyAlignment="1">
      <alignment horizontal="center"/>
    </xf>
    <xf numFmtId="166" fontId="16" fillId="0" borderId="0" xfId="12" applyNumberFormat="1" applyFont="1"/>
    <xf numFmtId="173" fontId="16" fillId="0" borderId="0" xfId="6" applyNumberFormat="1" applyFont="1" applyFill="1" applyBorder="1" applyAlignment="1">
      <alignment horizontal="center"/>
    </xf>
    <xf numFmtId="172" fontId="16" fillId="0" borderId="0" xfId="14" applyNumberFormat="1" applyFont="1" applyFill="1" applyBorder="1" applyAlignment="1">
      <alignment horizontal="right"/>
    </xf>
    <xf numFmtId="10" fontId="17" fillId="0" borderId="1" xfId="12" applyNumberFormat="1" applyFont="1" applyBorder="1"/>
    <xf numFmtId="9" fontId="16" fillId="0" borderId="0" xfId="13" applyNumberFormat="1" applyFont="1" applyAlignment="1">
      <alignment horizontal="center"/>
    </xf>
    <xf numFmtId="42" fontId="16" fillId="2" borderId="0" xfId="14" applyNumberFormat="1" applyFont="1" applyFill="1" applyBorder="1"/>
    <xf numFmtId="41" fontId="16" fillId="2" borderId="0" xfId="14" applyNumberFormat="1" applyFont="1" applyFill="1" applyBorder="1"/>
    <xf numFmtId="166" fontId="16" fillId="0" borderId="0" xfId="3" applyFont="1" applyBorder="1" applyAlignment="1">
      <alignment horizontal="center"/>
    </xf>
    <xf numFmtId="176" fontId="16" fillId="0" borderId="0" xfId="12" applyNumberFormat="1" applyFont="1" applyAlignment="1">
      <alignment horizontal="center"/>
    </xf>
    <xf numFmtId="41" fontId="12" fillId="2" borderId="0" xfId="14" applyNumberFormat="1" applyFont="1" applyFill="1" applyBorder="1"/>
    <xf numFmtId="43" fontId="13" fillId="2" borderId="0" xfId="6" applyFont="1" applyFill="1" applyBorder="1"/>
    <xf numFmtId="170" fontId="16" fillId="2" borderId="0" xfId="17" applyNumberFormat="1" applyFont="1" applyFill="1" applyBorder="1"/>
    <xf numFmtId="43" fontId="16" fillId="2" borderId="0" xfId="6" applyFont="1" applyFill="1" applyBorder="1"/>
    <xf numFmtId="41" fontId="16" fillId="2" borderId="4" xfId="14" applyNumberFormat="1" applyFont="1" applyFill="1" applyBorder="1"/>
    <xf numFmtId="42" fontId="11" fillId="0" borderId="0" xfId="13" applyNumberFormat="1" applyFont="1"/>
    <xf numFmtId="41" fontId="11" fillId="0" borderId="0" xfId="13" applyNumberFormat="1" applyFont="1"/>
    <xf numFmtId="0" fontId="18" fillId="0" borderId="0" xfId="13" applyFont="1"/>
    <xf numFmtId="0" fontId="12" fillId="0" borderId="0" xfId="13" applyFont="1" applyAlignment="1">
      <alignment horizontal="center"/>
    </xf>
    <xf numFmtId="168" fontId="11" fillId="0" borderId="4" xfId="13" applyNumberFormat="1" applyFont="1" applyBorder="1" applyAlignment="1">
      <alignment horizontal="center"/>
    </xf>
    <xf numFmtId="175" fontId="12" fillId="2" borderId="0" xfId="14" applyNumberFormat="1" applyFont="1" applyFill="1" applyBorder="1" applyAlignment="1">
      <alignment horizontal="center"/>
    </xf>
    <xf numFmtId="3" fontId="12" fillId="2" borderId="0" xfId="14" applyNumberFormat="1" applyFont="1" applyFill="1" applyBorder="1" applyAlignment="1">
      <alignment horizontal="center"/>
    </xf>
    <xf numFmtId="0" fontId="19" fillId="0" borderId="8" xfId="13" applyFont="1" applyBorder="1" applyAlignment="1">
      <alignment horizontal="center"/>
    </xf>
    <xf numFmtId="0" fontId="15" fillId="0" borderId="7" xfId="13" applyFont="1" applyBorder="1" applyAlignment="1">
      <alignment horizontal="center"/>
    </xf>
    <xf numFmtId="0" fontId="19" fillId="0" borderId="7" xfId="13" applyFont="1" applyBorder="1" applyAlignment="1">
      <alignment horizontal="center"/>
    </xf>
    <xf numFmtId="168" fontId="11" fillId="0" borderId="0" xfId="13" applyNumberFormat="1" applyFont="1" applyAlignment="1">
      <alignment horizontal="center"/>
    </xf>
    <xf numFmtId="168" fontId="11" fillId="0" borderId="12" xfId="13" applyNumberFormat="1" applyFont="1" applyBorder="1"/>
    <xf numFmtId="168" fontId="11" fillId="0" borderId="4" xfId="13" applyNumberFormat="1" applyFont="1" applyBorder="1"/>
    <xf numFmtId="168" fontId="11" fillId="0" borderId="13" xfId="13" applyNumberFormat="1" applyFont="1" applyBorder="1"/>
    <xf numFmtId="168" fontId="12" fillId="2" borderId="0" xfId="14" applyNumberFormat="1" applyFont="1" applyFill="1" applyBorder="1"/>
    <xf numFmtId="166" fontId="12" fillId="2" borderId="0" xfId="12" applyNumberFormat="1" applyFont="1" applyFill="1" applyAlignment="1">
      <alignment horizontal="right"/>
    </xf>
    <xf numFmtId="168" fontId="14" fillId="0" borderId="10" xfId="13" applyNumberFormat="1" applyFont="1" applyBorder="1"/>
    <xf numFmtId="0" fontId="14" fillId="0" borderId="0" xfId="20" applyFont="1"/>
    <xf numFmtId="0" fontId="11" fillId="0" borderId="0" xfId="20" applyFont="1"/>
    <xf numFmtId="14" fontId="14" fillId="0" borderId="0" xfId="20" applyNumberFormat="1" applyFont="1"/>
    <xf numFmtId="0" fontId="11" fillId="0" borderId="0" xfId="20" applyFont="1" applyAlignment="1">
      <alignment horizontal="center"/>
    </xf>
    <xf numFmtId="0" fontId="11" fillId="0" borderId="4" xfId="20" applyFont="1" applyBorder="1" applyAlignment="1">
      <alignment horizontal="center"/>
    </xf>
    <xf numFmtId="167" fontId="11" fillId="0" borderId="0" xfId="20" applyNumberFormat="1" applyFont="1"/>
    <xf numFmtId="9" fontId="11" fillId="0" borderId="0" xfId="20" applyNumberFormat="1" applyFont="1" applyAlignment="1">
      <alignment horizontal="center"/>
    </xf>
    <xf numFmtId="167" fontId="12" fillId="0" borderId="0" xfId="22" applyNumberFormat="1" applyFont="1" applyBorder="1" applyAlignment="1">
      <alignment horizontal="right"/>
    </xf>
    <xf numFmtId="0" fontId="14" fillId="0" borderId="11" xfId="20" applyFont="1" applyBorder="1" applyAlignment="1">
      <alignment horizontal="left" indent="3"/>
    </xf>
    <xf numFmtId="170" fontId="14" fillId="0" borderId="11" xfId="21" applyNumberFormat="1" applyFont="1" applyBorder="1" applyAlignment="1">
      <alignment horizontal="right"/>
    </xf>
    <xf numFmtId="164" fontId="14" fillId="0" borderId="11" xfId="22" applyFont="1" applyBorder="1" applyAlignment="1">
      <alignment horizontal="right"/>
    </xf>
    <xf numFmtId="167" fontId="14" fillId="0" borderId="11" xfId="22" applyNumberFormat="1" applyFont="1" applyBorder="1" applyAlignment="1">
      <alignment horizontal="right"/>
    </xf>
    <xf numFmtId="0" fontId="14" fillId="0" borderId="11" xfId="20" applyFont="1" applyBorder="1" applyAlignment="1">
      <alignment horizontal="right"/>
    </xf>
    <xf numFmtId="165" fontId="14" fillId="0" borderId="11" xfId="21" applyFont="1" applyBorder="1" applyAlignment="1">
      <alignment horizontal="right"/>
    </xf>
    <xf numFmtId="0" fontId="14" fillId="0" borderId="0" xfId="20" applyFont="1" applyAlignment="1">
      <alignment horizontal="left" indent="3"/>
    </xf>
    <xf numFmtId="170" fontId="14" fillId="0" borderId="0" xfId="21" applyNumberFormat="1" applyFont="1" applyBorder="1" applyAlignment="1">
      <alignment horizontal="right"/>
    </xf>
    <xf numFmtId="166" fontId="14" fillId="0" borderId="0" xfId="22" applyNumberFormat="1" applyFont="1" applyBorder="1" applyAlignment="1">
      <alignment horizontal="right"/>
    </xf>
    <xf numFmtId="0" fontId="14" fillId="0" borderId="0" xfId="20" applyFont="1" applyAlignment="1">
      <alignment horizontal="right"/>
    </xf>
    <xf numFmtId="167" fontId="14" fillId="0" borderId="0" xfId="22" applyNumberFormat="1" applyFont="1" applyBorder="1" applyAlignment="1">
      <alignment horizontal="right"/>
    </xf>
    <xf numFmtId="0" fontId="14" fillId="0" borderId="4" xfId="20" applyFont="1" applyBorder="1"/>
    <xf numFmtId="0" fontId="11" fillId="0" borderId="4" xfId="20" applyFont="1" applyBorder="1"/>
    <xf numFmtId="170" fontId="12" fillId="0" borderId="0" xfId="21" applyNumberFormat="1" applyFont="1" applyAlignment="1">
      <alignment horizontal="center"/>
    </xf>
    <xf numFmtId="164" fontId="12" fillId="0" borderId="0" xfId="22" applyFont="1"/>
    <xf numFmtId="167" fontId="12" fillId="0" borderId="0" xfId="22" applyNumberFormat="1" applyFont="1"/>
    <xf numFmtId="0" fontId="12" fillId="0" borderId="0" xfId="19" applyFont="1" applyAlignment="1">
      <alignment horizontal="left"/>
    </xf>
    <xf numFmtId="170" fontId="20" fillId="0" borderId="0" xfId="21" applyNumberFormat="1" applyFont="1" applyFill="1" applyBorder="1" applyAlignment="1" applyProtection="1">
      <alignment horizontal="right"/>
    </xf>
    <xf numFmtId="164" fontId="20" fillId="0" borderId="0" xfId="22" applyFont="1" applyFill="1" applyBorder="1" applyAlignment="1" applyProtection="1">
      <alignment horizontal="right"/>
    </xf>
    <xf numFmtId="177" fontId="12" fillId="0" borderId="0" xfId="20" applyNumberFormat="1" applyFont="1" applyAlignment="1">
      <alignment horizontal="right"/>
    </xf>
    <xf numFmtId="171" fontId="12" fillId="0" borderId="0" xfId="21" applyNumberFormat="1" applyFont="1" applyAlignment="1">
      <alignment horizontal="right"/>
    </xf>
    <xf numFmtId="170" fontId="12" fillId="0" borderId="0" xfId="21" applyNumberFormat="1" applyFont="1" applyFill="1" applyBorder="1" applyAlignment="1" applyProtection="1">
      <alignment horizontal="right"/>
    </xf>
    <xf numFmtId="177" fontId="12" fillId="4" borderId="0" xfId="20" applyNumberFormat="1" applyFont="1" applyFill="1" applyAlignment="1">
      <alignment horizontal="right"/>
    </xf>
    <xf numFmtId="0" fontId="20" fillId="0" borderId="0" xfId="19" applyFont="1" applyAlignment="1">
      <alignment horizontal="left"/>
    </xf>
    <xf numFmtId="167" fontId="12" fillId="0" borderId="4" xfId="22" applyNumberFormat="1" applyFont="1" applyBorder="1"/>
    <xf numFmtId="164" fontId="12" fillId="0" borderId="0" xfId="22" applyFont="1" applyFill="1" applyBorder="1" applyAlignment="1" applyProtection="1">
      <alignment horizontal="right"/>
    </xf>
    <xf numFmtId="170" fontId="12" fillId="0" borderId="0" xfId="21" applyNumberFormat="1" applyFont="1" applyBorder="1" applyAlignment="1">
      <alignment horizontal="center"/>
    </xf>
    <xf numFmtId="164" fontId="12" fillId="0" borderId="0" xfId="22" applyFont="1" applyBorder="1"/>
    <xf numFmtId="167" fontId="12" fillId="0" borderId="0" xfId="22" applyNumberFormat="1" applyFont="1" applyBorder="1"/>
    <xf numFmtId="170" fontId="12" fillId="0" borderId="4" xfId="21" applyNumberFormat="1" applyFont="1" applyBorder="1" applyAlignment="1">
      <alignment horizontal="center"/>
    </xf>
    <xf numFmtId="164" fontId="12" fillId="0" borderId="4" xfId="22" applyFont="1" applyBorder="1"/>
    <xf numFmtId="171" fontId="12" fillId="0" borderId="0" xfId="21" applyNumberFormat="1" applyFont="1" applyBorder="1" applyAlignment="1">
      <alignment horizontal="right"/>
    </xf>
    <xf numFmtId="171" fontId="12" fillId="0" borderId="4" xfId="21" applyNumberFormat="1" applyFont="1" applyBorder="1" applyAlignment="1">
      <alignment horizontal="right"/>
    </xf>
    <xf numFmtId="171" fontId="12" fillId="0" borderId="0" xfId="21" applyNumberFormat="1" applyFont="1" applyAlignment="1">
      <alignment horizontal="center"/>
    </xf>
    <xf numFmtId="177" fontId="12" fillId="2" borderId="0" xfId="20" applyNumberFormat="1" applyFont="1" applyFill="1" applyAlignment="1">
      <alignment horizontal="right"/>
    </xf>
    <xf numFmtId="170" fontId="12" fillId="0" borderId="0" xfId="21" applyNumberFormat="1" applyFont="1" applyFill="1" applyBorder="1" applyAlignment="1">
      <alignment horizontal="right"/>
    </xf>
    <xf numFmtId="164" fontId="12" fillId="0" borderId="0" xfId="22" applyFont="1" applyFill="1" applyBorder="1" applyAlignment="1">
      <alignment horizontal="right"/>
    </xf>
    <xf numFmtId="0" fontId="12" fillId="0" borderId="4" xfId="19" applyFont="1" applyBorder="1" applyAlignment="1">
      <alignment horizontal="left"/>
    </xf>
    <xf numFmtId="170" fontId="12" fillId="0" borderId="4" xfId="21" applyNumberFormat="1" applyFont="1" applyFill="1" applyBorder="1" applyAlignment="1" applyProtection="1">
      <alignment horizontal="right"/>
    </xf>
    <xf numFmtId="164" fontId="20" fillId="0" borderId="4" xfId="22" applyFont="1" applyFill="1" applyBorder="1" applyAlignment="1" applyProtection="1">
      <alignment horizontal="right"/>
    </xf>
    <xf numFmtId="167" fontId="12" fillId="0" borderId="4" xfId="22" applyNumberFormat="1" applyFont="1" applyBorder="1" applyAlignment="1">
      <alignment horizontal="right"/>
    </xf>
    <xf numFmtId="177" fontId="12" fillId="0" borderId="4" xfId="20" applyNumberFormat="1" applyFont="1" applyBorder="1" applyAlignment="1">
      <alignment horizontal="right"/>
    </xf>
    <xf numFmtId="43" fontId="12" fillId="0" borderId="0" xfId="6" applyFont="1" applyFill="1" applyBorder="1" applyAlignment="1">
      <alignment horizontal="left" indent="1"/>
    </xf>
    <xf numFmtId="14" fontId="14" fillId="0" borderId="0" xfId="20" applyNumberFormat="1" applyFont="1" applyAlignment="1">
      <alignment horizontal="center"/>
    </xf>
    <xf numFmtId="165" fontId="14" fillId="0" borderId="11" xfId="21" applyFont="1" applyBorder="1" applyAlignment="1">
      <alignment horizontal="center"/>
    </xf>
    <xf numFmtId="0" fontId="14" fillId="0" borderId="0" xfId="20" applyFont="1" applyAlignment="1">
      <alignment horizontal="center"/>
    </xf>
    <xf numFmtId="171" fontId="12" fillId="0" borderId="0" xfId="21" applyNumberFormat="1" applyFont="1" applyBorder="1" applyAlignment="1">
      <alignment horizontal="center"/>
    </xf>
    <xf numFmtId="178" fontId="12" fillId="0" borderId="0" xfId="21" applyNumberFormat="1" applyFont="1" applyBorder="1" applyAlignment="1">
      <alignment horizontal="right"/>
    </xf>
    <xf numFmtId="165" fontId="11" fillId="0" borderId="0" xfId="1" applyFont="1"/>
    <xf numFmtId="165" fontId="16" fillId="0" borderId="4" xfId="1" applyFont="1" applyFill="1" applyBorder="1" applyAlignment="1">
      <alignment horizontal="center"/>
    </xf>
    <xf numFmtId="165" fontId="13" fillId="0" borderId="0" xfId="1" applyFont="1" applyFill="1" applyBorder="1" applyAlignment="1">
      <alignment horizontal="center"/>
    </xf>
    <xf numFmtId="9" fontId="12" fillId="0" borderId="0" xfId="6" applyNumberFormat="1" applyFont="1" applyFill="1" applyBorder="1" applyAlignment="1">
      <alignment horizontal="center"/>
    </xf>
    <xf numFmtId="9" fontId="12" fillId="0" borderId="4" xfId="6" applyNumberFormat="1" applyFont="1" applyFill="1" applyBorder="1" applyAlignment="1">
      <alignment horizontal="center"/>
    </xf>
    <xf numFmtId="9" fontId="13" fillId="0" borderId="0" xfId="6" applyNumberFormat="1" applyFont="1" applyFill="1" applyBorder="1" applyAlignment="1">
      <alignment horizontal="center"/>
    </xf>
    <xf numFmtId="169" fontId="14" fillId="0" borderId="0" xfId="13" applyNumberFormat="1" applyFont="1"/>
    <xf numFmtId="169" fontId="12" fillId="0" borderId="0" xfId="12" applyNumberFormat="1" applyFont="1"/>
    <xf numFmtId="169" fontId="12" fillId="0" borderId="4" xfId="12" applyNumberFormat="1" applyFont="1" applyBorder="1"/>
    <xf numFmtId="41" fontId="16" fillId="0" borderId="0" xfId="14" applyNumberFormat="1" applyFont="1" applyFill="1" applyBorder="1" applyAlignment="1">
      <alignment horizontal="right"/>
    </xf>
    <xf numFmtId="43" fontId="11" fillId="0" borderId="0" xfId="13" applyNumberFormat="1" applyFont="1"/>
    <xf numFmtId="165" fontId="12" fillId="0" borderId="4" xfId="1" applyFont="1" applyFill="1" applyBorder="1" applyAlignment="1">
      <alignment horizontal="center"/>
    </xf>
    <xf numFmtId="165" fontId="13" fillId="0" borderId="1" xfId="1" applyFont="1" applyFill="1" applyBorder="1" applyAlignment="1">
      <alignment horizontal="center"/>
    </xf>
    <xf numFmtId="165" fontId="12" fillId="0" borderId="0" xfId="1" applyFont="1" applyFill="1" applyBorder="1" applyAlignment="1">
      <alignment horizontal="center"/>
    </xf>
    <xf numFmtId="165" fontId="12" fillId="0" borderId="1" xfId="1" applyFont="1" applyFill="1" applyBorder="1" applyAlignment="1">
      <alignment horizontal="center"/>
    </xf>
    <xf numFmtId="42" fontId="12" fillId="0" borderId="1" xfId="14" applyNumberFormat="1" applyFont="1" applyFill="1" applyBorder="1" applyAlignment="1">
      <alignment vertical="center"/>
    </xf>
    <xf numFmtId="169" fontId="13" fillId="0" borderId="0" xfId="6" applyNumberFormat="1" applyFont="1" applyFill="1" applyBorder="1"/>
    <xf numFmtId="169" fontId="13" fillId="0" borderId="0" xfId="6" applyNumberFormat="1" applyFont="1" applyFill="1" applyBorder="1" applyAlignment="1">
      <alignment horizontal="right"/>
    </xf>
    <xf numFmtId="10" fontId="17" fillId="0" borderId="0" xfId="12" applyNumberFormat="1" applyFont="1"/>
    <xf numFmtId="42" fontId="13" fillId="0" borderId="0" xfId="14" applyNumberFormat="1" applyFont="1" applyFill="1" applyBorder="1" applyAlignment="1">
      <alignment vertical="center"/>
    </xf>
    <xf numFmtId="41" fontId="12" fillId="2" borderId="4" xfId="14" applyNumberFormat="1" applyFont="1" applyFill="1" applyBorder="1"/>
    <xf numFmtId="42" fontId="12" fillId="2" borderId="0" xfId="14" applyNumberFormat="1" applyFont="1" applyFill="1" applyBorder="1"/>
    <xf numFmtId="166" fontId="11" fillId="0" borderId="0" xfId="13" applyNumberFormat="1" applyFont="1"/>
    <xf numFmtId="43" fontId="11" fillId="0" borderId="0" xfId="13" applyNumberFormat="1" applyFont="1" applyAlignment="1">
      <alignment horizontal="left" indent="1"/>
    </xf>
    <xf numFmtId="10" fontId="12" fillId="0" borderId="0" xfId="6" applyNumberFormat="1" applyFont="1" applyFill="1" applyBorder="1"/>
    <xf numFmtId="170" fontId="13" fillId="0" borderId="1" xfId="1" applyNumberFormat="1" applyFont="1" applyFill="1" applyBorder="1" applyAlignment="1">
      <alignment horizontal="center"/>
    </xf>
    <xf numFmtId="0" fontId="12" fillId="0" borderId="0" xfId="13" applyFont="1" applyAlignment="1">
      <alignment horizontal="left"/>
    </xf>
    <xf numFmtId="42" fontId="12" fillId="0" borderId="0" xfId="14" applyNumberFormat="1" applyFont="1" applyFill="1" applyBorder="1" applyAlignment="1">
      <alignment vertical="center"/>
    </xf>
    <xf numFmtId="170" fontId="11" fillId="0" borderId="0" xfId="1" applyNumberFormat="1" applyFont="1" applyAlignment="1">
      <alignment horizontal="left"/>
    </xf>
    <xf numFmtId="2" fontId="11" fillId="0" borderId="0" xfId="13" applyNumberFormat="1" applyFont="1"/>
    <xf numFmtId="0" fontId="11" fillId="0" borderId="0" xfId="13" applyFont="1" applyAlignment="1">
      <alignment horizontal="right"/>
    </xf>
    <xf numFmtId="0" fontId="11" fillId="0" borderId="0" xfId="13" applyFont="1" applyAlignment="1">
      <alignment horizontal="left"/>
    </xf>
    <xf numFmtId="43" fontId="11" fillId="0" borderId="0" xfId="13" applyNumberFormat="1" applyFont="1" applyAlignment="1">
      <alignment horizontal="left"/>
    </xf>
    <xf numFmtId="167" fontId="11" fillId="0" borderId="4" xfId="2" applyNumberFormat="1" applyFont="1" applyBorder="1"/>
    <xf numFmtId="179" fontId="11" fillId="0" borderId="0" xfId="13" applyNumberFormat="1" applyFont="1" applyAlignment="1">
      <alignment horizontal="center"/>
    </xf>
    <xf numFmtId="167" fontId="11" fillId="0" borderId="4" xfId="13" applyNumberFormat="1" applyFont="1" applyBorder="1"/>
    <xf numFmtId="0" fontId="19" fillId="0" borderId="0" xfId="13" applyFont="1" applyAlignment="1">
      <alignment horizontal="center"/>
    </xf>
    <xf numFmtId="170" fontId="11" fillId="0" borderId="4" xfId="1" applyNumberFormat="1" applyFont="1" applyBorder="1"/>
    <xf numFmtId="170" fontId="12" fillId="0" borderId="0" xfId="1" applyNumberFormat="1" applyFont="1" applyFill="1" applyBorder="1"/>
    <xf numFmtId="170" fontId="11" fillId="0" borderId="0" xfId="1" applyNumberFormat="1" applyFont="1"/>
    <xf numFmtId="169" fontId="13" fillId="0" borderId="1" xfId="6" applyNumberFormat="1" applyFont="1" applyFill="1" applyBorder="1" applyAlignment="1">
      <alignment horizontal="left"/>
    </xf>
    <xf numFmtId="0" fontId="15" fillId="0" borderId="0" xfId="13" applyFont="1" applyAlignment="1">
      <alignment horizontal="left"/>
    </xf>
    <xf numFmtId="180" fontId="11" fillId="0" borderId="4" xfId="20" applyNumberFormat="1" applyFont="1" applyBorder="1" applyAlignment="1">
      <alignment horizontal="center"/>
    </xf>
    <xf numFmtId="167" fontId="11" fillId="0" borderId="2" xfId="20" applyNumberFormat="1" applyFont="1" applyBorder="1"/>
    <xf numFmtId="0" fontId="11" fillId="0" borderId="1" xfId="20" applyFont="1" applyBorder="1" applyAlignment="1">
      <alignment horizontal="center"/>
    </xf>
    <xf numFmtId="170" fontId="11" fillId="0" borderId="1" xfId="20" applyNumberFormat="1" applyFont="1" applyBorder="1"/>
    <xf numFmtId="0" fontId="11" fillId="0" borderId="13" xfId="20" applyFont="1" applyBorder="1"/>
    <xf numFmtId="43" fontId="13" fillId="0" borderId="2" xfId="6" applyFont="1" applyFill="1" applyBorder="1"/>
    <xf numFmtId="43" fontId="13" fillId="0" borderId="1" xfId="6" applyFont="1" applyFill="1" applyBorder="1" applyAlignment="1">
      <alignment horizontal="right"/>
    </xf>
    <xf numFmtId="43" fontId="13" fillId="0" borderId="1" xfId="6" quotePrefix="1" applyFont="1" applyFill="1" applyBorder="1" applyAlignment="1">
      <alignment horizontal="center"/>
    </xf>
    <xf numFmtId="43" fontId="13" fillId="0" borderId="13" xfId="6" quotePrefix="1" applyFont="1" applyFill="1" applyBorder="1" applyAlignment="1">
      <alignment horizontal="center"/>
    </xf>
    <xf numFmtId="43" fontId="13" fillId="0" borderId="2" xfId="6" quotePrefix="1" applyFont="1" applyFill="1" applyBorder="1" applyAlignment="1">
      <alignment horizontal="center"/>
    </xf>
    <xf numFmtId="43" fontId="13" fillId="0" borderId="1" xfId="6" quotePrefix="1" applyFont="1" applyFill="1" applyBorder="1" applyAlignment="1">
      <alignment horizontal="right"/>
    </xf>
    <xf numFmtId="43" fontId="13" fillId="0" borderId="13" xfId="6" quotePrefix="1" applyFont="1" applyFill="1" applyBorder="1" applyAlignment="1">
      <alignment horizontal="right"/>
    </xf>
    <xf numFmtId="167" fontId="12" fillId="0" borderId="0" xfId="22" applyNumberFormat="1" applyFont="1" applyFill="1" applyAlignment="1">
      <alignment horizontal="right"/>
    </xf>
    <xf numFmtId="9" fontId="12" fillId="0" borderId="0" xfId="22" applyNumberFormat="1" applyFont="1" applyFill="1" applyAlignment="1">
      <alignment horizontal="right"/>
    </xf>
    <xf numFmtId="170" fontId="12" fillId="0" borderId="0" xfId="1" applyNumberFormat="1" applyFont="1" applyFill="1" applyAlignment="1">
      <alignment horizontal="right"/>
    </xf>
    <xf numFmtId="9" fontId="12" fillId="0" borderId="0" xfId="22" applyNumberFormat="1" applyFont="1" applyAlignment="1">
      <alignment horizontal="right"/>
    </xf>
    <xf numFmtId="167" fontId="12" fillId="0" borderId="4" xfId="22" applyNumberFormat="1" applyFont="1" applyFill="1" applyBorder="1" applyAlignment="1">
      <alignment horizontal="right"/>
    </xf>
    <xf numFmtId="9" fontId="12" fillId="0" borderId="4" xfId="22" applyNumberFormat="1" applyFont="1" applyFill="1" applyBorder="1" applyAlignment="1">
      <alignment horizontal="right"/>
    </xf>
    <xf numFmtId="170" fontId="12" fillId="0" borderId="4" xfId="1" applyNumberFormat="1" applyFont="1" applyFill="1" applyBorder="1" applyAlignment="1">
      <alignment horizontal="right"/>
    </xf>
    <xf numFmtId="9" fontId="12" fillId="0" borderId="4" xfId="22" applyNumberFormat="1" applyFont="1" applyBorder="1" applyAlignment="1">
      <alignment horizontal="right"/>
    </xf>
    <xf numFmtId="41" fontId="12" fillId="0" borderId="4" xfId="12" applyNumberFormat="1" applyFont="1" applyBorder="1"/>
    <xf numFmtId="9" fontId="12" fillId="0" borderId="0" xfId="14" applyNumberFormat="1" applyFont="1" applyFill="1" applyBorder="1"/>
    <xf numFmtId="166" fontId="12" fillId="0" borderId="0" xfId="14" applyNumberFormat="1" applyFont="1" applyFill="1" applyBorder="1"/>
    <xf numFmtId="167" fontId="12" fillId="0" borderId="0" xfId="2" applyNumberFormat="1" applyFont="1" applyFill="1" applyBorder="1"/>
    <xf numFmtId="9" fontId="12" fillId="0" borderId="4" xfId="14" applyNumberFormat="1" applyFont="1" applyFill="1" applyBorder="1"/>
    <xf numFmtId="43" fontId="13" fillId="0" borderId="0" xfId="6" applyFont="1" applyFill="1" applyBorder="1" applyAlignment="1">
      <alignment horizontal="left" indent="1"/>
    </xf>
    <xf numFmtId="42" fontId="12" fillId="0" borderId="0" xfId="12" applyNumberFormat="1" applyFont="1"/>
    <xf numFmtId="170" fontId="13" fillId="0" borderId="0" xfId="1" applyNumberFormat="1" applyFont="1" applyFill="1" applyBorder="1" applyAlignment="1">
      <alignment horizontal="center"/>
    </xf>
    <xf numFmtId="9" fontId="13" fillId="0" borderId="0" xfId="12" applyNumberFormat="1" applyFont="1"/>
    <xf numFmtId="167" fontId="16" fillId="2" borderId="0" xfId="2" applyNumberFormat="1" applyFont="1" applyFill="1" applyBorder="1"/>
    <xf numFmtId="167" fontId="12" fillId="2" borderId="0" xfId="2" applyNumberFormat="1" applyFont="1" applyFill="1" applyBorder="1"/>
    <xf numFmtId="0" fontId="14" fillId="0" borderId="0" xfId="13" applyFont="1" applyAlignment="1">
      <alignment horizontal="right"/>
    </xf>
    <xf numFmtId="170" fontId="11" fillId="0" borderId="10" xfId="13" applyNumberFormat="1" applyFont="1" applyBorder="1"/>
    <xf numFmtId="181" fontId="12" fillId="0" borderId="0" xfId="14" applyNumberFormat="1" applyFont="1" applyFill="1" applyBorder="1" applyAlignment="1">
      <alignment horizontal="right"/>
    </xf>
    <xf numFmtId="0" fontId="16" fillId="0" borderId="9" xfId="13" applyFont="1" applyBorder="1" applyAlignment="1">
      <alignment horizontal="center"/>
    </xf>
    <xf numFmtId="0" fontId="16" fillId="0" borderId="2" xfId="13" applyFont="1" applyBorder="1" applyAlignment="1">
      <alignment horizontal="center"/>
    </xf>
    <xf numFmtId="10" fontId="16" fillId="0" borderId="0" xfId="13" applyNumberFormat="1" applyFont="1" applyAlignment="1">
      <alignment horizontal="center"/>
    </xf>
    <xf numFmtId="166" fontId="12" fillId="0" borderId="1" xfId="3" applyFont="1" applyBorder="1" applyAlignment="1">
      <alignment horizontal="center"/>
    </xf>
    <xf numFmtId="9" fontId="12" fillId="0" borderId="1" xfId="3" applyNumberFormat="1" applyFont="1" applyBorder="1" applyAlignment="1">
      <alignment horizontal="center"/>
    </xf>
    <xf numFmtId="10" fontId="8" fillId="0" borderId="9" xfId="3" applyNumberFormat="1" applyBorder="1"/>
    <xf numFmtId="10" fontId="8" fillId="0" borderId="5" xfId="3" applyNumberFormat="1" applyBorder="1"/>
    <xf numFmtId="9" fontId="8" fillId="0" borderId="12" xfId="3" applyNumberFormat="1" applyBorder="1"/>
    <xf numFmtId="6" fontId="8" fillId="0" borderId="0" xfId="3" applyNumberFormat="1" applyBorder="1"/>
    <xf numFmtId="9" fontId="8" fillId="0" borderId="0" xfId="3" applyNumberFormat="1" applyBorder="1"/>
    <xf numFmtId="6" fontId="8" fillId="0" borderId="4" xfId="3" applyNumberFormat="1" applyBorder="1"/>
    <xf numFmtId="9" fontId="8" fillId="0" borderId="4" xfId="3" applyNumberFormat="1" applyBorder="1"/>
    <xf numFmtId="9" fontId="8" fillId="0" borderId="3" xfId="3" applyNumberFormat="1" applyBorder="1"/>
    <xf numFmtId="0" fontId="13" fillId="0" borderId="1" xfId="12" applyFont="1" applyBorder="1" applyAlignment="1">
      <alignment horizontal="right"/>
    </xf>
    <xf numFmtId="43" fontId="13" fillId="0" borderId="1" xfId="6" applyFont="1" applyFill="1" applyBorder="1" applyAlignment="1"/>
    <xf numFmtId="0" fontId="13" fillId="0" borderId="1" xfId="6" applyNumberFormat="1" applyFont="1" applyFill="1" applyBorder="1" applyAlignment="1">
      <alignment horizontal="right"/>
    </xf>
    <xf numFmtId="0" fontId="16" fillId="0" borderId="0" xfId="13" applyFont="1" applyAlignment="1">
      <alignment horizontal="right"/>
    </xf>
    <xf numFmtId="10" fontId="12" fillId="0" borderId="1" xfId="3" applyNumberFormat="1" applyFont="1" applyBorder="1" applyAlignment="1">
      <alignment horizontal="center"/>
    </xf>
    <xf numFmtId="167" fontId="23" fillId="5" borderId="0" xfId="32" applyNumberFormat="1" applyFont="1" applyFill="1"/>
    <xf numFmtId="0" fontId="23" fillId="5" borderId="0" xfId="32" applyFont="1" applyFill="1" applyAlignment="1">
      <alignment horizontal="left"/>
    </xf>
    <xf numFmtId="10" fontId="16" fillId="0" borderId="0" xfId="32" applyNumberFormat="1" applyFont="1"/>
    <xf numFmtId="0" fontId="11" fillId="0" borderId="0" xfId="32" applyFont="1"/>
    <xf numFmtId="10" fontId="12" fillId="0" borderId="0" xfId="13" applyNumberFormat="1" applyFont="1" applyAlignment="1">
      <alignment horizontal="center"/>
    </xf>
    <xf numFmtId="166" fontId="18" fillId="0" borderId="0" xfId="12" applyNumberFormat="1" applyFont="1" applyAlignment="1">
      <alignment horizontal="left"/>
    </xf>
    <xf numFmtId="175" fontId="12" fillId="2" borderId="0" xfId="14" applyNumberFormat="1" applyFont="1" applyFill="1" applyBorder="1"/>
    <xf numFmtId="169" fontId="11" fillId="0" borderId="0" xfId="1" applyNumberFormat="1" applyFont="1" applyAlignment="1">
      <alignment horizontal="left"/>
    </xf>
    <xf numFmtId="183" fontId="11" fillId="0" borderId="0" xfId="13" applyNumberFormat="1" applyFont="1"/>
    <xf numFmtId="182" fontId="16" fillId="0" borderId="0" xfId="12" applyNumberFormat="1" applyFont="1" applyAlignment="1">
      <alignment horizontal="right"/>
    </xf>
    <xf numFmtId="0" fontId="19" fillId="0" borderId="6" xfId="13" applyFont="1" applyBorder="1" applyAlignment="1">
      <alignment horizontal="right"/>
    </xf>
    <xf numFmtId="43" fontId="9" fillId="6" borderId="2" xfId="6" applyFont="1" applyFill="1" applyBorder="1"/>
    <xf numFmtId="43" fontId="9" fillId="6" borderId="1" xfId="6" quotePrefix="1" applyFont="1" applyFill="1" applyBorder="1" applyAlignment="1">
      <alignment horizontal="center"/>
    </xf>
    <xf numFmtId="0" fontId="10" fillId="6" borderId="1" xfId="12" applyFont="1" applyFill="1" applyBorder="1"/>
    <xf numFmtId="43" fontId="9" fillId="6" borderId="1" xfId="6" applyFont="1" applyFill="1" applyBorder="1" applyAlignment="1">
      <alignment horizontal="center"/>
    </xf>
    <xf numFmtId="43" fontId="9" fillId="6" borderId="13" xfId="6" applyFont="1" applyFill="1" applyBorder="1" applyAlignment="1">
      <alignment horizontal="center"/>
    </xf>
    <xf numFmtId="43" fontId="10" fillId="6" borderId="1" xfId="6" applyFont="1" applyFill="1" applyBorder="1"/>
    <xf numFmtId="0" fontId="9" fillId="6" borderId="1" xfId="12" applyFont="1" applyFill="1" applyBorder="1" applyAlignment="1">
      <alignment horizontal="center"/>
    </xf>
    <xf numFmtId="43" fontId="9" fillId="6" borderId="1" xfId="6" applyFont="1" applyFill="1" applyBorder="1" applyAlignment="1">
      <alignment horizontal="right"/>
    </xf>
    <xf numFmtId="43" fontId="9" fillId="6" borderId="2" xfId="6" applyFont="1" applyFill="1" applyBorder="1" applyAlignment="1">
      <alignment horizontal="left"/>
    </xf>
    <xf numFmtId="43" fontId="9" fillId="6" borderId="13" xfId="6" applyFont="1" applyFill="1" applyBorder="1" applyAlignment="1">
      <alignment horizontal="right"/>
    </xf>
    <xf numFmtId="43" fontId="9" fillId="6" borderId="1" xfId="6" applyFont="1" applyFill="1" applyBorder="1"/>
    <xf numFmtId="0" fontId="9" fillId="6" borderId="13" xfId="12" applyFont="1" applyFill="1" applyBorder="1" applyAlignment="1">
      <alignment horizontal="center"/>
    </xf>
    <xf numFmtId="0" fontId="9" fillId="6" borderId="1" xfId="12" applyFont="1" applyFill="1" applyBorder="1" applyAlignment="1">
      <alignment horizontal="right"/>
    </xf>
    <xf numFmtId="0" fontId="9" fillId="6" borderId="1" xfId="12" applyFont="1" applyFill="1" applyBorder="1"/>
    <xf numFmtId="43" fontId="9" fillId="6" borderId="13" xfId="6" quotePrefix="1" applyFont="1" applyFill="1" applyBorder="1" applyAlignment="1">
      <alignment horizontal="center"/>
    </xf>
    <xf numFmtId="43" fontId="9" fillId="6" borderId="2" xfId="6" quotePrefix="1" applyFont="1" applyFill="1" applyBorder="1" applyAlignment="1">
      <alignment horizontal="left"/>
    </xf>
    <xf numFmtId="43" fontId="9" fillId="6" borderId="0" xfId="6" applyFont="1" applyFill="1" applyBorder="1" applyAlignment="1">
      <alignment horizontal="center"/>
    </xf>
    <xf numFmtId="10" fontId="8" fillId="7" borderId="9" xfId="3" applyNumberFormat="1" applyFill="1" applyBorder="1"/>
    <xf numFmtId="6" fontId="8" fillId="7" borderId="0" xfId="3" applyNumberFormat="1" applyFill="1" applyBorder="1"/>
    <xf numFmtId="9" fontId="8" fillId="7" borderId="0" xfId="3" applyNumberFormat="1" applyFill="1" applyBorder="1"/>
    <xf numFmtId="9" fontId="8" fillId="7" borderId="12" xfId="3" applyNumberFormat="1" applyFill="1" applyBorder="1"/>
    <xf numFmtId="9" fontId="13" fillId="8" borderId="1" xfId="12" applyNumberFormat="1" applyFont="1" applyFill="1" applyBorder="1"/>
    <xf numFmtId="170" fontId="13" fillId="8" borderId="1" xfId="1" applyNumberFormat="1" applyFont="1" applyFill="1" applyBorder="1" applyAlignment="1">
      <alignment horizontal="center"/>
    </xf>
    <xf numFmtId="42" fontId="13" fillId="8" borderId="1" xfId="14" applyNumberFormat="1" applyFont="1" applyFill="1" applyBorder="1" applyAlignment="1">
      <alignment vertical="center"/>
    </xf>
    <xf numFmtId="0" fontId="11" fillId="8" borderId="0" xfId="32" applyFont="1" applyFill="1" applyAlignment="1">
      <alignment horizontal="right"/>
    </xf>
    <xf numFmtId="43" fontId="11" fillId="0" borderId="0" xfId="32" applyNumberFormat="1" applyFont="1"/>
    <xf numFmtId="42" fontId="12" fillId="0" borderId="0" xfId="32" applyNumberFormat="1" applyFont="1" applyAlignment="1">
      <alignment horizontal="center"/>
    </xf>
    <xf numFmtId="166" fontId="12" fillId="0" borderId="0" xfId="3" applyFont="1" applyAlignment="1">
      <alignment horizontal="right"/>
    </xf>
    <xf numFmtId="41" fontId="12" fillId="0" borderId="0" xfId="32" applyNumberFormat="1" applyFont="1" applyAlignment="1">
      <alignment horizontal="center"/>
    </xf>
    <xf numFmtId="41" fontId="11" fillId="0" borderId="0" xfId="32" applyNumberFormat="1" applyFont="1"/>
    <xf numFmtId="0" fontId="12" fillId="0" borderId="0" xfId="32" applyFont="1" applyAlignment="1">
      <alignment horizontal="center"/>
    </xf>
    <xf numFmtId="0" fontId="11" fillId="0" borderId="0" xfId="32" applyFont="1" applyAlignment="1">
      <alignment horizontal="right"/>
    </xf>
    <xf numFmtId="43" fontId="14" fillId="0" borderId="7" xfId="32" applyNumberFormat="1" applyFont="1" applyBorder="1"/>
    <xf numFmtId="42" fontId="14" fillId="0" borderId="7" xfId="32" applyNumberFormat="1" applyFont="1" applyBorder="1"/>
    <xf numFmtId="166" fontId="14" fillId="0" borderId="7" xfId="32" applyNumberFormat="1" applyFont="1" applyBorder="1" applyAlignment="1">
      <alignment horizontal="right"/>
    </xf>
    <xf numFmtId="0" fontId="14" fillId="0" borderId="0" xfId="13" applyFont="1"/>
    <xf numFmtId="43" fontId="16" fillId="0" borderId="0" xfId="32" applyNumberFormat="1" applyFont="1"/>
    <xf numFmtId="42" fontId="16" fillId="0" borderId="0" xfId="32" applyNumberFormat="1" applyFont="1" applyAlignment="1">
      <alignment horizontal="center"/>
    </xf>
    <xf numFmtId="41" fontId="16" fillId="0" borderId="0" xfId="32" applyNumberFormat="1" applyFont="1"/>
    <xf numFmtId="10" fontId="8" fillId="0" borderId="0" xfId="3" applyNumberFormat="1" applyBorder="1"/>
    <xf numFmtId="10" fontId="8" fillId="7" borderId="0" xfId="3" applyNumberFormat="1" applyFill="1" applyBorder="1"/>
    <xf numFmtId="10" fontId="8" fillId="0" borderId="4" xfId="3" applyNumberFormat="1" applyBorder="1"/>
    <xf numFmtId="0" fontId="16" fillId="0" borderId="0" xfId="13" applyFont="1" applyAlignment="1">
      <alignment horizontal="center"/>
    </xf>
    <xf numFmtId="10" fontId="12" fillId="0" borderId="0" xfId="3" applyNumberFormat="1" applyFont="1" applyBorder="1" applyAlignment="1">
      <alignment horizontal="center"/>
    </xf>
    <xf numFmtId="168" fontId="11" fillId="0" borderId="0" xfId="13" applyNumberFormat="1" applyFont="1"/>
    <xf numFmtId="43" fontId="12" fillId="0" borderId="0" xfId="32" applyNumberFormat="1" applyFont="1"/>
    <xf numFmtId="43" fontId="12" fillId="0" borderId="0" xfId="13" applyNumberFormat="1" applyFont="1" applyAlignment="1">
      <alignment horizontal="left"/>
    </xf>
    <xf numFmtId="43" fontId="10" fillId="6" borderId="1" xfId="6" applyFont="1" applyFill="1" applyBorder="1" applyAlignment="1">
      <alignment horizontal="right"/>
    </xf>
    <xf numFmtId="166" fontId="12" fillId="0" borderId="0" xfId="3" applyFont="1" applyBorder="1" applyAlignment="1">
      <alignment horizontal="center"/>
    </xf>
    <xf numFmtId="8" fontId="12" fillId="2" borderId="0" xfId="14" quotePrefix="1" applyNumberFormat="1" applyFont="1" applyFill="1" applyBorder="1" applyAlignment="1">
      <alignment horizontal="center"/>
    </xf>
    <xf numFmtId="8" fontId="12" fillId="2" borderId="0" xfId="14" applyNumberFormat="1" applyFont="1" applyFill="1" applyBorder="1" applyAlignment="1">
      <alignment horizontal="center"/>
    </xf>
    <xf numFmtId="42" fontId="13" fillId="3" borderId="13" xfId="12" applyNumberFormat="1" applyFont="1" applyFill="1" applyBorder="1" applyAlignment="1">
      <alignment vertical="center"/>
    </xf>
    <xf numFmtId="43" fontId="12" fillId="8" borderId="2" xfId="6" applyFont="1" applyFill="1" applyBorder="1"/>
    <xf numFmtId="0" fontId="11" fillId="8" borderId="1" xfId="13" applyFont="1" applyFill="1" applyBorder="1"/>
    <xf numFmtId="42" fontId="13" fillId="8" borderId="13" xfId="14" applyNumberFormat="1" applyFont="1" applyFill="1" applyBorder="1" applyAlignment="1">
      <alignment vertical="center"/>
    </xf>
    <xf numFmtId="43" fontId="12" fillId="8" borderId="1" xfId="6" applyFont="1" applyFill="1" applyBorder="1"/>
    <xf numFmtId="10" fontId="17" fillId="8" borderId="1" xfId="12" applyNumberFormat="1" applyFont="1" applyFill="1" applyBorder="1"/>
    <xf numFmtId="42" fontId="13" fillId="0" borderId="13" xfId="14" applyNumberFormat="1" applyFont="1" applyFill="1" applyBorder="1" applyAlignment="1">
      <alignment vertical="center"/>
    </xf>
    <xf numFmtId="10" fontId="8" fillId="0" borderId="0" xfId="3" applyNumberFormat="1"/>
    <xf numFmtId="167" fontId="17" fillId="0" borderId="0" xfId="2" applyNumberFormat="1" applyFont="1" applyFill="1" applyBorder="1" applyAlignment="1">
      <alignment vertical="center"/>
    </xf>
    <xf numFmtId="179" fontId="16" fillId="0" borderId="0" xfId="13" applyNumberFormat="1" applyFont="1" applyAlignment="1">
      <alignment horizontal="center"/>
    </xf>
    <xf numFmtId="10" fontId="16" fillId="0" borderId="0" xfId="3" applyNumberFormat="1" applyFont="1" applyBorder="1" applyAlignment="1">
      <alignment horizontal="center"/>
    </xf>
    <xf numFmtId="179" fontId="11" fillId="0" borderId="0" xfId="13" applyNumberFormat="1" applyFont="1" applyAlignment="1">
      <alignment horizontal="right"/>
    </xf>
    <xf numFmtId="42" fontId="11" fillId="0" borderId="7" xfId="13" applyNumberFormat="1" applyFont="1" applyBorder="1"/>
    <xf numFmtId="0" fontId="24" fillId="0" borderId="0" xfId="13" applyFont="1" applyAlignment="1">
      <alignment horizontal="center"/>
    </xf>
    <xf numFmtId="10" fontId="11" fillId="0" borderId="0" xfId="13" applyNumberFormat="1" applyFont="1" applyAlignment="1">
      <alignment horizontal="center"/>
    </xf>
    <xf numFmtId="10" fontId="11" fillId="0" borderId="8" xfId="13" applyNumberFormat="1" applyFont="1" applyBorder="1" applyAlignment="1">
      <alignment horizontal="center"/>
    </xf>
    <xf numFmtId="6" fontId="11" fillId="0" borderId="0" xfId="13" applyNumberFormat="1" applyFont="1"/>
    <xf numFmtId="184" fontId="12" fillId="0" borderId="0" xfId="13" applyNumberFormat="1" applyFont="1" applyAlignment="1">
      <alignment horizontal="center"/>
    </xf>
    <xf numFmtId="0" fontId="10" fillId="6" borderId="14" xfId="12" applyFont="1" applyFill="1" applyBorder="1"/>
    <xf numFmtId="0" fontId="11" fillId="8" borderId="15" xfId="32" applyFont="1" applyFill="1" applyBorder="1"/>
    <xf numFmtId="43" fontId="9" fillId="6" borderId="0" xfId="6" applyFont="1" applyFill="1" applyBorder="1" applyAlignment="1">
      <alignment horizontal="center"/>
    </xf>
    <xf numFmtId="170" fontId="16" fillId="2" borderId="4" xfId="17" applyNumberFormat="1" applyFont="1" applyFill="1" applyBorder="1"/>
    <xf numFmtId="166" fontId="11" fillId="0" borderId="0" xfId="12" applyNumberFormat="1" applyFont="1" applyAlignment="1">
      <alignment horizontal="right"/>
    </xf>
    <xf numFmtId="166" fontId="11" fillId="0" borderId="0" xfId="12" applyNumberFormat="1" applyFont="1" applyBorder="1"/>
    <xf numFmtId="166" fontId="11" fillId="0" borderId="4" xfId="12" applyNumberFormat="1" applyFont="1" applyBorder="1"/>
  </cellXfs>
  <cellStyles count="43">
    <cellStyle name="Comma" xfId="1" builtinId="3"/>
    <cellStyle name="Comma 2" xfId="17" xr:uid="{00000000-0005-0000-0000-000001000000}"/>
    <cellStyle name="Comma 2 2" xfId="6" xr:uid="{00000000-0005-0000-0000-000002000000}"/>
    <cellStyle name="Comma 2 2 2 2" xfId="10" xr:uid="{00000000-0005-0000-0000-000003000000}"/>
    <cellStyle name="Comma 2 3" xfId="38" xr:uid="{10998FB9-0B3B-4ACA-B387-47C72A1234CF}"/>
    <cellStyle name="Comma 2 3 3" xfId="7" xr:uid="{00000000-0005-0000-0000-000004000000}"/>
    <cellStyle name="Comma 2 3 3 2" xfId="25" xr:uid="{77F25AF8-214C-4D26-93AC-1A8368B2EACA}"/>
    <cellStyle name="Comma 2 3 3 2 2" xfId="35" xr:uid="{BA4ACB5C-8C40-42D9-B175-50D6E9CE8CFE}"/>
    <cellStyle name="Comma 3" xfId="21" xr:uid="{F86DD257-B6F7-4537-A55E-6BA5FE61784F}"/>
    <cellStyle name="Comma 4" xfId="36" xr:uid="{122F4725-5B27-45E5-8385-19FA026655B7}"/>
    <cellStyle name="Currency" xfId="2" builtinId="4"/>
    <cellStyle name="Currency 2" xfId="14" xr:uid="{00000000-0005-0000-0000-000006000000}"/>
    <cellStyle name="Currency 3" xfId="18" xr:uid="{00000000-0005-0000-0000-000007000000}"/>
    <cellStyle name="Currency 3 2" xfId="40" xr:uid="{DF5F142E-D709-4211-A722-FFDFFE2B2433}"/>
    <cellStyle name="Currency 4" xfId="22" xr:uid="{8FCEA641-ECDB-4413-AD7B-65C30347D97C}"/>
    <cellStyle name="Currency 5" xfId="30" xr:uid="{E324F0CD-26BD-4272-9159-B471F507761D}"/>
    <cellStyle name="Normal" xfId="0" builtinId="0"/>
    <cellStyle name="Normal 11" xfId="12" xr:uid="{00000000-0005-0000-0000-000009000000}"/>
    <cellStyle name="Normal 2" xfId="13" xr:uid="{00000000-0005-0000-0000-00000A000000}"/>
    <cellStyle name="Normal 2 2 2" xfId="4" xr:uid="{00000000-0005-0000-0000-00000B000000}"/>
    <cellStyle name="Normal 2 2 2 2" xfId="24" xr:uid="{8DD2871D-DD3F-46D8-88AF-3750AA8FC977}"/>
    <cellStyle name="Normal 2 2 2 2 2" xfId="33" xr:uid="{2C2C918E-462F-495F-A8F1-6F8AE04FC284}"/>
    <cellStyle name="Normal 2 2 2 3" xfId="37" xr:uid="{456ACB01-8052-47EE-AEB5-DD3D00F76899}"/>
    <cellStyle name="Normal 2 2 2 3 2" xfId="39" xr:uid="{77A49502-CCB9-4417-B960-DED64560AC70}"/>
    <cellStyle name="Normal 2 2 2 4" xfId="42" xr:uid="{CDEE98C2-8302-42B7-BE14-6244BA78D0A1}"/>
    <cellStyle name="Normal 2 2 6" xfId="11" xr:uid="{00000000-0005-0000-0000-00000C000000}"/>
    <cellStyle name="Normal 2 3" xfId="32" xr:uid="{90797007-44C8-426A-8C1A-9754A28F2B9E}"/>
    <cellStyle name="Normal 3" xfId="19" xr:uid="{D4049A31-D047-4B05-9E44-E0E4E221F933}"/>
    <cellStyle name="Normal 4" xfId="20" xr:uid="{C1083ED6-4412-41A3-8273-2A1C1BE37BE4}"/>
    <cellStyle name="Normal 4 2" xfId="5" xr:uid="{00000000-0005-0000-0000-00000D000000}"/>
    <cellStyle name="Normal 5" xfId="29" xr:uid="{F076A610-5A40-4A47-922E-F6B8071FFF57}"/>
    <cellStyle name="Normal 6" xfId="27" xr:uid="{87B93241-EC07-4CAE-AE75-5AEAD79C69A1}"/>
    <cellStyle name="Normal 8" xfId="28" xr:uid="{0D30905D-5CAE-4AF5-970F-1A21D6D00742}"/>
    <cellStyle name="Percent" xfId="3" builtinId="5"/>
    <cellStyle name="Percent 2" xfId="8" xr:uid="{00000000-0005-0000-0000-00000F000000}"/>
    <cellStyle name="Percent 2 2" xfId="15" xr:uid="{00000000-0005-0000-0000-000010000000}"/>
    <cellStyle name="Percent 2 3 3" xfId="9" xr:uid="{00000000-0005-0000-0000-000011000000}"/>
    <cellStyle name="Percent 2 3 3 2" xfId="26" xr:uid="{5954AFCA-56A5-4692-BE5E-782E9347D31D}"/>
    <cellStyle name="Percent 2 3 3 2 2" xfId="34" xr:uid="{2FCE5AA3-25EE-4A09-8730-43017CBC19BF}"/>
    <cellStyle name="Percent 3" xfId="16" xr:uid="{00000000-0005-0000-0000-000012000000}"/>
    <cellStyle name="Percent 3 2" xfId="41" xr:uid="{A2E1FA70-481E-43DC-8848-4F9827790ADD}"/>
    <cellStyle name="Percent 4" xfId="23" xr:uid="{D597DC5B-F2E3-4627-ACE2-4666BF613CAD}"/>
    <cellStyle name="Percent 5" xfId="31" xr:uid="{DDD2C1C5-D9A7-4B3C-B1B2-A5170818B6A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E6E6E6"/>
      <color rgb="FF00519B"/>
      <color rgb="FFF5FAFD"/>
      <color rgb="FF4472C4"/>
      <color rgb="FF4454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customXml" Target="../customXml/item3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Groups/Finance/DIRECT/SEAOP9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nnect.kingsettcapital.com/RIAZ%20MAMDANI/Duggan%20Shopping%20Centre/Loan%20Summary/Yield%20Maintenance%20-%20Circle%20Squar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P/Files/Investment%20Team/2007%20Deal%20Directory/2007%20Mixed/Standard%20Life%20JV/2.%20Skyway%20Business%20Park/2.%20Analysis/165%20Attwell%20(VM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Finance/Finance%20reports/Project%20Financing%20Sufficiency%20Repor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Documents%20and%20Settings/achang/My%20Documents/Copy%20of%2001.%20Chilliwack%20Mall%20(VM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Users/Bruce%20Williams/FINMDRDG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orkspace/Active%20Mortgages/02%20KMC%20Templates/Underwriting%20Models/Multi-Family%20Template%20-%20Reva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/Accounting/2003/Monthend%20Mgmt%20Reports/Mar%202003/LPP1%20Mgmt%20Repor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nnect.kingsettcapital.com/DEALS/Single%20Family/Construction/Tataryn/Loan%20Summary/Proforma%20-%20Tataryn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Users/jsmith/Desktop/Templates/amortization%20calcula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WP/Files/Investment%20Team/2007%20Deal%20Directory/2007%20Retail/R07_28_Frontier%20Mall/Valuation/Tenancy/NBattleford_Tenancy%20Analysis%20A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Documents%20and%20Settings/dpfrimmer/Desktop/Personal/GPM_June_2010_-_Cashflows_v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Marc%20Drysdale/Residential/Mosaic%20Homes/Dominion/Construction%20Loan/Oct%2008%20amendment/Links%20-%20Economics%20Based%20on%20Revised%20Unit%20Mix%2011%2014%2008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RESI/Shared%20Accounting/Budget%20Analysis/Rhapsody%20Budge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ingsettcapital.sharepoint.com/PROJECT%20ADMINISTRATION%20FILES/Links/Finance/4.%20Construction/Commitment%20Letter/Phasing%20Amendment/Dominion%20-%20Proforma%20for%20Construction%20Financing%202008-02-15%20(Revised%20Phasing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LAN95"/>
      <sheetName val="OHRATE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M Tranche 1"/>
      <sheetName val="YM Tranche 2"/>
      <sheetName val="Data (Do Not Delete)"/>
      <sheetName val="Drop Downs"/>
      <sheetName val="Yield Maintenance - Circle Squa"/>
    </sheetNames>
    <sheetDataSet>
      <sheetData sheetId="0"/>
      <sheetData sheetId="1">
        <row r="5">
          <cell r="F5">
            <v>5.6000000000000001E-2</v>
          </cell>
        </row>
        <row r="7">
          <cell r="F7">
            <v>8.9899999999999997E-3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Budget Rec"/>
      <sheetName val="Amortization Schedule"/>
      <sheetName val="Cash Flow"/>
      <sheetName val="CF Summary"/>
      <sheetName val="DCF"/>
      <sheetName val="Financing"/>
      <sheetName val="Financing CF "/>
      <sheetName val="Mk-to-Mkt"/>
      <sheetName val="Mtg."/>
      <sheetName val="NER Calc"/>
      <sheetName val="Assumptions"/>
      <sheetName val="STC Expiration"/>
      <sheetName val="Tenant Profile"/>
    </sheetNames>
    <sheetDataSet>
      <sheetData sheetId="0"/>
      <sheetData sheetId="1"/>
      <sheetData sheetId="2"/>
      <sheetData sheetId="3">
        <row r="14">
          <cell r="A14" t="str">
            <v>LineItem</v>
          </cell>
          <cell r="B14" t="str">
            <v>AcctCode</v>
          </cell>
          <cell r="C14">
            <v>1</v>
          </cell>
          <cell r="D14">
            <v>2</v>
          </cell>
          <cell r="E14">
            <v>3</v>
          </cell>
          <cell r="F14">
            <v>4</v>
          </cell>
          <cell r="G14">
            <v>5</v>
          </cell>
          <cell r="H14">
            <v>6</v>
          </cell>
          <cell r="I14">
            <v>7</v>
          </cell>
          <cell r="J14">
            <v>8</v>
          </cell>
          <cell r="K14">
            <v>9</v>
          </cell>
          <cell r="L14">
            <v>10</v>
          </cell>
          <cell r="M14">
            <v>11</v>
          </cell>
          <cell r="N14">
            <v>12</v>
          </cell>
          <cell r="O14">
            <v>13</v>
          </cell>
          <cell r="P14">
            <v>14</v>
          </cell>
          <cell r="Q14">
            <v>15</v>
          </cell>
          <cell r="R14">
            <v>16</v>
          </cell>
          <cell r="S14">
            <v>17</v>
          </cell>
          <cell r="T14">
            <v>18</v>
          </cell>
          <cell r="U14">
            <v>19</v>
          </cell>
          <cell r="V14">
            <v>20</v>
          </cell>
          <cell r="W14">
            <v>21</v>
          </cell>
        </row>
        <row r="15">
          <cell r="A15" t="str">
            <v xml:space="preserve">Software      </v>
          </cell>
          <cell r="B15" t="str">
            <v xml:space="preserve">: ARGUS  Ver. ARGUS 2007 (Build: 13000-F)    </v>
          </cell>
          <cell r="C15" t="str">
            <v xml:space="preserve">                                                               165 Attwell                                                                 </v>
          </cell>
          <cell r="D15"/>
          <cell r="E15" t="str">
            <v xml:space="preserve">Date   </v>
          </cell>
          <cell r="F15" t="str">
            <v xml:space="preserve">: 11/12/07 </v>
          </cell>
        </row>
        <row r="16">
          <cell r="A16" t="str">
            <v xml:space="preserve">File          </v>
          </cell>
          <cell r="B16" t="str">
            <v xml:space="preserve">: 165 Attwell Drive                          </v>
          </cell>
          <cell r="C16" t="str">
            <v xml:space="preserve">                                                           Etobicoke</v>
          </cell>
          <cell r="D16" t="str">
            <v xml:space="preserve"> Ontario                                                              </v>
          </cell>
          <cell r="E16"/>
          <cell r="F16" t="str">
            <v xml:space="preserve">Time   </v>
          </cell>
          <cell r="G16" t="str">
            <v xml:space="preserve">: 17:48    </v>
          </cell>
        </row>
        <row r="17">
          <cell r="A17" t="str">
            <v xml:space="preserve">Property Type </v>
          </cell>
          <cell r="B17" t="str">
            <v xml:space="preserve">: Office/Industrial                          </v>
          </cell>
          <cell r="C17"/>
          <cell r="D17"/>
          <cell r="E17" t="str">
            <v xml:space="preserve">Ref#   </v>
          </cell>
          <cell r="F17" t="str">
            <v xml:space="preserve">: ABZ      </v>
          </cell>
        </row>
        <row r="18">
          <cell r="A18" t="str">
            <v xml:space="preserve">Portfolio     </v>
          </cell>
          <cell r="B18" t="str">
            <v xml:space="preserve">:                                            </v>
          </cell>
          <cell r="C18"/>
          <cell r="D18"/>
          <cell r="E18" t="str">
            <v xml:space="preserve">Page   </v>
          </cell>
          <cell r="F18" t="str">
            <v xml:space="preserve">: 1        </v>
          </cell>
        </row>
        <row r="19">
          <cell r="A19" t="str">
            <v xml:space="preserve">                                                                                                               Schedule Of Prospective Cash Flow</v>
          </cell>
        </row>
        <row r="20">
          <cell r="A20" t="str">
            <v xml:space="preserve">                                                                                                  In Inflated Dollars for the Fiscal Year Beginning 1/1/2008</v>
          </cell>
        </row>
        <row r="21">
          <cell r="A21"/>
          <cell r="B21"/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</row>
        <row r="22">
          <cell r="A22"/>
          <cell r="B22"/>
          <cell r="C22" t="str">
            <v xml:space="preserve">    Year  1 </v>
          </cell>
          <cell r="D22" t="str">
            <v xml:space="preserve">    Year  2 </v>
          </cell>
          <cell r="E22" t="str">
            <v xml:space="preserve">    Year  3 </v>
          </cell>
          <cell r="F22" t="str">
            <v xml:space="preserve">    Year  4 </v>
          </cell>
          <cell r="G22" t="str">
            <v xml:space="preserve">    Year  5 </v>
          </cell>
          <cell r="H22" t="str">
            <v xml:space="preserve">    Year  6 </v>
          </cell>
          <cell r="I22" t="str">
            <v xml:space="preserve">    Year  7 </v>
          </cell>
          <cell r="J22" t="str">
            <v xml:space="preserve">    Year  8 </v>
          </cell>
          <cell r="K22" t="str">
            <v xml:space="preserve">    Year  9 </v>
          </cell>
          <cell r="L22" t="str">
            <v xml:space="preserve">    Year 10 </v>
          </cell>
          <cell r="M22" t="str">
            <v xml:space="preserve">    Year 11</v>
          </cell>
        </row>
        <row r="23">
          <cell r="A23" t="str">
            <v xml:space="preserve">For the Years Ending             </v>
          </cell>
          <cell r="B23" t="str">
            <v xml:space="preserve">   Acct Code</v>
          </cell>
          <cell r="C23" t="str">
            <v xml:space="preserve">   Dec-2008 </v>
          </cell>
          <cell r="D23" t="str">
            <v xml:space="preserve">   Dec-2009 </v>
          </cell>
          <cell r="E23" t="str">
            <v xml:space="preserve">   Dec-2010 </v>
          </cell>
          <cell r="F23" t="str">
            <v xml:space="preserve">   Dec-2011 </v>
          </cell>
          <cell r="G23" t="str">
            <v xml:space="preserve">   Dec-2012 </v>
          </cell>
          <cell r="H23" t="str">
            <v xml:space="preserve">   Dec-2013 </v>
          </cell>
          <cell r="I23" t="str">
            <v xml:space="preserve">   Dec-2014 </v>
          </cell>
          <cell r="J23" t="str">
            <v xml:space="preserve">   Dec-2015 </v>
          </cell>
          <cell r="K23" t="str">
            <v xml:space="preserve">   Dec-2016 </v>
          </cell>
          <cell r="L23" t="str">
            <v xml:space="preserve">   Dec-2017 </v>
          </cell>
          <cell r="M23" t="str">
            <v xml:space="preserve">   Dec-2018</v>
          </cell>
        </row>
        <row r="24">
          <cell r="A24"/>
          <cell r="B24" t="str">
            <v>____________</v>
          </cell>
          <cell r="C24" t="str">
            <v xml:space="preserve"> __________ </v>
          </cell>
          <cell r="D24" t="str">
            <v xml:space="preserve"> __________ </v>
          </cell>
          <cell r="E24" t="str">
            <v xml:space="preserve"> __________ </v>
          </cell>
          <cell r="F24" t="str">
            <v xml:space="preserve"> __________ </v>
          </cell>
          <cell r="G24" t="str">
            <v xml:space="preserve"> __________ </v>
          </cell>
          <cell r="H24" t="str">
            <v xml:space="preserve"> __________ </v>
          </cell>
          <cell r="I24" t="str">
            <v xml:space="preserve"> __________ </v>
          </cell>
          <cell r="J24" t="str">
            <v xml:space="preserve"> __________ </v>
          </cell>
          <cell r="K24" t="str">
            <v xml:space="preserve"> __________ </v>
          </cell>
          <cell r="L24" t="str">
            <v xml:space="preserve"> __________ </v>
          </cell>
          <cell r="M24" t="str">
            <v xml:space="preserve"> __________</v>
          </cell>
        </row>
        <row r="25">
          <cell r="A25" t="str">
            <v xml:space="preserve">Potential Gross Revenue                      </v>
          </cell>
        </row>
        <row r="26">
          <cell r="A26" t="str">
            <v xml:space="preserve">Base Rental Revenue              </v>
          </cell>
          <cell r="B26"/>
          <cell r="C26">
            <v>356884</v>
          </cell>
          <cell r="D26">
            <v>356884</v>
          </cell>
          <cell r="E26">
            <v>358390</v>
          </cell>
          <cell r="F26">
            <v>384325</v>
          </cell>
          <cell r="G26">
            <v>384325</v>
          </cell>
          <cell r="H26">
            <v>384325</v>
          </cell>
          <cell r="I26">
            <v>384325</v>
          </cell>
          <cell r="J26">
            <v>384325</v>
          </cell>
          <cell r="K26">
            <v>430619</v>
          </cell>
          <cell r="L26">
            <v>434828</v>
          </cell>
          <cell r="M26">
            <v>434828</v>
          </cell>
        </row>
        <row r="27">
          <cell r="A27" t="str">
            <v xml:space="preserve">Absorption &amp; Turnover Vacancy    </v>
          </cell>
          <cell r="B27"/>
          <cell r="C27">
            <v>0</v>
          </cell>
          <cell r="D27">
            <v>0</v>
          </cell>
          <cell r="E27">
            <v>-31246</v>
          </cell>
          <cell r="F27">
            <v>-32027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-72471</v>
          </cell>
          <cell r="L27">
            <v>0</v>
          </cell>
          <cell r="M27">
            <v>0</v>
          </cell>
        </row>
        <row r="28">
          <cell r="A28"/>
          <cell r="B28"/>
          <cell r="C28" t="str">
            <v xml:space="preserve"> __________ </v>
          </cell>
          <cell r="D28" t="str">
            <v xml:space="preserve"> __________ </v>
          </cell>
          <cell r="E28" t="str">
            <v xml:space="preserve"> __________ </v>
          </cell>
          <cell r="F28" t="str">
            <v xml:space="preserve"> __________ </v>
          </cell>
          <cell r="G28" t="str">
            <v xml:space="preserve"> __________ </v>
          </cell>
          <cell r="H28" t="str">
            <v xml:space="preserve"> __________ </v>
          </cell>
          <cell r="I28" t="str">
            <v xml:space="preserve"> __________ </v>
          </cell>
          <cell r="J28" t="str">
            <v xml:space="preserve"> __________ </v>
          </cell>
          <cell r="K28" t="str">
            <v xml:space="preserve"> __________ </v>
          </cell>
          <cell r="L28" t="str">
            <v xml:space="preserve"> __________ </v>
          </cell>
          <cell r="M28" t="str">
            <v xml:space="preserve"> __________</v>
          </cell>
        </row>
        <row r="29">
          <cell r="A29" t="str">
            <v xml:space="preserve">Scheduled Base Rental Revenue    </v>
          </cell>
          <cell r="B29"/>
          <cell r="C29">
            <v>356884</v>
          </cell>
          <cell r="D29">
            <v>356884</v>
          </cell>
          <cell r="E29">
            <v>327144</v>
          </cell>
          <cell r="F29">
            <v>352298</v>
          </cell>
          <cell r="G29">
            <v>384325</v>
          </cell>
          <cell r="H29">
            <v>384325</v>
          </cell>
          <cell r="I29">
            <v>384325</v>
          </cell>
          <cell r="J29">
            <v>384325</v>
          </cell>
          <cell r="K29">
            <v>358148</v>
          </cell>
          <cell r="L29">
            <v>434828</v>
          </cell>
          <cell r="M29">
            <v>434828</v>
          </cell>
        </row>
        <row r="31">
          <cell r="A31" t="str">
            <v xml:space="preserve">Expense Reimbursement Revenue      </v>
          </cell>
        </row>
        <row r="32">
          <cell r="A32" t="str">
            <v xml:space="preserve">Operating Cost                   </v>
          </cell>
          <cell r="B32"/>
          <cell r="C32">
            <v>159517</v>
          </cell>
          <cell r="D32">
            <v>163505</v>
          </cell>
          <cell r="E32">
            <v>153627</v>
          </cell>
          <cell r="F32">
            <v>157467</v>
          </cell>
          <cell r="G32">
            <v>176077</v>
          </cell>
          <cell r="H32">
            <v>180479</v>
          </cell>
          <cell r="I32">
            <v>184991</v>
          </cell>
          <cell r="J32">
            <v>189616</v>
          </cell>
          <cell r="K32">
            <v>161963</v>
          </cell>
          <cell r="L32">
            <v>199215</v>
          </cell>
          <cell r="M32">
            <v>204195</v>
          </cell>
        </row>
        <row r="33">
          <cell r="A33" t="str">
            <v xml:space="preserve">Realty Tax                       </v>
          </cell>
          <cell r="B33"/>
          <cell r="C33">
            <v>143400</v>
          </cell>
          <cell r="D33">
            <v>146985</v>
          </cell>
          <cell r="E33">
            <v>138105</v>
          </cell>
          <cell r="F33">
            <v>141557</v>
          </cell>
          <cell r="G33">
            <v>158287</v>
          </cell>
          <cell r="H33">
            <v>162244</v>
          </cell>
          <cell r="I33">
            <v>166300</v>
          </cell>
          <cell r="J33">
            <v>170458</v>
          </cell>
          <cell r="K33">
            <v>145599</v>
          </cell>
          <cell r="L33">
            <v>179087</v>
          </cell>
          <cell r="M33">
            <v>183564</v>
          </cell>
        </row>
        <row r="34">
          <cell r="A34" t="str">
            <v xml:space="preserve">Admin                            </v>
          </cell>
          <cell r="B34"/>
          <cell r="C34">
            <v>23257</v>
          </cell>
          <cell r="D34">
            <v>23525</v>
          </cell>
          <cell r="E34">
            <v>20583</v>
          </cell>
          <cell r="F34">
            <v>21660</v>
          </cell>
          <cell r="G34">
            <v>25334</v>
          </cell>
          <cell r="H34">
            <v>25629</v>
          </cell>
          <cell r="I34">
            <v>25932</v>
          </cell>
          <cell r="J34">
            <v>26243</v>
          </cell>
          <cell r="K34">
            <v>20073</v>
          </cell>
          <cell r="L34">
            <v>28663</v>
          </cell>
          <cell r="M34">
            <v>28997</v>
          </cell>
        </row>
        <row r="35">
          <cell r="A35"/>
          <cell r="B35"/>
          <cell r="C35" t="str">
            <v xml:space="preserve"> __________ </v>
          </cell>
          <cell r="D35" t="str">
            <v xml:space="preserve"> __________ </v>
          </cell>
          <cell r="E35" t="str">
            <v xml:space="preserve"> __________ </v>
          </cell>
          <cell r="F35" t="str">
            <v xml:space="preserve"> __________ </v>
          </cell>
          <cell r="G35" t="str">
            <v xml:space="preserve"> __________ </v>
          </cell>
          <cell r="H35" t="str">
            <v xml:space="preserve"> __________ </v>
          </cell>
          <cell r="I35" t="str">
            <v xml:space="preserve"> __________ </v>
          </cell>
          <cell r="J35" t="str">
            <v xml:space="preserve"> __________ </v>
          </cell>
          <cell r="K35" t="str">
            <v xml:space="preserve"> __________ </v>
          </cell>
          <cell r="L35" t="str">
            <v xml:space="preserve"> __________ </v>
          </cell>
          <cell r="M35" t="str">
            <v xml:space="preserve"> __________</v>
          </cell>
        </row>
        <row r="36">
          <cell r="A36" t="str">
            <v xml:space="preserve">Total Reimbursement Revenue      </v>
          </cell>
          <cell r="B36"/>
          <cell r="C36">
            <v>326174</v>
          </cell>
          <cell r="D36">
            <v>334015</v>
          </cell>
          <cell r="E36">
            <v>312315</v>
          </cell>
          <cell r="F36">
            <v>320684</v>
          </cell>
          <cell r="G36">
            <v>359698</v>
          </cell>
          <cell r="H36">
            <v>368352</v>
          </cell>
          <cell r="I36">
            <v>377223</v>
          </cell>
          <cell r="J36">
            <v>386317</v>
          </cell>
          <cell r="K36">
            <v>327635</v>
          </cell>
          <cell r="L36">
            <v>406965</v>
          </cell>
          <cell r="M36">
            <v>416756</v>
          </cell>
        </row>
        <row r="38">
          <cell r="A38" t="str">
            <v xml:space="preserve">other income                     </v>
          </cell>
          <cell r="B38"/>
          <cell r="C38">
            <v>2000</v>
          </cell>
          <cell r="D38">
            <v>2050</v>
          </cell>
          <cell r="E38">
            <v>2101</v>
          </cell>
          <cell r="F38">
            <v>2154</v>
          </cell>
          <cell r="G38">
            <v>2208</v>
          </cell>
          <cell r="H38">
            <v>2263</v>
          </cell>
          <cell r="I38">
            <v>2319</v>
          </cell>
          <cell r="J38">
            <v>2377</v>
          </cell>
          <cell r="K38">
            <v>2437</v>
          </cell>
          <cell r="L38">
            <v>2498</v>
          </cell>
          <cell r="M38">
            <v>2560</v>
          </cell>
        </row>
        <row r="39">
          <cell r="A39"/>
          <cell r="B39"/>
          <cell r="C39" t="str">
            <v xml:space="preserve"> __________ </v>
          </cell>
          <cell r="D39" t="str">
            <v xml:space="preserve"> __________ </v>
          </cell>
          <cell r="E39" t="str">
            <v xml:space="preserve"> __________ </v>
          </cell>
          <cell r="F39" t="str">
            <v xml:space="preserve"> __________ </v>
          </cell>
          <cell r="G39" t="str">
            <v xml:space="preserve"> __________ </v>
          </cell>
          <cell r="H39" t="str">
            <v xml:space="preserve"> __________ </v>
          </cell>
          <cell r="I39" t="str">
            <v xml:space="preserve"> __________ </v>
          </cell>
          <cell r="J39" t="str">
            <v xml:space="preserve"> __________ </v>
          </cell>
          <cell r="K39" t="str">
            <v xml:space="preserve"> __________ </v>
          </cell>
          <cell r="L39" t="str">
            <v xml:space="preserve"> __________ </v>
          </cell>
          <cell r="M39" t="str">
            <v xml:space="preserve"> __________</v>
          </cell>
        </row>
        <row r="40">
          <cell r="A40" t="str">
            <v xml:space="preserve">Total Potential Gross Revenue    </v>
          </cell>
          <cell r="B40"/>
          <cell r="C40">
            <v>685058</v>
          </cell>
          <cell r="D40">
            <v>692949</v>
          </cell>
          <cell r="E40">
            <v>641560</v>
          </cell>
          <cell r="F40">
            <v>675136</v>
          </cell>
          <cell r="G40">
            <v>746231</v>
          </cell>
          <cell r="H40">
            <v>754940</v>
          </cell>
          <cell r="I40">
            <v>763867</v>
          </cell>
          <cell r="J40">
            <v>773019</v>
          </cell>
          <cell r="K40">
            <v>688220</v>
          </cell>
          <cell r="L40">
            <v>844291</v>
          </cell>
          <cell r="M40">
            <v>854144</v>
          </cell>
        </row>
        <row r="41">
          <cell r="A41" t="str">
            <v xml:space="preserve">General Vacancy                  </v>
          </cell>
          <cell r="B41"/>
          <cell r="C41">
            <v>-20552</v>
          </cell>
          <cell r="D41">
            <v>-20788</v>
          </cell>
          <cell r="E41">
            <v>0</v>
          </cell>
          <cell r="F41">
            <v>0</v>
          </cell>
          <cell r="G41">
            <v>-22387</v>
          </cell>
          <cell r="H41">
            <v>-22648</v>
          </cell>
          <cell r="I41">
            <v>-22916</v>
          </cell>
          <cell r="J41">
            <v>-23191</v>
          </cell>
          <cell r="K41">
            <v>0</v>
          </cell>
          <cell r="L41">
            <v>-25329</v>
          </cell>
          <cell r="M41">
            <v>-25624</v>
          </cell>
        </row>
        <row r="42">
          <cell r="A42"/>
          <cell r="B42"/>
          <cell r="C42" t="str">
            <v xml:space="preserve"> __________ </v>
          </cell>
          <cell r="D42" t="str">
            <v xml:space="preserve"> __________ </v>
          </cell>
          <cell r="E42" t="str">
            <v xml:space="preserve"> __________ </v>
          </cell>
          <cell r="F42" t="str">
            <v xml:space="preserve"> __________ </v>
          </cell>
          <cell r="G42" t="str">
            <v xml:space="preserve"> __________ </v>
          </cell>
          <cell r="H42" t="str">
            <v xml:space="preserve"> __________ </v>
          </cell>
          <cell r="I42" t="str">
            <v xml:space="preserve"> __________ </v>
          </cell>
          <cell r="J42" t="str">
            <v xml:space="preserve"> __________ </v>
          </cell>
          <cell r="K42" t="str">
            <v xml:space="preserve"> __________ </v>
          </cell>
          <cell r="L42" t="str">
            <v xml:space="preserve"> __________ </v>
          </cell>
          <cell r="M42" t="str">
            <v xml:space="preserve"> __________</v>
          </cell>
        </row>
        <row r="43">
          <cell r="A43" t="str">
            <v xml:space="preserve">Effective Gross Revenue          </v>
          </cell>
          <cell r="B43"/>
          <cell r="C43">
            <v>664506</v>
          </cell>
          <cell r="D43">
            <v>672161</v>
          </cell>
          <cell r="E43">
            <v>641560</v>
          </cell>
          <cell r="F43">
            <v>675136</v>
          </cell>
          <cell r="G43">
            <v>723844</v>
          </cell>
          <cell r="H43">
            <v>732292</v>
          </cell>
          <cell r="I43">
            <v>740951</v>
          </cell>
          <cell r="J43">
            <v>749828</v>
          </cell>
          <cell r="K43">
            <v>688220</v>
          </cell>
          <cell r="L43">
            <v>818962</v>
          </cell>
          <cell r="M43">
            <v>828520</v>
          </cell>
        </row>
        <row r="44">
          <cell r="A44"/>
          <cell r="B44"/>
          <cell r="C44" t="str">
            <v xml:space="preserve"> __________ </v>
          </cell>
          <cell r="D44" t="str">
            <v xml:space="preserve"> __________ </v>
          </cell>
          <cell r="E44" t="str">
            <v xml:space="preserve"> __________ </v>
          </cell>
          <cell r="F44" t="str">
            <v xml:space="preserve"> __________ </v>
          </cell>
          <cell r="G44" t="str">
            <v xml:space="preserve"> __________ </v>
          </cell>
          <cell r="H44" t="str">
            <v xml:space="preserve"> __________ </v>
          </cell>
          <cell r="I44" t="str">
            <v xml:space="preserve"> __________ </v>
          </cell>
          <cell r="J44" t="str">
            <v xml:space="preserve"> __________ </v>
          </cell>
          <cell r="K44" t="str">
            <v xml:space="preserve"> __________ </v>
          </cell>
          <cell r="L44" t="str">
            <v xml:space="preserve"> __________ </v>
          </cell>
          <cell r="M44" t="str">
            <v xml:space="preserve"> __________</v>
          </cell>
        </row>
        <row r="45">
          <cell r="A45" t="str">
            <v xml:space="preserve">Operating Expenses                           </v>
          </cell>
        </row>
        <row r="46">
          <cell r="A46" t="str">
            <v xml:space="preserve">Operating Cost                   </v>
          </cell>
          <cell r="B46">
            <v>1</v>
          </cell>
          <cell r="C46">
            <v>159517</v>
          </cell>
          <cell r="D46">
            <v>163505</v>
          </cell>
          <cell r="E46">
            <v>167593</v>
          </cell>
          <cell r="F46">
            <v>171782</v>
          </cell>
          <cell r="G46">
            <v>176077</v>
          </cell>
          <cell r="H46">
            <v>180479</v>
          </cell>
          <cell r="I46">
            <v>184991</v>
          </cell>
          <cell r="J46">
            <v>189616</v>
          </cell>
          <cell r="K46">
            <v>194356</v>
          </cell>
          <cell r="L46">
            <v>199215</v>
          </cell>
          <cell r="M46">
            <v>204195</v>
          </cell>
        </row>
        <row r="47">
          <cell r="A47" t="str">
            <v xml:space="preserve">Realty Tax                       </v>
          </cell>
          <cell r="B47">
            <v>2</v>
          </cell>
          <cell r="C47">
            <v>143400</v>
          </cell>
          <cell r="D47">
            <v>146985</v>
          </cell>
          <cell r="E47">
            <v>150660</v>
          </cell>
          <cell r="F47">
            <v>154426</v>
          </cell>
          <cell r="G47">
            <v>158287</v>
          </cell>
          <cell r="H47">
            <v>162244</v>
          </cell>
          <cell r="I47">
            <v>166300</v>
          </cell>
          <cell r="J47">
            <v>170458</v>
          </cell>
          <cell r="K47">
            <v>174719</v>
          </cell>
          <cell r="L47">
            <v>179087</v>
          </cell>
          <cell r="M47">
            <v>183564</v>
          </cell>
        </row>
        <row r="48">
          <cell r="A48" t="str">
            <v xml:space="preserve">Managemnt Fee                    </v>
          </cell>
          <cell r="B48">
            <v>4</v>
          </cell>
          <cell r="C48">
            <v>23258</v>
          </cell>
          <cell r="D48">
            <v>23526</v>
          </cell>
          <cell r="E48">
            <v>22455</v>
          </cell>
          <cell r="F48">
            <v>23630</v>
          </cell>
          <cell r="G48">
            <v>25335</v>
          </cell>
          <cell r="H48">
            <v>25630</v>
          </cell>
          <cell r="I48">
            <v>25933</v>
          </cell>
          <cell r="J48">
            <v>26244</v>
          </cell>
          <cell r="K48">
            <v>24088</v>
          </cell>
          <cell r="L48">
            <v>28664</v>
          </cell>
          <cell r="M48">
            <v>28998</v>
          </cell>
        </row>
        <row r="49">
          <cell r="A49"/>
          <cell r="B49"/>
          <cell r="C49" t="str">
            <v xml:space="preserve"> __________ </v>
          </cell>
          <cell r="D49" t="str">
            <v xml:space="preserve"> __________ </v>
          </cell>
          <cell r="E49" t="str">
            <v xml:space="preserve"> __________ </v>
          </cell>
          <cell r="F49" t="str">
            <v xml:space="preserve"> __________ </v>
          </cell>
          <cell r="G49" t="str">
            <v xml:space="preserve"> __________ </v>
          </cell>
          <cell r="H49" t="str">
            <v xml:space="preserve"> __________ </v>
          </cell>
          <cell r="I49" t="str">
            <v xml:space="preserve"> __________ </v>
          </cell>
          <cell r="J49" t="str">
            <v xml:space="preserve"> __________ </v>
          </cell>
          <cell r="K49" t="str">
            <v xml:space="preserve"> __________ </v>
          </cell>
          <cell r="L49" t="str">
            <v xml:space="preserve"> __________ </v>
          </cell>
          <cell r="M49" t="str">
            <v xml:space="preserve"> __________</v>
          </cell>
        </row>
        <row r="50">
          <cell r="A50" t="str">
            <v xml:space="preserve">Total Operating Expenses         </v>
          </cell>
          <cell r="B50"/>
          <cell r="C50">
            <v>326175</v>
          </cell>
          <cell r="D50">
            <v>334016</v>
          </cell>
          <cell r="E50">
            <v>340708</v>
          </cell>
          <cell r="F50">
            <v>349838</v>
          </cell>
          <cell r="G50">
            <v>359699</v>
          </cell>
          <cell r="H50">
            <v>368353</v>
          </cell>
          <cell r="I50">
            <v>377224</v>
          </cell>
          <cell r="J50">
            <v>386318</v>
          </cell>
          <cell r="K50">
            <v>393163</v>
          </cell>
          <cell r="L50">
            <v>406966</v>
          </cell>
          <cell r="M50">
            <v>416757</v>
          </cell>
        </row>
        <row r="51">
          <cell r="A51"/>
          <cell r="B51"/>
          <cell r="C51" t="str">
            <v xml:space="preserve"> __________ </v>
          </cell>
          <cell r="D51" t="str">
            <v xml:space="preserve"> __________ </v>
          </cell>
          <cell r="E51" t="str">
            <v xml:space="preserve"> __________ </v>
          </cell>
          <cell r="F51" t="str">
            <v xml:space="preserve"> __________ </v>
          </cell>
          <cell r="G51" t="str">
            <v xml:space="preserve"> __________ </v>
          </cell>
          <cell r="H51" t="str">
            <v xml:space="preserve"> __________ </v>
          </cell>
          <cell r="I51" t="str">
            <v xml:space="preserve"> __________ </v>
          </cell>
          <cell r="J51" t="str">
            <v xml:space="preserve"> __________ </v>
          </cell>
          <cell r="K51" t="str">
            <v xml:space="preserve"> __________ </v>
          </cell>
          <cell r="L51" t="str">
            <v xml:space="preserve"> __________ </v>
          </cell>
          <cell r="M51" t="str">
            <v xml:space="preserve"> __________</v>
          </cell>
        </row>
        <row r="52">
          <cell r="A52" t="str">
            <v xml:space="preserve">Net Operating Income             </v>
          </cell>
          <cell r="B52"/>
          <cell r="C52">
            <v>338331</v>
          </cell>
          <cell r="D52">
            <v>338145</v>
          </cell>
          <cell r="E52">
            <v>300852</v>
          </cell>
          <cell r="F52">
            <v>325298</v>
          </cell>
          <cell r="G52">
            <v>364145</v>
          </cell>
          <cell r="H52">
            <v>363939</v>
          </cell>
          <cell r="I52">
            <v>363727</v>
          </cell>
          <cell r="J52">
            <v>363510</v>
          </cell>
          <cell r="K52">
            <v>295057</v>
          </cell>
          <cell r="L52">
            <v>411996</v>
          </cell>
          <cell r="M52">
            <v>411763</v>
          </cell>
        </row>
        <row r="53">
          <cell r="A53"/>
          <cell r="B53"/>
          <cell r="C53" t="str">
            <v xml:space="preserve"> __________ </v>
          </cell>
          <cell r="D53" t="str">
            <v xml:space="preserve"> __________ </v>
          </cell>
          <cell r="E53" t="str">
            <v xml:space="preserve"> __________ </v>
          </cell>
          <cell r="F53" t="str">
            <v xml:space="preserve"> __________ </v>
          </cell>
          <cell r="G53" t="str">
            <v xml:space="preserve"> __________ </v>
          </cell>
          <cell r="H53" t="str">
            <v xml:space="preserve"> __________ </v>
          </cell>
          <cell r="I53" t="str">
            <v xml:space="preserve"> __________ </v>
          </cell>
          <cell r="J53" t="str">
            <v xml:space="preserve"> __________ </v>
          </cell>
          <cell r="K53" t="str">
            <v xml:space="preserve"> __________ </v>
          </cell>
          <cell r="L53" t="str">
            <v xml:space="preserve"> __________ </v>
          </cell>
          <cell r="M53" t="str">
            <v xml:space="preserve"> __________</v>
          </cell>
        </row>
        <row r="54">
          <cell r="A54" t="str">
            <v xml:space="preserve">Leasing &amp; Capital Costs            </v>
          </cell>
        </row>
        <row r="55">
          <cell r="A55" t="str">
            <v xml:space="preserve">Tenant Improvements              </v>
          </cell>
          <cell r="B55"/>
          <cell r="C55">
            <v>0</v>
          </cell>
          <cell r="D55">
            <v>0</v>
          </cell>
          <cell r="E55">
            <v>0</v>
          </cell>
          <cell r="F55">
            <v>202775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229421</v>
          </cell>
          <cell r="L55">
            <v>0</v>
          </cell>
          <cell r="M55">
            <v>0</v>
          </cell>
        </row>
        <row r="56">
          <cell r="A56" t="str">
            <v xml:space="preserve">Leasing Commissions              </v>
          </cell>
          <cell r="B56"/>
          <cell r="C56">
            <v>0</v>
          </cell>
          <cell r="D56">
            <v>0</v>
          </cell>
          <cell r="E56">
            <v>0</v>
          </cell>
          <cell r="F56">
            <v>121665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137653</v>
          </cell>
          <cell r="L56">
            <v>0</v>
          </cell>
          <cell r="M56">
            <v>0</v>
          </cell>
        </row>
        <row r="57">
          <cell r="A57" t="str">
            <v xml:space="preserve">Structural Reserve               </v>
          </cell>
          <cell r="B57"/>
          <cell r="C57">
            <v>6645</v>
          </cell>
          <cell r="D57">
            <v>6722</v>
          </cell>
          <cell r="E57">
            <v>6416</v>
          </cell>
          <cell r="F57">
            <v>6751</v>
          </cell>
          <cell r="G57">
            <v>7238</v>
          </cell>
          <cell r="H57">
            <v>7323</v>
          </cell>
          <cell r="I57">
            <v>7410</v>
          </cell>
          <cell r="J57">
            <v>7498</v>
          </cell>
          <cell r="K57">
            <v>6882</v>
          </cell>
          <cell r="L57">
            <v>8190</v>
          </cell>
          <cell r="M57">
            <v>8285</v>
          </cell>
        </row>
        <row r="58">
          <cell r="A58"/>
          <cell r="B58"/>
          <cell r="C58" t="str">
            <v xml:space="preserve"> __________ </v>
          </cell>
          <cell r="D58" t="str">
            <v xml:space="preserve"> __________ </v>
          </cell>
          <cell r="E58" t="str">
            <v xml:space="preserve"> __________ </v>
          </cell>
          <cell r="F58" t="str">
            <v xml:space="preserve"> __________ </v>
          </cell>
          <cell r="G58" t="str">
            <v xml:space="preserve"> __________ </v>
          </cell>
          <cell r="H58" t="str">
            <v xml:space="preserve"> __________ </v>
          </cell>
          <cell r="I58" t="str">
            <v xml:space="preserve"> __________ </v>
          </cell>
          <cell r="J58" t="str">
            <v xml:space="preserve"> __________ </v>
          </cell>
          <cell r="K58" t="str">
            <v xml:space="preserve"> __________ </v>
          </cell>
          <cell r="L58" t="str">
            <v xml:space="preserve"> __________ </v>
          </cell>
          <cell r="M58" t="str">
            <v xml:space="preserve"> __________</v>
          </cell>
        </row>
        <row r="59">
          <cell r="A59" t="str">
            <v xml:space="preserve">Total Leasing &amp; Capital Costs    </v>
          </cell>
          <cell r="B59"/>
          <cell r="C59">
            <v>6645</v>
          </cell>
          <cell r="D59">
            <v>6722</v>
          </cell>
          <cell r="E59">
            <v>6416</v>
          </cell>
          <cell r="F59">
            <v>331191</v>
          </cell>
          <cell r="G59">
            <v>7238</v>
          </cell>
          <cell r="H59">
            <v>7323</v>
          </cell>
          <cell r="I59">
            <v>7410</v>
          </cell>
          <cell r="J59">
            <v>7498</v>
          </cell>
          <cell r="K59">
            <v>373956</v>
          </cell>
          <cell r="L59">
            <v>8190</v>
          </cell>
          <cell r="M59">
            <v>8285</v>
          </cell>
        </row>
        <row r="60">
          <cell r="A60"/>
          <cell r="B60"/>
          <cell r="C60" t="str">
            <v xml:space="preserve"> __________ </v>
          </cell>
          <cell r="D60" t="str">
            <v xml:space="preserve"> __________ </v>
          </cell>
          <cell r="E60" t="str">
            <v xml:space="preserve"> __________ </v>
          </cell>
          <cell r="F60" t="str">
            <v xml:space="preserve"> __________ </v>
          </cell>
          <cell r="G60" t="str">
            <v xml:space="preserve"> __________ </v>
          </cell>
          <cell r="H60" t="str">
            <v xml:space="preserve"> __________ </v>
          </cell>
          <cell r="I60" t="str">
            <v xml:space="preserve"> __________ </v>
          </cell>
          <cell r="J60" t="str">
            <v xml:space="preserve"> __________ </v>
          </cell>
          <cell r="K60" t="str">
            <v xml:space="preserve"> __________ </v>
          </cell>
          <cell r="L60" t="str">
            <v xml:space="preserve"> __________ </v>
          </cell>
          <cell r="M60" t="str">
            <v xml:space="preserve"> __________</v>
          </cell>
        </row>
        <row r="61">
          <cell r="A61" t="str">
            <v xml:space="preserve">Cash Flow Before Debt Service    </v>
          </cell>
          <cell r="B61"/>
          <cell r="C61">
            <v>331686</v>
          </cell>
          <cell r="D61">
            <v>331423</v>
          </cell>
          <cell r="E61">
            <v>294436</v>
          </cell>
          <cell r="F61">
            <v>-5893</v>
          </cell>
          <cell r="G61">
            <v>356907</v>
          </cell>
          <cell r="H61">
            <v>356616</v>
          </cell>
          <cell r="I61">
            <v>356317</v>
          </cell>
          <cell r="J61">
            <v>356012</v>
          </cell>
          <cell r="K61">
            <v>-78899</v>
          </cell>
          <cell r="L61">
            <v>403806</v>
          </cell>
          <cell r="M61">
            <v>403478</v>
          </cell>
        </row>
        <row r="62">
          <cell r="A62" t="str">
            <v xml:space="preserve">&amp; Taxes                          </v>
          </cell>
          <cell r="B62"/>
          <cell r="C62" t="str">
            <v xml:space="preserve"> ========== </v>
          </cell>
          <cell r="D62" t="str">
            <v xml:space="preserve"> ========== </v>
          </cell>
          <cell r="E62" t="str">
            <v xml:space="preserve"> ========== </v>
          </cell>
          <cell r="F62" t="str">
            <v xml:space="preserve"> ========== </v>
          </cell>
          <cell r="G62" t="str">
            <v xml:space="preserve"> ========== </v>
          </cell>
          <cell r="H62" t="str">
            <v xml:space="preserve"> ========== </v>
          </cell>
          <cell r="I62" t="str">
            <v xml:space="preserve"> ========== </v>
          </cell>
          <cell r="J62" t="str">
            <v xml:space="preserve"> ========== </v>
          </cell>
          <cell r="K62" t="str">
            <v xml:space="preserve"> ========== </v>
          </cell>
          <cell r="L62" t="str">
            <v xml:space="preserve"> ========== </v>
          </cell>
          <cell r="M62" t="str">
            <v xml:space="preserve"> ==========</v>
          </cell>
        </row>
        <row r="63">
          <cell r="A63" t="str">
            <v>_x001A_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ho 2 (Osprey 3B)"/>
      <sheetName val="Arbour (Coquitlam River)"/>
      <sheetName val="Corbeau (Dewdney)"/>
      <sheetName val="Gable (Edgar)"/>
      <sheetName val="Kew (Clayton West)"/>
      <sheetName val="Kingfisher (Osprey 3A)"/>
      <sheetName val="Osprey 3C Lots 9, 4, and 5"/>
      <sheetName val="Dominion"/>
      <sheetName val="Corbeau repor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Budget Rec"/>
      <sheetName val="2005 Actuals"/>
      <sheetName val="Amortization Schedule (2007)"/>
      <sheetName val="Amortization Schedule"/>
      <sheetName val="Cash Flow"/>
      <sheetName val="CF Summary"/>
      <sheetName val="DCF"/>
      <sheetName val="Financing CF "/>
      <sheetName val="Financing"/>
      <sheetName val="Mk-to-Mkt"/>
      <sheetName val="Expiration Schedule"/>
      <sheetName val="Tenant Profile"/>
      <sheetName val="Property Summary"/>
      <sheetName val="Charts"/>
      <sheetName val="Assumptions"/>
    </sheetNames>
    <sheetDataSet>
      <sheetData sheetId="0">
        <row r="6">
          <cell r="C6" t="str">
            <v>S:\PROJECTS-CURRENT\Duran\Fairness Models\Models 10 year Adjusted - leasing update\Argus</v>
          </cell>
        </row>
        <row r="7">
          <cell r="C7" t="str">
            <v>01. CHILLIWACK MALL (FA)</v>
          </cell>
        </row>
      </sheetData>
      <sheetData sheetId="1"/>
      <sheetData sheetId="2"/>
      <sheetData sheetId="3"/>
      <sheetData sheetId="4"/>
      <sheetData sheetId="5">
        <row r="14">
          <cell r="A14" t="str">
            <v>LineItem</v>
          </cell>
          <cell r="B14" t="str">
            <v>AcctCode</v>
          </cell>
          <cell r="C14">
            <v>1</v>
          </cell>
          <cell r="D14">
            <v>2</v>
          </cell>
          <cell r="E14">
            <v>3</v>
          </cell>
          <cell r="F14">
            <v>4</v>
          </cell>
          <cell r="G14">
            <v>5</v>
          </cell>
          <cell r="H14">
            <v>6</v>
          </cell>
          <cell r="I14">
            <v>7</v>
          </cell>
          <cell r="J14">
            <v>8</v>
          </cell>
          <cell r="K14">
            <v>9</v>
          </cell>
          <cell r="L14">
            <v>10</v>
          </cell>
          <cell r="M14">
            <v>11</v>
          </cell>
          <cell r="N14">
            <v>12</v>
          </cell>
          <cell r="O14">
            <v>13</v>
          </cell>
          <cell r="P14">
            <v>14</v>
          </cell>
          <cell r="Q14">
            <v>15</v>
          </cell>
          <cell r="R14">
            <v>16</v>
          </cell>
          <cell r="S14">
            <v>17</v>
          </cell>
          <cell r="T14">
            <v>18</v>
          </cell>
          <cell r="U14">
            <v>19</v>
          </cell>
          <cell r="V14">
            <v>20</v>
          </cell>
          <cell r="W14">
            <v>21</v>
          </cell>
        </row>
        <row r="15">
          <cell r="A15" t="str">
            <v xml:space="preserve">                                                                                                               SCHEDULE OF PROSPECTIVE CASH FLOW</v>
          </cell>
        </row>
        <row r="16">
          <cell r="A16" t="str">
            <v xml:space="preserve">                                                                                                  In Inflated Dollars for the Fiscal Year Beginning 1/1/2006</v>
          </cell>
        </row>
        <row r="17">
          <cell r="A17"/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</row>
        <row r="18">
          <cell r="A18"/>
          <cell r="B18"/>
          <cell r="C18" t="str">
            <v xml:space="preserve">    Year  2 </v>
          </cell>
          <cell r="D18" t="str">
            <v xml:space="preserve">    Year  3 </v>
          </cell>
          <cell r="E18" t="str">
            <v xml:space="preserve">    Year  4 </v>
          </cell>
          <cell r="F18" t="str">
            <v xml:space="preserve">    Year  5 </v>
          </cell>
          <cell r="G18" t="str">
            <v xml:space="preserve">    Year  6 </v>
          </cell>
          <cell r="H18" t="str">
            <v xml:space="preserve">    Year  7 </v>
          </cell>
          <cell r="I18" t="str">
            <v xml:space="preserve">    Year  8 </v>
          </cell>
          <cell r="J18" t="str">
            <v xml:space="preserve">    Year  9 </v>
          </cell>
          <cell r="K18" t="str">
            <v xml:space="preserve">    Year 10 </v>
          </cell>
          <cell r="L18" t="str">
            <v xml:space="preserve">    Year 11 </v>
          </cell>
          <cell r="M18" t="str">
            <v xml:space="preserve">    Year 12</v>
          </cell>
        </row>
        <row r="19">
          <cell r="A19" t="str">
            <v xml:space="preserve">For the Years Ending               </v>
          </cell>
          <cell r="B19" t="str">
            <v xml:space="preserve">   Acct Code</v>
          </cell>
          <cell r="C19" t="str">
            <v xml:space="preserve">   Dec-2007 </v>
          </cell>
          <cell r="D19" t="str">
            <v xml:space="preserve">   Dec-2008 </v>
          </cell>
          <cell r="E19" t="str">
            <v xml:space="preserve">   Dec-2009 </v>
          </cell>
          <cell r="F19" t="str">
            <v xml:space="preserve">   Dec-2010 </v>
          </cell>
          <cell r="G19" t="str">
            <v xml:space="preserve">   Dec-2011 </v>
          </cell>
          <cell r="H19" t="str">
            <v xml:space="preserve">   Dec-2012 </v>
          </cell>
          <cell r="I19" t="str">
            <v xml:space="preserve">   Dec-2013 </v>
          </cell>
          <cell r="J19" t="str">
            <v xml:space="preserve">   Dec-2014 </v>
          </cell>
          <cell r="K19" t="str">
            <v xml:space="preserve">   Dec-2015 </v>
          </cell>
          <cell r="L19" t="str">
            <v xml:space="preserve">   Dec-2016 </v>
          </cell>
          <cell r="M19" t="str">
            <v xml:space="preserve">   Dec-2017</v>
          </cell>
        </row>
        <row r="20">
          <cell r="A20"/>
          <cell r="B20" t="str">
            <v>____________</v>
          </cell>
          <cell r="C20" t="str">
            <v xml:space="preserve"> __________ </v>
          </cell>
          <cell r="D20" t="str">
            <v xml:space="preserve"> __________ </v>
          </cell>
          <cell r="E20" t="str">
            <v xml:space="preserve"> __________ </v>
          </cell>
          <cell r="F20" t="str">
            <v xml:space="preserve"> __________ </v>
          </cell>
          <cell r="G20" t="str">
            <v xml:space="preserve"> __________ </v>
          </cell>
          <cell r="H20" t="str">
            <v xml:space="preserve"> __________ </v>
          </cell>
          <cell r="I20" t="str">
            <v xml:space="preserve"> __________ </v>
          </cell>
          <cell r="J20" t="str">
            <v xml:space="preserve"> __________ </v>
          </cell>
          <cell r="K20" t="str">
            <v xml:space="preserve"> __________ </v>
          </cell>
          <cell r="L20" t="str">
            <v xml:space="preserve"> __________ </v>
          </cell>
          <cell r="M20" t="str">
            <v xml:space="preserve"> __________</v>
          </cell>
        </row>
        <row r="21">
          <cell r="A21" t="str">
            <v xml:space="preserve">Potential Gross Revenue                        </v>
          </cell>
        </row>
        <row r="22">
          <cell r="A22" t="str">
            <v xml:space="preserve">Base Rental Revenue                </v>
          </cell>
          <cell r="B22"/>
          <cell r="C22">
            <v>1526635</v>
          </cell>
          <cell r="D22">
            <v>1535894</v>
          </cell>
          <cell r="E22">
            <v>1571947</v>
          </cell>
          <cell r="F22">
            <v>1551010</v>
          </cell>
          <cell r="G22">
            <v>1572187</v>
          </cell>
          <cell r="H22">
            <v>1587853</v>
          </cell>
          <cell r="I22">
            <v>1600541</v>
          </cell>
          <cell r="J22">
            <v>1652941</v>
          </cell>
          <cell r="K22">
            <v>1663228</v>
          </cell>
          <cell r="L22">
            <v>1684726</v>
          </cell>
          <cell r="M22">
            <v>1714596</v>
          </cell>
        </row>
        <row r="23">
          <cell r="A23" t="str">
            <v xml:space="preserve">Absorption &amp; Turnover Vacancy      </v>
          </cell>
          <cell r="B23"/>
          <cell r="C23">
            <v>-73139</v>
          </cell>
          <cell r="D23">
            <v>-24696</v>
          </cell>
          <cell r="E23">
            <v>-12268</v>
          </cell>
          <cell r="F23">
            <v>-3808</v>
          </cell>
          <cell r="G23">
            <v>-8934</v>
          </cell>
          <cell r="H23">
            <v>-22632</v>
          </cell>
          <cell r="I23">
            <v>-7185</v>
          </cell>
          <cell r="J23">
            <v>-13544</v>
          </cell>
          <cell r="K23">
            <v>-4205</v>
          </cell>
          <cell r="L23">
            <v>-18889</v>
          </cell>
          <cell r="M23">
            <v>-23562</v>
          </cell>
        </row>
        <row r="24">
          <cell r="A24" t="str">
            <v xml:space="preserve">Free Rent Allowances               </v>
          </cell>
          <cell r="B24"/>
          <cell r="C24">
            <v>-8272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/>
          <cell r="B25"/>
          <cell r="C25" t="str">
            <v xml:space="preserve"> __________ </v>
          </cell>
          <cell r="D25" t="str">
            <v xml:space="preserve"> __________ </v>
          </cell>
          <cell r="E25" t="str">
            <v xml:space="preserve"> __________ </v>
          </cell>
          <cell r="F25" t="str">
            <v xml:space="preserve"> __________ </v>
          </cell>
          <cell r="G25" t="str">
            <v xml:space="preserve"> __________ </v>
          </cell>
          <cell r="H25" t="str">
            <v xml:space="preserve"> __________ </v>
          </cell>
          <cell r="I25" t="str">
            <v xml:space="preserve"> __________ </v>
          </cell>
          <cell r="J25" t="str">
            <v xml:space="preserve"> __________ </v>
          </cell>
          <cell r="K25" t="str">
            <v xml:space="preserve"> __________ </v>
          </cell>
          <cell r="L25" t="str">
            <v xml:space="preserve"> __________ </v>
          </cell>
          <cell r="M25" t="str">
            <v xml:space="preserve"> __________</v>
          </cell>
        </row>
        <row r="26">
          <cell r="A26" t="str">
            <v xml:space="preserve">Scheduled Base Rental Revenue      </v>
          </cell>
          <cell r="B26"/>
          <cell r="C26">
            <v>1445224</v>
          </cell>
          <cell r="D26">
            <v>1511198</v>
          </cell>
          <cell r="E26">
            <v>1559679</v>
          </cell>
          <cell r="F26">
            <v>1547202</v>
          </cell>
          <cell r="G26">
            <v>1563253</v>
          </cell>
          <cell r="H26">
            <v>1565221</v>
          </cell>
          <cell r="I26">
            <v>1593356</v>
          </cell>
          <cell r="J26">
            <v>1639397</v>
          </cell>
          <cell r="K26">
            <v>1659023</v>
          </cell>
          <cell r="L26">
            <v>1665837</v>
          </cell>
          <cell r="M26">
            <v>1691034</v>
          </cell>
        </row>
        <row r="27">
          <cell r="A27" t="str">
            <v xml:space="preserve">Retail Sales Percent Revenue       </v>
          </cell>
          <cell r="B27"/>
          <cell r="C27">
            <v>891</v>
          </cell>
          <cell r="D27">
            <v>1120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194</v>
          </cell>
        </row>
        <row r="29">
          <cell r="A29" t="str">
            <v xml:space="preserve">Recoveries                           </v>
          </cell>
        </row>
        <row r="30">
          <cell r="A30" t="str">
            <v xml:space="preserve">CAM                                </v>
          </cell>
          <cell r="B30"/>
          <cell r="C30">
            <v>289865</v>
          </cell>
          <cell r="D30">
            <v>317765</v>
          </cell>
          <cell r="E30">
            <v>332036</v>
          </cell>
          <cell r="F30">
            <v>343033</v>
          </cell>
          <cell r="G30">
            <v>344489</v>
          </cell>
          <cell r="H30">
            <v>344899</v>
          </cell>
          <cell r="I30">
            <v>360432</v>
          </cell>
          <cell r="J30">
            <v>363909</v>
          </cell>
          <cell r="K30">
            <v>376000</v>
          </cell>
          <cell r="L30">
            <v>377849</v>
          </cell>
          <cell r="M30">
            <v>381241</v>
          </cell>
        </row>
        <row r="31">
          <cell r="A31" t="str">
            <v xml:space="preserve">CAM Safeway                        </v>
          </cell>
          <cell r="B31"/>
          <cell r="C31">
            <v>97464</v>
          </cell>
          <cell r="D31">
            <v>99413</v>
          </cell>
          <cell r="E31">
            <v>101402</v>
          </cell>
          <cell r="F31">
            <v>103430</v>
          </cell>
          <cell r="G31">
            <v>105498</v>
          </cell>
          <cell r="H31">
            <v>107608</v>
          </cell>
          <cell r="I31">
            <v>109760</v>
          </cell>
          <cell r="J31">
            <v>111956</v>
          </cell>
          <cell r="K31">
            <v>114195</v>
          </cell>
          <cell r="L31">
            <v>116478</v>
          </cell>
          <cell r="M31">
            <v>118808</v>
          </cell>
        </row>
        <row r="32">
          <cell r="A32" t="str">
            <v xml:space="preserve">CAM Walmart                        </v>
          </cell>
          <cell r="B32"/>
          <cell r="C32">
            <v>35882</v>
          </cell>
          <cell r="D32">
            <v>36599</v>
          </cell>
          <cell r="E32">
            <v>37331</v>
          </cell>
          <cell r="F32">
            <v>38078</v>
          </cell>
          <cell r="G32">
            <v>38839</v>
          </cell>
          <cell r="H32">
            <v>39616</v>
          </cell>
          <cell r="I32">
            <v>40408</v>
          </cell>
          <cell r="J32">
            <v>41217</v>
          </cell>
          <cell r="K32">
            <v>42041</v>
          </cell>
          <cell r="L32">
            <v>42882</v>
          </cell>
          <cell r="M32">
            <v>43739</v>
          </cell>
        </row>
        <row r="33">
          <cell r="A33" t="str">
            <v xml:space="preserve">CAM Security                       </v>
          </cell>
          <cell r="B33"/>
          <cell r="C33">
            <v>6105</v>
          </cell>
          <cell r="D33">
            <v>6754</v>
          </cell>
          <cell r="E33">
            <v>7083</v>
          </cell>
          <cell r="F33">
            <v>7326</v>
          </cell>
          <cell r="G33">
            <v>8190</v>
          </cell>
          <cell r="H33">
            <v>8278</v>
          </cell>
          <cell r="I33">
            <v>8653</v>
          </cell>
          <cell r="J33">
            <v>8735</v>
          </cell>
          <cell r="K33">
            <v>9025</v>
          </cell>
          <cell r="L33">
            <v>9074</v>
          </cell>
          <cell r="M33">
            <v>9150</v>
          </cell>
        </row>
        <row r="34">
          <cell r="A34" t="str">
            <v xml:space="preserve">CAM Cleaning                       </v>
          </cell>
          <cell r="B34"/>
          <cell r="C34">
            <v>13282</v>
          </cell>
          <cell r="D34">
            <v>14697</v>
          </cell>
          <cell r="E34">
            <v>15405</v>
          </cell>
          <cell r="F34">
            <v>15941</v>
          </cell>
          <cell r="G34">
            <v>17826</v>
          </cell>
          <cell r="H34">
            <v>18012</v>
          </cell>
          <cell r="I34">
            <v>18822</v>
          </cell>
          <cell r="J34">
            <v>19002</v>
          </cell>
          <cell r="K34">
            <v>19637</v>
          </cell>
          <cell r="L34">
            <v>19733</v>
          </cell>
          <cell r="M34">
            <v>19912</v>
          </cell>
        </row>
        <row r="35">
          <cell r="A35" t="str">
            <v xml:space="preserve">CAM Insurance                      </v>
          </cell>
          <cell r="B35"/>
          <cell r="C35">
            <v>11448</v>
          </cell>
          <cell r="D35">
            <v>12672</v>
          </cell>
          <cell r="E35">
            <v>13282</v>
          </cell>
          <cell r="F35">
            <v>13743</v>
          </cell>
          <cell r="G35">
            <v>15364</v>
          </cell>
          <cell r="H35">
            <v>15531</v>
          </cell>
          <cell r="I35">
            <v>16229</v>
          </cell>
          <cell r="J35">
            <v>16383</v>
          </cell>
          <cell r="K35">
            <v>16927</v>
          </cell>
          <cell r="L35">
            <v>17014</v>
          </cell>
          <cell r="M35">
            <v>17165</v>
          </cell>
        </row>
        <row r="36">
          <cell r="A36" t="str">
            <v xml:space="preserve">CAM Garbage                        </v>
          </cell>
          <cell r="B36"/>
          <cell r="C36">
            <v>8805</v>
          </cell>
          <cell r="D36">
            <v>9750</v>
          </cell>
          <cell r="E36">
            <v>10217</v>
          </cell>
          <cell r="F36">
            <v>10571</v>
          </cell>
          <cell r="G36">
            <v>11813</v>
          </cell>
          <cell r="H36">
            <v>11943</v>
          </cell>
          <cell r="I36">
            <v>12479</v>
          </cell>
          <cell r="J36">
            <v>12600</v>
          </cell>
          <cell r="K36">
            <v>13018</v>
          </cell>
          <cell r="L36">
            <v>13081</v>
          </cell>
          <cell r="M36">
            <v>13198</v>
          </cell>
        </row>
        <row r="37">
          <cell r="A37" t="str">
            <v xml:space="preserve">Amortization                       </v>
          </cell>
          <cell r="B37"/>
          <cell r="C37">
            <v>6563</v>
          </cell>
          <cell r="D37">
            <v>7120</v>
          </cell>
          <cell r="E37">
            <v>6773</v>
          </cell>
          <cell r="F37">
            <v>5206</v>
          </cell>
          <cell r="G37">
            <v>5706</v>
          </cell>
          <cell r="H37">
            <v>5653</v>
          </cell>
          <cell r="I37">
            <v>5476</v>
          </cell>
          <cell r="J37">
            <v>4480</v>
          </cell>
          <cell r="K37">
            <v>3405</v>
          </cell>
          <cell r="L37">
            <v>0</v>
          </cell>
          <cell r="M37">
            <v>0</v>
          </cell>
        </row>
        <row r="38">
          <cell r="A38" t="str">
            <v xml:space="preserve">Amortization 2006                  </v>
          </cell>
          <cell r="B38"/>
          <cell r="C38">
            <v>15107</v>
          </cell>
          <cell r="D38">
            <v>16392</v>
          </cell>
          <cell r="E38">
            <v>16841</v>
          </cell>
          <cell r="F38">
            <v>17085</v>
          </cell>
          <cell r="G38">
            <v>14712</v>
          </cell>
          <cell r="H38">
            <v>13256</v>
          </cell>
          <cell r="I38">
            <v>13582</v>
          </cell>
          <cell r="J38">
            <v>13443</v>
          </cell>
          <cell r="K38">
            <v>13619</v>
          </cell>
          <cell r="L38">
            <v>13416</v>
          </cell>
          <cell r="M38">
            <v>13271</v>
          </cell>
        </row>
        <row r="39">
          <cell r="A39" t="str">
            <v xml:space="preserve">Amortization 2007+                 </v>
          </cell>
          <cell r="B39"/>
          <cell r="C39">
            <v>10548</v>
          </cell>
          <cell r="D39">
            <v>26798</v>
          </cell>
          <cell r="E39">
            <v>36092</v>
          </cell>
          <cell r="F39">
            <v>37834</v>
          </cell>
          <cell r="G39">
            <v>41467</v>
          </cell>
          <cell r="H39">
            <v>41086</v>
          </cell>
          <cell r="I39">
            <v>42092</v>
          </cell>
          <cell r="J39">
            <v>38684</v>
          </cell>
          <cell r="K39">
            <v>37671</v>
          </cell>
          <cell r="L39">
            <v>0</v>
          </cell>
          <cell r="M39">
            <v>0</v>
          </cell>
        </row>
        <row r="40">
          <cell r="A40" t="str">
            <v xml:space="preserve">Admin Fee (15%)                    </v>
          </cell>
          <cell r="B40"/>
          <cell r="C40">
            <v>54536</v>
          </cell>
          <cell r="D40">
            <v>60833</v>
          </cell>
          <cell r="E40">
            <v>64225</v>
          </cell>
          <cell r="F40">
            <v>65902</v>
          </cell>
          <cell r="G40">
            <v>70800</v>
          </cell>
          <cell r="H40">
            <v>71367</v>
          </cell>
          <cell r="I40">
            <v>73798</v>
          </cell>
          <cell r="J40">
            <v>73970</v>
          </cell>
          <cell r="K40">
            <v>75561</v>
          </cell>
          <cell r="L40">
            <v>70050</v>
          </cell>
          <cell r="M40">
            <v>70904</v>
          </cell>
        </row>
        <row r="41">
          <cell r="A41" t="str">
            <v xml:space="preserve">Realty Tax                         </v>
          </cell>
          <cell r="B41"/>
          <cell r="C41">
            <v>273262</v>
          </cell>
          <cell r="D41">
            <v>287942</v>
          </cell>
          <cell r="E41">
            <v>296994</v>
          </cell>
          <cell r="F41">
            <v>304754</v>
          </cell>
          <cell r="G41">
            <v>323310</v>
          </cell>
          <cell r="H41">
            <v>328441</v>
          </cell>
          <cell r="I41">
            <v>338603</v>
          </cell>
          <cell r="J41">
            <v>343825</v>
          </cell>
          <cell r="K41">
            <v>352708</v>
          </cell>
          <cell r="L41">
            <v>356456</v>
          </cell>
          <cell r="M41">
            <v>362809</v>
          </cell>
        </row>
        <row r="42">
          <cell r="A42"/>
          <cell r="B42"/>
          <cell r="C42" t="str">
            <v xml:space="preserve"> __________ </v>
          </cell>
          <cell r="D42" t="str">
            <v xml:space="preserve"> __________ </v>
          </cell>
          <cell r="E42" t="str">
            <v xml:space="preserve"> __________ </v>
          </cell>
          <cell r="F42" t="str">
            <v xml:space="preserve"> __________ </v>
          </cell>
          <cell r="G42" t="str">
            <v xml:space="preserve"> __________ </v>
          </cell>
          <cell r="H42" t="str">
            <v xml:space="preserve"> __________ </v>
          </cell>
          <cell r="I42" t="str">
            <v xml:space="preserve"> __________ </v>
          </cell>
          <cell r="J42" t="str">
            <v xml:space="preserve"> __________ </v>
          </cell>
          <cell r="K42" t="str">
            <v xml:space="preserve"> __________ </v>
          </cell>
          <cell r="L42" t="str">
            <v xml:space="preserve"> __________ </v>
          </cell>
          <cell r="M42" t="str">
            <v xml:space="preserve"> __________</v>
          </cell>
        </row>
        <row r="43">
          <cell r="A43" t="str">
            <v xml:space="preserve">Total Recoveries                   </v>
          </cell>
          <cell r="B43"/>
          <cell r="C43">
            <v>822867</v>
          </cell>
          <cell r="D43">
            <v>896735</v>
          </cell>
          <cell r="E43">
            <v>937681</v>
          </cell>
          <cell r="F43">
            <v>962903</v>
          </cell>
          <cell r="G43">
            <v>998014</v>
          </cell>
          <cell r="H43">
            <v>1005690</v>
          </cell>
          <cell r="I43">
            <v>1040334</v>
          </cell>
          <cell r="J43">
            <v>1048204</v>
          </cell>
          <cell r="K43">
            <v>1073807</v>
          </cell>
          <cell r="L43">
            <v>1036033</v>
          </cell>
          <cell r="M43">
            <v>1050197</v>
          </cell>
        </row>
        <row r="45">
          <cell r="A45" t="str">
            <v xml:space="preserve">Interest Earned                    </v>
          </cell>
          <cell r="B45"/>
          <cell r="C45">
            <v>6120</v>
          </cell>
          <cell r="D45">
            <v>6242</v>
          </cell>
          <cell r="E45">
            <v>6367</v>
          </cell>
          <cell r="F45">
            <v>6495</v>
          </cell>
          <cell r="G45">
            <v>6624</v>
          </cell>
          <cell r="H45">
            <v>6757</v>
          </cell>
          <cell r="I45">
            <v>6892</v>
          </cell>
          <cell r="J45">
            <v>7030</v>
          </cell>
          <cell r="K45">
            <v>7171</v>
          </cell>
          <cell r="L45">
            <v>7314</v>
          </cell>
          <cell r="M45">
            <v>7460</v>
          </cell>
        </row>
        <row r="46">
          <cell r="A46" t="str">
            <v xml:space="preserve">Sign                               </v>
          </cell>
          <cell r="B46"/>
          <cell r="C46">
            <v>13464</v>
          </cell>
          <cell r="D46">
            <v>13733</v>
          </cell>
          <cell r="E46">
            <v>14008</v>
          </cell>
          <cell r="F46">
            <v>14288</v>
          </cell>
          <cell r="G46">
            <v>14574</v>
          </cell>
          <cell r="H46">
            <v>14865</v>
          </cell>
          <cell r="I46">
            <v>15163</v>
          </cell>
          <cell r="J46">
            <v>15466</v>
          </cell>
          <cell r="K46">
            <v>15775</v>
          </cell>
          <cell r="L46">
            <v>16091</v>
          </cell>
          <cell r="M46">
            <v>16413</v>
          </cell>
        </row>
        <row r="47">
          <cell r="A47" t="str">
            <v xml:space="preserve">Coin Machine                       </v>
          </cell>
          <cell r="B47"/>
          <cell r="C47">
            <v>14178</v>
          </cell>
          <cell r="D47">
            <v>14462</v>
          </cell>
          <cell r="E47">
            <v>14751</v>
          </cell>
          <cell r="F47">
            <v>15046</v>
          </cell>
          <cell r="G47">
            <v>15347</v>
          </cell>
          <cell r="H47">
            <v>15654</v>
          </cell>
          <cell r="I47">
            <v>15967</v>
          </cell>
          <cell r="J47">
            <v>16286</v>
          </cell>
          <cell r="K47">
            <v>16612</v>
          </cell>
          <cell r="L47">
            <v>16944</v>
          </cell>
          <cell r="M47">
            <v>17283</v>
          </cell>
        </row>
        <row r="48">
          <cell r="A48" t="str">
            <v xml:space="preserve">Other rental ops income            </v>
          </cell>
          <cell r="B48"/>
          <cell r="C48">
            <v>36465</v>
          </cell>
          <cell r="D48">
            <v>37194</v>
          </cell>
          <cell r="E48">
            <v>37938</v>
          </cell>
          <cell r="F48">
            <v>38697</v>
          </cell>
          <cell r="G48">
            <v>39471</v>
          </cell>
          <cell r="H48">
            <v>40260</v>
          </cell>
          <cell r="I48">
            <v>41066</v>
          </cell>
          <cell r="J48">
            <v>41887</v>
          </cell>
          <cell r="K48">
            <v>42725</v>
          </cell>
          <cell r="L48">
            <v>43579</v>
          </cell>
          <cell r="M48">
            <v>44451</v>
          </cell>
        </row>
        <row r="49">
          <cell r="A49"/>
          <cell r="B49"/>
          <cell r="C49" t="str">
            <v xml:space="preserve"> __________ </v>
          </cell>
          <cell r="D49" t="str">
            <v xml:space="preserve"> __________ </v>
          </cell>
          <cell r="E49" t="str">
            <v xml:space="preserve"> __________ </v>
          </cell>
          <cell r="F49" t="str">
            <v xml:space="preserve"> __________ </v>
          </cell>
          <cell r="G49" t="str">
            <v xml:space="preserve"> __________ </v>
          </cell>
          <cell r="H49" t="str">
            <v xml:space="preserve"> __________ </v>
          </cell>
          <cell r="I49" t="str">
            <v xml:space="preserve"> __________ </v>
          </cell>
          <cell r="J49" t="str">
            <v xml:space="preserve"> __________ </v>
          </cell>
          <cell r="K49" t="str">
            <v xml:space="preserve"> __________ </v>
          </cell>
          <cell r="L49" t="str">
            <v xml:space="preserve"> __________ </v>
          </cell>
          <cell r="M49" t="str">
            <v xml:space="preserve"> __________</v>
          </cell>
        </row>
        <row r="50">
          <cell r="A50" t="str">
            <v xml:space="preserve">Total Potential Gross Revenue      </v>
          </cell>
          <cell r="B50"/>
          <cell r="C50">
            <v>2339209</v>
          </cell>
          <cell r="D50">
            <v>2480684</v>
          </cell>
          <cell r="E50">
            <v>2570424</v>
          </cell>
          <cell r="F50">
            <v>2584631</v>
          </cell>
          <cell r="G50">
            <v>2637283</v>
          </cell>
          <cell r="H50">
            <v>2648447</v>
          </cell>
          <cell r="I50">
            <v>2712778</v>
          </cell>
          <cell r="J50">
            <v>2768270</v>
          </cell>
          <cell r="K50">
            <v>2815113</v>
          </cell>
          <cell r="L50">
            <v>2785798</v>
          </cell>
          <cell r="M50">
            <v>2827032</v>
          </cell>
        </row>
        <row r="51">
          <cell r="A51" t="str">
            <v xml:space="preserve">Vacancy &amp; Credit Losses            </v>
          </cell>
          <cell r="B51"/>
          <cell r="C51">
            <v>-43821</v>
          </cell>
          <cell r="D51">
            <v>-99338</v>
          </cell>
          <cell r="E51">
            <v>-116253</v>
          </cell>
          <cell r="F51">
            <v>-125424</v>
          </cell>
          <cell r="G51">
            <v>-122930</v>
          </cell>
          <cell r="H51">
            <v>-109790</v>
          </cell>
          <cell r="I51">
            <v>-128454</v>
          </cell>
          <cell r="J51">
            <v>-124870</v>
          </cell>
          <cell r="K51">
            <v>-136551</v>
          </cell>
          <cell r="L51">
            <v>-120401</v>
          </cell>
          <cell r="M51">
            <v>-117790</v>
          </cell>
        </row>
        <row r="52">
          <cell r="A52"/>
          <cell r="B52"/>
          <cell r="C52" t="str">
            <v xml:space="preserve"> __________ </v>
          </cell>
          <cell r="D52" t="str">
            <v xml:space="preserve"> __________ </v>
          </cell>
          <cell r="E52" t="str">
            <v xml:space="preserve"> __________ </v>
          </cell>
          <cell r="F52" t="str">
            <v xml:space="preserve"> __________ </v>
          </cell>
          <cell r="G52" t="str">
            <v xml:space="preserve"> __________ </v>
          </cell>
          <cell r="H52" t="str">
            <v xml:space="preserve"> __________ </v>
          </cell>
          <cell r="I52" t="str">
            <v xml:space="preserve"> __________ </v>
          </cell>
          <cell r="J52" t="str">
            <v xml:space="preserve"> __________ </v>
          </cell>
          <cell r="K52" t="str">
            <v xml:space="preserve"> __________ </v>
          </cell>
          <cell r="L52" t="str">
            <v xml:space="preserve"> __________ </v>
          </cell>
          <cell r="M52" t="str">
            <v xml:space="preserve"> __________</v>
          </cell>
        </row>
        <row r="53">
          <cell r="A53" t="str">
            <v xml:space="preserve">Effective Gross Revenue            </v>
          </cell>
          <cell r="B53"/>
          <cell r="C53">
            <v>2295388</v>
          </cell>
          <cell r="D53">
            <v>2381346</v>
          </cell>
          <cell r="E53">
            <v>2454171</v>
          </cell>
          <cell r="F53">
            <v>2459207</v>
          </cell>
          <cell r="G53">
            <v>2514353</v>
          </cell>
          <cell r="H53">
            <v>2538657</v>
          </cell>
          <cell r="I53">
            <v>2584324</v>
          </cell>
          <cell r="J53">
            <v>2643400</v>
          </cell>
          <cell r="K53">
            <v>2678562</v>
          </cell>
          <cell r="L53">
            <v>2665397</v>
          </cell>
          <cell r="M53">
            <v>2709242</v>
          </cell>
        </row>
        <row r="54">
          <cell r="A54"/>
          <cell r="B54"/>
          <cell r="C54" t="str">
            <v xml:space="preserve"> __________ </v>
          </cell>
          <cell r="D54" t="str">
            <v xml:space="preserve"> __________ </v>
          </cell>
          <cell r="E54" t="str">
            <v xml:space="preserve"> __________ </v>
          </cell>
          <cell r="F54" t="str">
            <v xml:space="preserve"> __________ </v>
          </cell>
          <cell r="G54" t="str">
            <v xml:space="preserve"> __________ </v>
          </cell>
          <cell r="H54" t="str">
            <v xml:space="preserve"> __________ </v>
          </cell>
          <cell r="I54" t="str">
            <v xml:space="preserve"> __________ </v>
          </cell>
          <cell r="J54" t="str">
            <v xml:space="preserve"> __________ </v>
          </cell>
          <cell r="K54" t="str">
            <v xml:space="preserve"> __________ </v>
          </cell>
          <cell r="L54" t="str">
            <v xml:space="preserve"> __________ </v>
          </cell>
          <cell r="M54" t="str">
            <v xml:space="preserve"> __________</v>
          </cell>
        </row>
        <row r="55">
          <cell r="A55" t="str">
            <v xml:space="preserve">Operating Expenses                             </v>
          </cell>
        </row>
        <row r="56">
          <cell r="A56" t="str">
            <v xml:space="preserve">CAM                                </v>
          </cell>
          <cell r="B56">
            <v>1</v>
          </cell>
          <cell r="C56">
            <v>353529</v>
          </cell>
          <cell r="D56">
            <v>360600</v>
          </cell>
          <cell r="E56">
            <v>367812</v>
          </cell>
          <cell r="F56">
            <v>375168</v>
          </cell>
          <cell r="G56">
            <v>382671</v>
          </cell>
          <cell r="H56">
            <v>390325</v>
          </cell>
          <cell r="I56">
            <v>398131</v>
          </cell>
          <cell r="J56">
            <v>406094</v>
          </cell>
          <cell r="K56">
            <v>414215</v>
          </cell>
          <cell r="L56">
            <v>422500</v>
          </cell>
          <cell r="M56">
            <v>430950</v>
          </cell>
        </row>
        <row r="57">
          <cell r="A57" t="str">
            <v xml:space="preserve">CAM Safeway                        </v>
          </cell>
          <cell r="B57">
            <v>1</v>
          </cell>
          <cell r="C57">
            <v>97464</v>
          </cell>
          <cell r="D57">
            <v>99413</v>
          </cell>
          <cell r="E57">
            <v>101402</v>
          </cell>
          <cell r="F57">
            <v>103430</v>
          </cell>
          <cell r="G57">
            <v>105498</v>
          </cell>
          <cell r="H57">
            <v>107608</v>
          </cell>
          <cell r="I57">
            <v>109760</v>
          </cell>
          <cell r="J57">
            <v>111956</v>
          </cell>
          <cell r="K57">
            <v>114195</v>
          </cell>
          <cell r="L57">
            <v>116479</v>
          </cell>
          <cell r="M57">
            <v>118808</v>
          </cell>
        </row>
        <row r="58">
          <cell r="A58" t="str">
            <v xml:space="preserve">CAM Walmart                        </v>
          </cell>
          <cell r="B58">
            <v>1</v>
          </cell>
          <cell r="C58">
            <v>35882</v>
          </cell>
          <cell r="D58">
            <v>36599</v>
          </cell>
          <cell r="E58">
            <v>37331</v>
          </cell>
          <cell r="F58">
            <v>38078</v>
          </cell>
          <cell r="G58">
            <v>38839</v>
          </cell>
          <cell r="H58">
            <v>39616</v>
          </cell>
          <cell r="I58">
            <v>40408</v>
          </cell>
          <cell r="J58">
            <v>41217</v>
          </cell>
          <cell r="K58">
            <v>42041</v>
          </cell>
          <cell r="L58">
            <v>42882</v>
          </cell>
          <cell r="M58">
            <v>43739</v>
          </cell>
        </row>
        <row r="59">
          <cell r="A59" t="str">
            <v xml:space="preserve">CAM Security                       </v>
          </cell>
          <cell r="B59">
            <v>1</v>
          </cell>
          <cell r="C59">
            <v>8486</v>
          </cell>
          <cell r="D59">
            <v>8656</v>
          </cell>
          <cell r="E59">
            <v>8829</v>
          </cell>
          <cell r="F59">
            <v>9006</v>
          </cell>
          <cell r="G59">
            <v>9186</v>
          </cell>
          <cell r="H59">
            <v>9370</v>
          </cell>
          <cell r="I59">
            <v>9557</v>
          </cell>
          <cell r="J59">
            <v>9748</v>
          </cell>
          <cell r="K59">
            <v>9943</v>
          </cell>
          <cell r="L59">
            <v>10142</v>
          </cell>
          <cell r="M59">
            <v>10345</v>
          </cell>
        </row>
        <row r="60">
          <cell r="A60" t="str">
            <v xml:space="preserve">CAM Cleaning                       </v>
          </cell>
          <cell r="B60">
            <v>1</v>
          </cell>
          <cell r="C60">
            <v>18462</v>
          </cell>
          <cell r="D60">
            <v>18831</v>
          </cell>
          <cell r="E60">
            <v>19208</v>
          </cell>
          <cell r="F60">
            <v>19592</v>
          </cell>
          <cell r="G60">
            <v>19984</v>
          </cell>
          <cell r="H60">
            <v>20384</v>
          </cell>
          <cell r="I60">
            <v>20791</v>
          </cell>
          <cell r="J60">
            <v>21207</v>
          </cell>
          <cell r="K60">
            <v>21631</v>
          </cell>
          <cell r="L60">
            <v>22064</v>
          </cell>
          <cell r="M60">
            <v>22505</v>
          </cell>
        </row>
        <row r="61">
          <cell r="A61" t="str">
            <v xml:space="preserve">CAM Insurance                      </v>
          </cell>
          <cell r="B61">
            <v>1</v>
          </cell>
          <cell r="C61">
            <v>15916</v>
          </cell>
          <cell r="D61">
            <v>16234</v>
          </cell>
          <cell r="E61">
            <v>16559</v>
          </cell>
          <cell r="F61">
            <v>16890</v>
          </cell>
          <cell r="G61">
            <v>17228</v>
          </cell>
          <cell r="H61">
            <v>17573</v>
          </cell>
          <cell r="I61">
            <v>17924</v>
          </cell>
          <cell r="J61">
            <v>18283</v>
          </cell>
          <cell r="K61">
            <v>18648</v>
          </cell>
          <cell r="L61">
            <v>19021</v>
          </cell>
          <cell r="M61">
            <v>19402</v>
          </cell>
        </row>
        <row r="62">
          <cell r="A62" t="str">
            <v xml:space="preserve">CAM Garbage                        </v>
          </cell>
          <cell r="B62">
            <v>1</v>
          </cell>
          <cell r="C62">
            <v>12240</v>
          </cell>
          <cell r="D62">
            <v>12485</v>
          </cell>
          <cell r="E62">
            <v>12734</v>
          </cell>
          <cell r="F62">
            <v>12989</v>
          </cell>
          <cell r="G62">
            <v>13249</v>
          </cell>
          <cell r="H62">
            <v>13514</v>
          </cell>
          <cell r="I62">
            <v>13784</v>
          </cell>
          <cell r="J62">
            <v>14060</v>
          </cell>
          <cell r="K62">
            <v>14341</v>
          </cell>
          <cell r="L62">
            <v>14628</v>
          </cell>
          <cell r="M62">
            <v>14920</v>
          </cell>
        </row>
        <row r="63">
          <cell r="A63" t="str">
            <v xml:space="preserve">Realty Tax                         </v>
          </cell>
          <cell r="B63">
            <v>2</v>
          </cell>
          <cell r="C63">
            <v>305174</v>
          </cell>
          <cell r="D63">
            <v>311277</v>
          </cell>
          <cell r="E63">
            <v>317503</v>
          </cell>
          <cell r="F63">
            <v>323853</v>
          </cell>
          <cell r="G63">
            <v>330330</v>
          </cell>
          <cell r="H63">
            <v>336937</v>
          </cell>
          <cell r="I63">
            <v>343675</v>
          </cell>
          <cell r="J63">
            <v>350549</v>
          </cell>
          <cell r="K63">
            <v>357560</v>
          </cell>
          <cell r="L63">
            <v>364711</v>
          </cell>
          <cell r="M63">
            <v>372005</v>
          </cell>
        </row>
        <row r="64">
          <cell r="A64" t="str">
            <v xml:space="preserve">Total Non Recov                    </v>
          </cell>
          <cell r="B64">
            <v>5</v>
          </cell>
          <cell r="C64">
            <v>12711</v>
          </cell>
          <cell r="D64">
            <v>12965</v>
          </cell>
          <cell r="E64">
            <v>13225</v>
          </cell>
          <cell r="F64">
            <v>13489</v>
          </cell>
          <cell r="G64">
            <v>13759</v>
          </cell>
          <cell r="H64">
            <v>14034</v>
          </cell>
          <cell r="I64">
            <v>14315</v>
          </cell>
          <cell r="J64">
            <v>14601</v>
          </cell>
          <cell r="K64">
            <v>14893</v>
          </cell>
          <cell r="L64">
            <v>15191</v>
          </cell>
          <cell r="M64">
            <v>15495</v>
          </cell>
        </row>
        <row r="65">
          <cell r="A65" t="str">
            <v xml:space="preserve">Management Fees                    </v>
          </cell>
          <cell r="B65">
            <v>4</v>
          </cell>
          <cell r="C65">
            <v>73452</v>
          </cell>
          <cell r="D65">
            <v>76203</v>
          </cell>
          <cell r="E65">
            <v>78533</v>
          </cell>
          <cell r="F65">
            <v>78695</v>
          </cell>
          <cell r="G65">
            <v>80459</v>
          </cell>
          <cell r="H65">
            <v>81237</v>
          </cell>
          <cell r="I65">
            <v>82698</v>
          </cell>
          <cell r="J65">
            <v>84589</v>
          </cell>
          <cell r="K65">
            <v>85714</v>
          </cell>
          <cell r="L65">
            <v>85293</v>
          </cell>
          <cell r="M65">
            <v>86696</v>
          </cell>
        </row>
        <row r="66">
          <cell r="A66"/>
          <cell r="B66"/>
          <cell r="C66" t="str">
            <v xml:space="preserve"> __________ </v>
          </cell>
          <cell r="D66" t="str">
            <v xml:space="preserve"> __________ </v>
          </cell>
          <cell r="E66" t="str">
            <v xml:space="preserve"> __________ </v>
          </cell>
          <cell r="F66" t="str">
            <v xml:space="preserve"> __________ </v>
          </cell>
          <cell r="G66" t="str">
            <v xml:space="preserve"> __________ </v>
          </cell>
          <cell r="H66" t="str">
            <v xml:space="preserve"> __________ </v>
          </cell>
          <cell r="I66" t="str">
            <v xml:space="preserve"> __________ </v>
          </cell>
          <cell r="J66" t="str">
            <v xml:space="preserve"> __________ </v>
          </cell>
          <cell r="K66" t="str">
            <v xml:space="preserve"> __________ </v>
          </cell>
          <cell r="L66" t="str">
            <v xml:space="preserve"> __________ </v>
          </cell>
          <cell r="M66" t="str">
            <v xml:space="preserve"> __________</v>
          </cell>
        </row>
        <row r="67">
          <cell r="A67" t="str">
            <v xml:space="preserve">Total Operating Expenses           </v>
          </cell>
          <cell r="B67"/>
          <cell r="C67">
            <v>933316</v>
          </cell>
          <cell r="D67">
            <v>953263</v>
          </cell>
          <cell r="E67">
            <v>973136</v>
          </cell>
          <cell r="F67">
            <v>991190</v>
          </cell>
          <cell r="G67">
            <v>1011203</v>
          </cell>
          <cell r="H67">
            <v>1030598</v>
          </cell>
          <cell r="I67">
            <v>1051043</v>
          </cell>
          <cell r="J67">
            <v>1072304</v>
          </cell>
          <cell r="K67">
            <v>1093181</v>
          </cell>
          <cell r="L67">
            <v>1112911</v>
          </cell>
          <cell r="M67">
            <v>1134865</v>
          </cell>
        </row>
        <row r="68">
          <cell r="A68"/>
          <cell r="B68"/>
          <cell r="C68" t="str">
            <v xml:space="preserve"> __________ </v>
          </cell>
          <cell r="D68" t="str">
            <v xml:space="preserve"> __________ </v>
          </cell>
          <cell r="E68" t="str">
            <v xml:space="preserve"> __________ </v>
          </cell>
          <cell r="F68" t="str">
            <v xml:space="preserve"> __________ </v>
          </cell>
          <cell r="G68" t="str">
            <v xml:space="preserve"> __________ </v>
          </cell>
          <cell r="H68" t="str">
            <v xml:space="preserve"> __________ </v>
          </cell>
          <cell r="I68" t="str">
            <v xml:space="preserve"> __________ </v>
          </cell>
          <cell r="J68" t="str">
            <v xml:space="preserve"> __________ </v>
          </cell>
          <cell r="K68" t="str">
            <v xml:space="preserve"> __________ </v>
          </cell>
          <cell r="L68" t="str">
            <v xml:space="preserve"> __________ </v>
          </cell>
          <cell r="M68" t="str">
            <v xml:space="preserve"> __________</v>
          </cell>
        </row>
        <row r="69">
          <cell r="A69" t="str">
            <v xml:space="preserve">Net Operating Income               </v>
          </cell>
          <cell r="B69"/>
          <cell r="C69">
            <v>1362072</v>
          </cell>
          <cell r="D69">
            <v>1428083</v>
          </cell>
          <cell r="E69">
            <v>1481035</v>
          </cell>
          <cell r="F69">
            <v>1468017</v>
          </cell>
          <cell r="G69">
            <v>1503150</v>
          </cell>
          <cell r="H69">
            <v>1508059</v>
          </cell>
          <cell r="I69">
            <v>1533281</v>
          </cell>
          <cell r="J69">
            <v>1571096</v>
          </cell>
          <cell r="K69">
            <v>1585381</v>
          </cell>
          <cell r="L69">
            <v>1552486</v>
          </cell>
          <cell r="M69">
            <v>1574377</v>
          </cell>
        </row>
        <row r="70">
          <cell r="A70"/>
          <cell r="B70"/>
          <cell r="C70" t="str">
            <v xml:space="preserve"> __________ </v>
          </cell>
          <cell r="D70" t="str">
            <v xml:space="preserve"> __________ </v>
          </cell>
          <cell r="E70" t="str">
            <v xml:space="preserve"> __________ </v>
          </cell>
          <cell r="F70" t="str">
            <v xml:space="preserve"> __________ </v>
          </cell>
          <cell r="G70" t="str">
            <v xml:space="preserve"> __________ </v>
          </cell>
          <cell r="H70" t="str">
            <v xml:space="preserve"> __________ </v>
          </cell>
          <cell r="I70" t="str">
            <v xml:space="preserve"> __________ </v>
          </cell>
          <cell r="J70" t="str">
            <v xml:space="preserve"> __________ </v>
          </cell>
          <cell r="K70" t="str">
            <v xml:space="preserve"> __________ </v>
          </cell>
          <cell r="L70" t="str">
            <v xml:space="preserve"> __________ </v>
          </cell>
          <cell r="M70" t="str">
            <v xml:space="preserve"> __________</v>
          </cell>
        </row>
        <row r="71">
          <cell r="A71" t="str">
            <v xml:space="preserve">Leasing &amp; Capital Costs              </v>
          </cell>
        </row>
        <row r="72">
          <cell r="A72" t="str">
            <v xml:space="preserve">Tenant Improvements                </v>
          </cell>
          <cell r="B72"/>
          <cell r="C72">
            <v>36986</v>
          </cell>
          <cell r="D72">
            <v>39370</v>
          </cell>
          <cell r="E72">
            <v>24923</v>
          </cell>
          <cell r="F72">
            <v>7188</v>
          </cell>
          <cell r="G72">
            <v>19063</v>
          </cell>
          <cell r="H72">
            <v>41941</v>
          </cell>
          <cell r="I72">
            <v>16659</v>
          </cell>
          <cell r="J72">
            <v>26448</v>
          </cell>
          <cell r="K72">
            <v>7780</v>
          </cell>
          <cell r="L72">
            <v>37688</v>
          </cell>
          <cell r="M72">
            <v>44324</v>
          </cell>
        </row>
        <row r="73">
          <cell r="A73" t="str">
            <v xml:space="preserve">Leasing Commissions                </v>
          </cell>
          <cell r="B73"/>
          <cell r="C73">
            <v>107720</v>
          </cell>
          <cell r="D73">
            <v>24335</v>
          </cell>
          <cell r="E73">
            <v>31153</v>
          </cell>
          <cell r="F73">
            <v>8985</v>
          </cell>
          <cell r="G73">
            <v>22674</v>
          </cell>
          <cell r="H73">
            <v>82250</v>
          </cell>
          <cell r="I73">
            <v>20824</v>
          </cell>
          <cell r="J73">
            <v>33060</v>
          </cell>
          <cell r="K73">
            <v>9725</v>
          </cell>
          <cell r="L73">
            <v>45812</v>
          </cell>
          <cell r="M73">
            <v>88331</v>
          </cell>
        </row>
        <row r="74">
          <cell r="A74" t="str">
            <v xml:space="preserve">Structural Reserve                 </v>
          </cell>
          <cell r="B74"/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26786</v>
          </cell>
          <cell r="L74">
            <v>26654</v>
          </cell>
          <cell r="M74">
            <v>27092</v>
          </cell>
        </row>
        <row r="75">
          <cell r="A75" t="str">
            <v xml:space="preserve">2006 Cap-X                         </v>
          </cell>
          <cell r="B75"/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 xml:space="preserve">2007+ Cap-X                        </v>
          </cell>
          <cell r="B76"/>
          <cell r="C76">
            <v>375000</v>
          </cell>
          <cell r="D76">
            <v>370000</v>
          </cell>
          <cell r="E76">
            <v>90000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 xml:space="preserve">LL Work                            </v>
          </cell>
          <cell r="B77"/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/>
          <cell r="B78"/>
          <cell r="C78" t="str">
            <v xml:space="preserve"> __________ </v>
          </cell>
          <cell r="D78" t="str">
            <v xml:space="preserve"> __________ </v>
          </cell>
          <cell r="E78" t="str">
            <v xml:space="preserve"> __________ </v>
          </cell>
          <cell r="F78" t="str">
            <v xml:space="preserve"> __________ </v>
          </cell>
          <cell r="G78" t="str">
            <v xml:space="preserve"> __________ </v>
          </cell>
          <cell r="H78" t="str">
            <v xml:space="preserve"> __________ </v>
          </cell>
          <cell r="I78" t="str">
            <v xml:space="preserve"> __________ </v>
          </cell>
          <cell r="J78" t="str">
            <v xml:space="preserve"> __________ </v>
          </cell>
          <cell r="K78" t="str">
            <v xml:space="preserve"> __________ </v>
          </cell>
          <cell r="L78" t="str">
            <v xml:space="preserve"> __________ </v>
          </cell>
          <cell r="M78" t="str">
            <v xml:space="preserve"> __________</v>
          </cell>
        </row>
        <row r="79">
          <cell r="A79" t="str">
            <v xml:space="preserve">Total Leasing &amp; Capital Costs      </v>
          </cell>
          <cell r="B79"/>
          <cell r="C79">
            <v>519706</v>
          </cell>
          <cell r="D79">
            <v>433705</v>
          </cell>
          <cell r="E79">
            <v>146076</v>
          </cell>
          <cell r="F79">
            <v>16173</v>
          </cell>
          <cell r="G79">
            <v>41737</v>
          </cell>
          <cell r="H79">
            <v>124191</v>
          </cell>
          <cell r="I79">
            <v>37483</v>
          </cell>
          <cell r="J79">
            <v>59508</v>
          </cell>
          <cell r="K79">
            <v>44291</v>
          </cell>
          <cell r="L79">
            <v>110154</v>
          </cell>
          <cell r="M79">
            <v>159747</v>
          </cell>
        </row>
        <row r="80">
          <cell r="A80"/>
          <cell r="B80"/>
          <cell r="C80" t="str">
            <v xml:space="preserve"> __________ </v>
          </cell>
          <cell r="D80" t="str">
            <v xml:space="preserve"> __________ </v>
          </cell>
          <cell r="E80" t="str">
            <v xml:space="preserve"> __________ </v>
          </cell>
          <cell r="F80" t="str">
            <v xml:space="preserve"> __________ </v>
          </cell>
          <cell r="G80" t="str">
            <v xml:space="preserve"> __________ </v>
          </cell>
          <cell r="H80" t="str">
            <v xml:space="preserve"> __________ </v>
          </cell>
          <cell r="I80" t="str">
            <v xml:space="preserve"> __________ </v>
          </cell>
          <cell r="J80" t="str">
            <v xml:space="preserve"> __________ </v>
          </cell>
          <cell r="K80" t="str">
            <v xml:space="preserve"> __________ </v>
          </cell>
          <cell r="L80" t="str">
            <v xml:space="preserve"> __________ </v>
          </cell>
          <cell r="M80" t="str">
            <v xml:space="preserve"> __________</v>
          </cell>
        </row>
        <row r="81">
          <cell r="A81" t="str">
            <v xml:space="preserve">Cash Flow Before Debt Service      </v>
          </cell>
          <cell r="B81"/>
          <cell r="C81">
            <v>842366</v>
          </cell>
          <cell r="D81">
            <v>994378</v>
          </cell>
          <cell r="E81">
            <v>1334959</v>
          </cell>
          <cell r="F81">
            <v>1451844</v>
          </cell>
          <cell r="G81">
            <v>1461413</v>
          </cell>
          <cell r="H81">
            <v>1383868</v>
          </cell>
          <cell r="I81">
            <v>1495798</v>
          </cell>
          <cell r="J81">
            <v>1511588</v>
          </cell>
          <cell r="K81">
            <v>1541090</v>
          </cell>
          <cell r="L81">
            <v>1442332</v>
          </cell>
          <cell r="M81">
            <v>1414630</v>
          </cell>
        </row>
        <row r="82">
          <cell r="A82" t="str">
            <v xml:space="preserve">&amp; Taxes                          </v>
          </cell>
          <cell r="B82"/>
          <cell r="C82" t="str">
            <v xml:space="preserve"> ========== </v>
          </cell>
          <cell r="D82" t="str">
            <v xml:space="preserve"> ========== </v>
          </cell>
          <cell r="E82" t="str">
            <v xml:space="preserve"> ========== </v>
          </cell>
          <cell r="F82" t="str">
            <v xml:space="preserve"> ========== </v>
          </cell>
          <cell r="G82" t="str">
            <v xml:space="preserve"> ========== </v>
          </cell>
          <cell r="H82" t="str">
            <v xml:space="preserve"> ========== </v>
          </cell>
          <cell r="I82" t="str">
            <v xml:space="preserve"> ========== </v>
          </cell>
          <cell r="J82" t="str">
            <v xml:space="preserve"> ========== </v>
          </cell>
          <cell r="K82" t="str">
            <v xml:space="preserve"> ========== </v>
          </cell>
          <cell r="L82" t="str">
            <v xml:space="preserve"> ========== </v>
          </cell>
          <cell r="M82" t="str">
            <v xml:space="preserve"> ==========</v>
          </cell>
        </row>
        <row r="83">
          <cell r="A83" t="str">
            <v>_x001A_</v>
          </cell>
        </row>
      </sheetData>
      <sheetData sheetId="6"/>
      <sheetData sheetId="7"/>
      <sheetData sheetId="8">
        <row r="7">
          <cell r="F7"/>
          <cell r="G7">
            <v>1</v>
          </cell>
          <cell r="H7">
            <v>2</v>
          </cell>
          <cell r="I7">
            <v>3</v>
          </cell>
          <cell r="J7">
            <v>4</v>
          </cell>
          <cell r="K7">
            <v>5</v>
          </cell>
          <cell r="L7">
            <v>6</v>
          </cell>
          <cell r="M7">
            <v>7</v>
          </cell>
          <cell r="N7">
            <v>8</v>
          </cell>
          <cell r="O7">
            <v>9</v>
          </cell>
          <cell r="P7">
            <v>10</v>
          </cell>
          <cell r="Q7">
            <v>11</v>
          </cell>
          <cell r="R7">
            <v>12</v>
          </cell>
          <cell r="S7">
            <v>13</v>
          </cell>
          <cell r="T7">
            <v>14</v>
          </cell>
          <cell r="U7">
            <v>15</v>
          </cell>
          <cell r="V7">
            <v>16</v>
          </cell>
          <cell r="W7">
            <v>17</v>
          </cell>
          <cell r="X7">
            <v>18</v>
          </cell>
          <cell r="Y7">
            <v>19</v>
          </cell>
          <cell r="Z7">
            <v>20</v>
          </cell>
          <cell r="AA7">
            <v>21</v>
          </cell>
        </row>
        <row r="8">
          <cell r="F8" t="str">
            <v>Year Ending</v>
          </cell>
          <cell r="G8">
            <v>39417</v>
          </cell>
          <cell r="H8">
            <v>39783</v>
          </cell>
          <cell r="I8">
            <v>40148</v>
          </cell>
          <cell r="J8">
            <v>40513</v>
          </cell>
          <cell r="K8">
            <v>40878</v>
          </cell>
          <cell r="L8">
            <v>41244</v>
          </cell>
          <cell r="M8">
            <v>41609</v>
          </cell>
          <cell r="N8">
            <v>41974</v>
          </cell>
          <cell r="O8">
            <v>42339</v>
          </cell>
          <cell r="P8">
            <v>42705</v>
          </cell>
          <cell r="Q8">
            <v>43070</v>
          </cell>
          <cell r="R8">
            <v>43435</v>
          </cell>
          <cell r="S8">
            <v>43800</v>
          </cell>
          <cell r="T8">
            <v>44166</v>
          </cell>
          <cell r="U8">
            <v>44531</v>
          </cell>
          <cell r="V8">
            <v>44896</v>
          </cell>
          <cell r="W8">
            <v>45261</v>
          </cell>
          <cell r="X8">
            <v>45627</v>
          </cell>
          <cell r="Y8">
            <v>45992</v>
          </cell>
          <cell r="Z8">
            <v>46357</v>
          </cell>
          <cell r="AA8">
            <v>46722</v>
          </cell>
          <cell r="AB8" t="str">
            <v>Hide Column</v>
          </cell>
        </row>
        <row r="9">
          <cell r="F9" t="str">
            <v>INCOME</v>
          </cell>
        </row>
        <row r="10">
          <cell r="F10" t="str">
            <v>Minimum Rent</v>
          </cell>
          <cell r="G10">
            <v>1526635</v>
          </cell>
          <cell r="H10">
            <v>1535894</v>
          </cell>
          <cell r="I10">
            <v>1571947</v>
          </cell>
          <cell r="J10">
            <v>1551010</v>
          </cell>
          <cell r="K10">
            <v>1572187</v>
          </cell>
          <cell r="L10">
            <v>1587853</v>
          </cell>
          <cell r="M10">
            <v>1600541</v>
          </cell>
          <cell r="N10">
            <v>1652941</v>
          </cell>
          <cell r="O10">
            <v>1663228</v>
          </cell>
          <cell r="P10">
            <v>1684726</v>
          </cell>
          <cell r="Q10">
            <v>1714596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17661558</v>
          </cell>
        </row>
        <row r="11">
          <cell r="F11" t="str">
            <v>Absorption/Turnover Vacancy</v>
          </cell>
          <cell r="G11">
            <v>-73139</v>
          </cell>
          <cell r="H11">
            <v>-24696</v>
          </cell>
          <cell r="I11">
            <v>-12268</v>
          </cell>
          <cell r="J11">
            <v>-3808</v>
          </cell>
          <cell r="K11">
            <v>-8934</v>
          </cell>
          <cell r="L11">
            <v>-22632</v>
          </cell>
          <cell r="M11">
            <v>-7185</v>
          </cell>
          <cell r="N11">
            <v>-13544</v>
          </cell>
          <cell r="O11">
            <v>-4205</v>
          </cell>
          <cell r="P11">
            <v>-18889</v>
          </cell>
          <cell r="Q11">
            <v>-23562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-212862</v>
          </cell>
        </row>
        <row r="12">
          <cell r="F12" t="str">
            <v>Base Rent Abatements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</row>
        <row r="13">
          <cell r="F13" t="str">
            <v>Base Rental Revenue</v>
          </cell>
          <cell r="G13">
            <v>1445224</v>
          </cell>
          <cell r="H13">
            <v>1511198</v>
          </cell>
          <cell r="I13">
            <v>1559679</v>
          </cell>
          <cell r="J13">
            <v>1547202</v>
          </cell>
          <cell r="K13">
            <v>1563253</v>
          </cell>
          <cell r="L13">
            <v>1565221</v>
          </cell>
          <cell r="M13">
            <v>1593356</v>
          </cell>
          <cell r="N13">
            <v>1639397</v>
          </cell>
          <cell r="O13">
            <v>1659023</v>
          </cell>
          <cell r="P13">
            <v>1665837</v>
          </cell>
          <cell r="Q13">
            <v>1691034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1</v>
          </cell>
        </row>
        <row r="14">
          <cell r="AB14">
            <v>1</v>
          </cell>
        </row>
        <row r="15">
          <cell r="F15" t="str">
            <v>CAM Recovery</v>
          </cell>
          <cell r="G15">
            <v>549605</v>
          </cell>
          <cell r="H15">
            <v>608793</v>
          </cell>
          <cell r="I15">
            <v>640687</v>
          </cell>
          <cell r="J15">
            <v>658149</v>
          </cell>
          <cell r="K15">
            <v>674704</v>
          </cell>
          <cell r="L15">
            <v>677249</v>
          </cell>
          <cell r="M15">
            <v>701731</v>
          </cell>
          <cell r="N15">
            <v>704379</v>
          </cell>
          <cell r="O15">
            <v>721099</v>
          </cell>
          <cell r="P15">
            <v>679577</v>
          </cell>
          <cell r="Q15">
            <v>687388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7303361</v>
          </cell>
        </row>
        <row r="16">
          <cell r="F16" t="str">
            <v>Realty Tax Recovery</v>
          </cell>
          <cell r="G16">
            <v>273262</v>
          </cell>
          <cell r="H16">
            <v>287942</v>
          </cell>
          <cell r="I16">
            <v>296994</v>
          </cell>
          <cell r="J16">
            <v>304754</v>
          </cell>
          <cell r="K16">
            <v>323310</v>
          </cell>
          <cell r="L16">
            <v>328441</v>
          </cell>
          <cell r="M16">
            <v>338603</v>
          </cell>
          <cell r="N16">
            <v>343825</v>
          </cell>
          <cell r="O16">
            <v>352708</v>
          </cell>
          <cell r="P16">
            <v>356456</v>
          </cell>
          <cell r="Q16">
            <v>362809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3569104</v>
          </cell>
        </row>
        <row r="17">
          <cell r="F17" t="str">
            <v>Percentage Rent</v>
          </cell>
          <cell r="G17">
            <v>891</v>
          </cell>
          <cell r="H17">
            <v>1120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194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2205</v>
          </cell>
        </row>
        <row r="18">
          <cell r="F18" t="str">
            <v xml:space="preserve">Parking Revenue 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</row>
        <row r="19">
          <cell r="F19" t="str">
            <v>Other Income</v>
          </cell>
          <cell r="G19">
            <v>70227</v>
          </cell>
          <cell r="H19">
            <v>71631</v>
          </cell>
          <cell r="I19">
            <v>73064</v>
          </cell>
          <cell r="J19">
            <v>74526</v>
          </cell>
          <cell r="K19">
            <v>76016</v>
          </cell>
          <cell r="L19">
            <v>77536</v>
          </cell>
          <cell r="M19">
            <v>79088</v>
          </cell>
          <cell r="N19">
            <v>80669</v>
          </cell>
          <cell r="O19">
            <v>82283</v>
          </cell>
          <cell r="P19">
            <v>83928</v>
          </cell>
          <cell r="Q19">
            <v>85607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854575</v>
          </cell>
        </row>
        <row r="20">
          <cell r="F20" t="str">
            <v>Total Potential Gross Revenue</v>
          </cell>
          <cell r="G20">
            <v>2339209</v>
          </cell>
          <cell r="H20">
            <v>2480684</v>
          </cell>
          <cell r="I20">
            <v>2570424</v>
          </cell>
          <cell r="J20">
            <v>2584631</v>
          </cell>
          <cell r="K20">
            <v>2637283</v>
          </cell>
          <cell r="L20">
            <v>2648447</v>
          </cell>
          <cell r="M20">
            <v>2712778</v>
          </cell>
          <cell r="N20">
            <v>2768270</v>
          </cell>
          <cell r="O20">
            <v>2815113</v>
          </cell>
          <cell r="P20">
            <v>2785798</v>
          </cell>
          <cell r="Q20">
            <v>2827032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1</v>
          </cell>
        </row>
        <row r="21">
          <cell r="AB21">
            <v>1</v>
          </cell>
        </row>
        <row r="22">
          <cell r="F22" t="str">
            <v>Vacancy Allowance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</row>
        <row r="23">
          <cell r="F23" t="str">
            <v>Effective Gross Revenue</v>
          </cell>
          <cell r="G23">
            <v>2295388</v>
          </cell>
          <cell r="H23">
            <v>2381346</v>
          </cell>
          <cell r="I23">
            <v>2454171</v>
          </cell>
          <cell r="J23">
            <v>2459207</v>
          </cell>
          <cell r="K23">
            <v>2514353</v>
          </cell>
          <cell r="L23">
            <v>2538657</v>
          </cell>
          <cell r="M23">
            <v>2584324</v>
          </cell>
          <cell r="N23">
            <v>2643400</v>
          </cell>
          <cell r="O23">
            <v>2678562</v>
          </cell>
          <cell r="P23">
            <v>2665397</v>
          </cell>
          <cell r="Q23">
            <v>2709242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1</v>
          </cell>
        </row>
        <row r="24">
          <cell r="AB24">
            <v>1</v>
          </cell>
        </row>
        <row r="25">
          <cell r="F25" t="str">
            <v>OPERATING EXPENSES</v>
          </cell>
          <cell r="AB25">
            <v>1</v>
          </cell>
        </row>
        <row r="26">
          <cell r="F26" t="str">
            <v>CAM</v>
          </cell>
          <cell r="G26">
            <v>541979</v>
          </cell>
          <cell r="H26">
            <v>552818</v>
          </cell>
          <cell r="I26">
            <v>563875</v>
          </cell>
          <cell r="J26">
            <v>575153</v>
          </cell>
          <cell r="K26">
            <v>586655</v>
          </cell>
          <cell r="L26">
            <v>598390</v>
          </cell>
          <cell r="M26">
            <v>610355</v>
          </cell>
          <cell r="N26">
            <v>622565</v>
          </cell>
          <cell r="O26">
            <v>635014</v>
          </cell>
          <cell r="P26">
            <v>647716</v>
          </cell>
          <cell r="Q26">
            <v>660669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6595189</v>
          </cell>
        </row>
        <row r="27">
          <cell r="F27" t="str">
            <v>Realty Taxes</v>
          </cell>
          <cell r="G27">
            <v>305174</v>
          </cell>
          <cell r="H27">
            <v>311277</v>
          </cell>
          <cell r="I27">
            <v>317503</v>
          </cell>
          <cell r="J27">
            <v>323853</v>
          </cell>
          <cell r="K27">
            <v>330330</v>
          </cell>
          <cell r="L27">
            <v>336937</v>
          </cell>
          <cell r="M27">
            <v>343675</v>
          </cell>
          <cell r="N27">
            <v>350549</v>
          </cell>
          <cell r="O27">
            <v>357560</v>
          </cell>
          <cell r="P27">
            <v>364711</v>
          </cell>
          <cell r="Q27">
            <v>372005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3713574</v>
          </cell>
        </row>
        <row r="28">
          <cell r="F28" t="str">
            <v>Management Fee</v>
          </cell>
          <cell r="G28">
            <v>73452</v>
          </cell>
          <cell r="H28">
            <v>76203</v>
          </cell>
          <cell r="I28">
            <v>78533</v>
          </cell>
          <cell r="J28">
            <v>78695</v>
          </cell>
          <cell r="K28">
            <v>80459</v>
          </cell>
          <cell r="L28">
            <v>81237</v>
          </cell>
          <cell r="M28">
            <v>82698</v>
          </cell>
          <cell r="N28">
            <v>84589</v>
          </cell>
          <cell r="O28">
            <v>85714</v>
          </cell>
          <cell r="P28">
            <v>85293</v>
          </cell>
          <cell r="Q28">
            <v>86696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893569</v>
          </cell>
        </row>
        <row r="29">
          <cell r="F29" t="str">
            <v xml:space="preserve">Non-Recoverable </v>
          </cell>
          <cell r="G29">
            <v>12711</v>
          </cell>
          <cell r="H29">
            <v>12965</v>
          </cell>
          <cell r="I29">
            <v>13225</v>
          </cell>
          <cell r="J29">
            <v>13489</v>
          </cell>
          <cell r="K29">
            <v>13759</v>
          </cell>
          <cell r="L29">
            <v>14034</v>
          </cell>
          <cell r="M29">
            <v>14315</v>
          </cell>
          <cell r="N29">
            <v>14601</v>
          </cell>
          <cell r="O29">
            <v>14893</v>
          </cell>
          <cell r="P29">
            <v>15191</v>
          </cell>
          <cell r="Q29">
            <v>15495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5</v>
          </cell>
        </row>
        <row r="30">
          <cell r="F30" t="str">
            <v>Structural Reserve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</row>
        <row r="31">
          <cell r="F31" t="str">
            <v>Total Operating Expenses</v>
          </cell>
          <cell r="G31">
            <v>933316</v>
          </cell>
          <cell r="H31">
            <v>953263</v>
          </cell>
          <cell r="I31">
            <v>973136</v>
          </cell>
          <cell r="J31">
            <v>991190</v>
          </cell>
          <cell r="K31">
            <v>1011203</v>
          </cell>
          <cell r="L31">
            <v>1030598</v>
          </cell>
          <cell r="M31">
            <v>1051043</v>
          </cell>
          <cell r="N31">
            <v>1072304</v>
          </cell>
          <cell r="O31">
            <v>1093181</v>
          </cell>
          <cell r="P31">
            <v>1112911</v>
          </cell>
          <cell r="Q31">
            <v>1134865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1</v>
          </cell>
        </row>
        <row r="32">
          <cell r="AB32">
            <v>1</v>
          </cell>
        </row>
        <row r="33">
          <cell r="F33" t="str">
            <v>NET OPERATING INCOME</v>
          </cell>
          <cell r="G33">
            <v>1362072</v>
          </cell>
          <cell r="H33">
            <v>1428083</v>
          </cell>
          <cell r="I33">
            <v>1481035</v>
          </cell>
          <cell r="J33">
            <v>1468017</v>
          </cell>
          <cell r="K33">
            <v>1503150</v>
          </cell>
          <cell r="L33">
            <v>1508059</v>
          </cell>
          <cell r="M33">
            <v>1533281</v>
          </cell>
          <cell r="N33">
            <v>1571096</v>
          </cell>
          <cell r="O33">
            <v>1585381</v>
          </cell>
          <cell r="P33">
            <v>1552486</v>
          </cell>
          <cell r="Q33">
            <v>1574377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1</v>
          </cell>
        </row>
        <row r="34">
          <cell r="AB34">
            <v>1</v>
          </cell>
        </row>
        <row r="35">
          <cell r="F35" t="str">
            <v>CAPITAL EXPENDITURES</v>
          </cell>
          <cell r="AB35">
            <v>1</v>
          </cell>
        </row>
        <row r="36">
          <cell r="F36" t="str">
            <v>Leasing Commissions</v>
          </cell>
          <cell r="G36">
            <v>107720</v>
          </cell>
          <cell r="H36">
            <v>24335</v>
          </cell>
          <cell r="I36">
            <v>31153</v>
          </cell>
          <cell r="J36">
            <v>8985</v>
          </cell>
          <cell r="K36">
            <v>22674</v>
          </cell>
          <cell r="L36">
            <v>82250</v>
          </cell>
          <cell r="M36">
            <v>20824</v>
          </cell>
          <cell r="N36">
            <v>33060</v>
          </cell>
          <cell r="O36">
            <v>9725</v>
          </cell>
          <cell r="P36">
            <v>45812</v>
          </cell>
          <cell r="Q36">
            <v>88331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474869</v>
          </cell>
        </row>
        <row r="37">
          <cell r="F37" t="str">
            <v>Tenant Inducements</v>
          </cell>
          <cell r="G37">
            <v>36986</v>
          </cell>
          <cell r="H37">
            <v>39370</v>
          </cell>
          <cell r="I37">
            <v>24923</v>
          </cell>
          <cell r="J37">
            <v>7188</v>
          </cell>
          <cell r="K37">
            <v>19063</v>
          </cell>
          <cell r="L37">
            <v>41941</v>
          </cell>
          <cell r="M37">
            <v>16659</v>
          </cell>
          <cell r="N37">
            <v>26448</v>
          </cell>
          <cell r="O37">
            <v>7780</v>
          </cell>
          <cell r="P37">
            <v>37688</v>
          </cell>
          <cell r="Q37">
            <v>44324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302370</v>
          </cell>
        </row>
        <row r="38">
          <cell r="F38" t="str">
            <v>Capital Expenditures</v>
          </cell>
          <cell r="G38">
            <v>375000</v>
          </cell>
          <cell r="H38">
            <v>370000</v>
          </cell>
          <cell r="I38">
            <v>90000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26786</v>
          </cell>
          <cell r="P38">
            <v>26654</v>
          </cell>
          <cell r="Q38">
            <v>27092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915532</v>
          </cell>
        </row>
        <row r="39">
          <cell r="F39" t="str">
            <v>Total Capital Expenditures</v>
          </cell>
          <cell r="G39">
            <v>519706</v>
          </cell>
          <cell r="H39">
            <v>433705</v>
          </cell>
          <cell r="I39">
            <v>146076</v>
          </cell>
          <cell r="J39">
            <v>16173</v>
          </cell>
          <cell r="K39">
            <v>41737</v>
          </cell>
          <cell r="L39">
            <v>124191</v>
          </cell>
          <cell r="M39">
            <v>37483</v>
          </cell>
          <cell r="N39">
            <v>59508</v>
          </cell>
          <cell r="O39">
            <v>44291</v>
          </cell>
          <cell r="P39">
            <v>110154</v>
          </cell>
          <cell r="Q39">
            <v>159747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</row>
        <row r="41">
          <cell r="F41" t="str">
            <v>CASH FLOW</v>
          </cell>
          <cell r="G41">
            <v>842366</v>
          </cell>
          <cell r="H41">
            <v>994378</v>
          </cell>
          <cell r="I41">
            <v>1334959</v>
          </cell>
          <cell r="J41">
            <v>1451844</v>
          </cell>
          <cell r="K41">
            <v>1461413</v>
          </cell>
          <cell r="L41">
            <v>1383868</v>
          </cell>
          <cell r="M41">
            <v>1495798</v>
          </cell>
          <cell r="N41">
            <v>1511588</v>
          </cell>
          <cell r="O41">
            <v>1541090</v>
          </cell>
          <cell r="P41">
            <v>1442332</v>
          </cell>
          <cell r="Q41">
            <v>1414630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</row>
        <row r="43">
          <cell r="F43" t="str">
            <v xml:space="preserve">DEBT SERVICE                                </v>
          </cell>
        </row>
        <row r="44">
          <cell r="F44" t="str">
            <v xml:space="preserve">Interest Payments               </v>
          </cell>
          <cell r="G44">
            <v>300597.13187686895</v>
          </cell>
          <cell r="H44">
            <v>291714.39103095059</v>
          </cell>
          <cell r="I44">
            <v>282336.38186574198</v>
          </cell>
          <cell r="J44">
            <v>272435.49007701571</v>
          </cell>
          <cell r="K44">
            <v>261982.5616904943</v>
          </cell>
          <cell r="L44">
            <v>213149.04365231702</v>
          </cell>
          <cell r="M44">
            <v>215132.9840837502</v>
          </cell>
          <cell r="N44">
            <v>195772.90713462673</v>
          </cell>
          <cell r="O44">
            <v>175083.97265378752</v>
          </cell>
          <cell r="P44">
            <v>152974.96910605961</v>
          </cell>
        </row>
        <row r="45">
          <cell r="F45" t="str">
            <v xml:space="preserve">Principal Payments              </v>
          </cell>
          <cell r="G45">
            <v>159313.81407318808</v>
          </cell>
          <cell r="H45">
            <v>168196.55491910639</v>
          </cell>
          <cell r="I45">
            <v>177574.564084315</v>
          </cell>
          <cell r="J45">
            <v>187475.4558730413</v>
          </cell>
          <cell r="K45">
            <v>197928.38425956268</v>
          </cell>
          <cell r="L45">
            <v>242607.75929067974</v>
          </cell>
          <cell r="M45">
            <v>282056.25549042801</v>
          </cell>
          <cell r="N45">
            <v>301416.33243955148</v>
          </cell>
          <cell r="O45">
            <v>322105.26692039071</v>
          </cell>
          <cell r="P45">
            <v>344214.27046811854</v>
          </cell>
        </row>
        <row r="46">
          <cell r="F46" t="str">
            <v>Total Debt Service</v>
          </cell>
          <cell r="G46">
            <v>459910.94595005701</v>
          </cell>
          <cell r="H46">
            <v>459910.94595005701</v>
          </cell>
          <cell r="I46">
            <v>459910.94595005701</v>
          </cell>
          <cell r="J46">
            <v>459910.94595005701</v>
          </cell>
          <cell r="K46">
            <v>459910.94595005701</v>
          </cell>
          <cell r="L46">
            <v>455756.80294299673</v>
          </cell>
          <cell r="M46">
            <v>497189.23957417824</v>
          </cell>
          <cell r="N46">
            <v>497189.23957417824</v>
          </cell>
          <cell r="O46">
            <v>497189.23957417824</v>
          </cell>
          <cell r="P46">
            <v>497189.23957417812</v>
          </cell>
        </row>
        <row r="48">
          <cell r="F48" t="str">
            <v xml:space="preserve">CASH FLOW AFTER DEBT SERVICE </v>
          </cell>
          <cell r="G48">
            <v>382455.05404994299</v>
          </cell>
          <cell r="H48">
            <v>534467.05404994299</v>
          </cell>
          <cell r="I48">
            <v>875048.05404994299</v>
          </cell>
          <cell r="J48">
            <v>991933.05404994299</v>
          </cell>
          <cell r="K48">
            <v>1001502.054049943</v>
          </cell>
          <cell r="L48">
            <v>928111.19705700327</v>
          </cell>
          <cell r="M48">
            <v>998608.76042582176</v>
          </cell>
          <cell r="N48">
            <v>1014398.7604258218</v>
          </cell>
          <cell r="O48">
            <v>1043900.7604258218</v>
          </cell>
          <cell r="P48">
            <v>945142.76042582188</v>
          </cell>
        </row>
      </sheetData>
      <sheetData sheetId="9"/>
      <sheetData sheetId="10"/>
      <sheetData sheetId="11"/>
      <sheetData sheetId="12">
        <row r="25">
          <cell r="J25" t="str">
            <v>Alpine Dental Centre</v>
          </cell>
        </row>
      </sheetData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DRONA"/>
    </sheetNames>
    <sheetDataSet>
      <sheetData sheetId="0">
        <row r="4">
          <cell r="M4">
            <v>4.5999999999999999E-2</v>
          </cell>
        </row>
        <row r="24">
          <cell r="F24" t="str">
            <v>PERIOD</v>
          </cell>
          <cell r="G24" t="str">
            <v>1</v>
          </cell>
          <cell r="H24" t="str">
            <v>2</v>
          </cell>
          <cell r="I24" t="str">
            <v>3</v>
          </cell>
          <cell r="J24" t="str">
            <v>4</v>
          </cell>
          <cell r="K24" t="str">
            <v>5</v>
          </cell>
          <cell r="L24" t="str">
            <v>6</v>
          </cell>
          <cell r="M24" t="str">
            <v>7</v>
          </cell>
          <cell r="N24" t="str">
            <v>8</v>
          </cell>
          <cell r="O24" t="str">
            <v>9</v>
          </cell>
          <cell r="P24" t="str">
            <v>10</v>
          </cell>
          <cell r="Q24" t="str">
            <v>11</v>
          </cell>
        </row>
        <row r="25">
          <cell r="C25">
            <v>35399</v>
          </cell>
          <cell r="D25">
            <v>35124</v>
          </cell>
          <cell r="E25">
            <v>35216</v>
          </cell>
          <cell r="G25">
            <v>35489</v>
          </cell>
          <cell r="H25">
            <v>35519</v>
          </cell>
          <cell r="I25">
            <v>35549</v>
          </cell>
          <cell r="J25">
            <v>35579</v>
          </cell>
          <cell r="K25">
            <v>35609</v>
          </cell>
          <cell r="L25">
            <v>35639</v>
          </cell>
          <cell r="M25">
            <v>35669</v>
          </cell>
          <cell r="N25">
            <v>35699</v>
          </cell>
          <cell r="O25">
            <v>35729</v>
          </cell>
          <cell r="P25">
            <v>35759</v>
          </cell>
          <cell r="Q25">
            <v>35789</v>
          </cell>
        </row>
        <row r="26">
          <cell r="A26" t="str">
            <v>CASH IN</v>
          </cell>
        </row>
        <row r="27">
          <cell r="A27" t="str">
            <v>Units</v>
          </cell>
        </row>
        <row r="28">
          <cell r="A28" t="str">
            <v>Sales</v>
          </cell>
        </row>
        <row r="29">
          <cell r="A29" t="str">
            <v>Less holdback</v>
          </cell>
        </row>
        <row r="30">
          <cell r="A30" t="str">
            <v>Add holdback prior period</v>
          </cell>
        </row>
        <row r="31">
          <cell r="A31" t="str">
            <v>Monthly draws</v>
          </cell>
          <cell r="C31">
            <v>1350000</v>
          </cell>
          <cell r="G31">
            <v>1350000</v>
          </cell>
          <cell r="J31">
            <v>684000</v>
          </cell>
          <cell r="K31">
            <v>670000</v>
          </cell>
          <cell r="L31">
            <v>609872.91666666663</v>
          </cell>
          <cell r="M31">
            <v>714319.90668402775</v>
          </cell>
          <cell r="N31">
            <v>719528.48933693219</v>
          </cell>
          <cell r="O31">
            <v>724775.05123834731</v>
          </cell>
          <cell r="P31">
            <v>880059.86932029354</v>
          </cell>
          <cell r="Q31">
            <v>695476.97253408737</v>
          </cell>
        </row>
        <row r="32">
          <cell r="A32" t="str">
            <v>Other</v>
          </cell>
        </row>
        <row r="33">
          <cell r="C33" t="str">
            <v>----------</v>
          </cell>
          <cell r="G33" t="str">
            <v>----------</v>
          </cell>
          <cell r="H33" t="str">
            <v>----------</v>
          </cell>
          <cell r="I33" t="str">
            <v>----------</v>
          </cell>
          <cell r="J33" t="str">
            <v>----------</v>
          </cell>
          <cell r="K33" t="str">
            <v>----------</v>
          </cell>
          <cell r="L33" t="str">
            <v>----------</v>
          </cell>
          <cell r="M33" t="str">
            <v>----------</v>
          </cell>
          <cell r="N33" t="str">
            <v>----------</v>
          </cell>
          <cell r="O33" t="str">
            <v>----------</v>
          </cell>
          <cell r="P33" t="str">
            <v>----------</v>
          </cell>
          <cell r="Q33" t="str">
            <v>----------</v>
          </cell>
        </row>
        <row r="34">
          <cell r="A34" t="str">
            <v>Total cash in</v>
          </cell>
          <cell r="C34">
            <v>1350000</v>
          </cell>
          <cell r="G34">
            <v>1350000</v>
          </cell>
          <cell r="H34">
            <v>0</v>
          </cell>
          <cell r="I34">
            <v>0</v>
          </cell>
          <cell r="J34">
            <v>684000</v>
          </cell>
          <cell r="K34">
            <v>670000</v>
          </cell>
          <cell r="L34">
            <v>609872.91666666663</v>
          </cell>
          <cell r="M34">
            <v>714319.90668402775</v>
          </cell>
          <cell r="N34">
            <v>719528.48933693219</v>
          </cell>
          <cell r="O34">
            <v>724775.05123834731</v>
          </cell>
          <cell r="P34">
            <v>880059.86932029354</v>
          </cell>
          <cell r="Q34">
            <v>695476.97253408737</v>
          </cell>
        </row>
        <row r="35">
          <cell r="C35" t="str">
            <v>----------</v>
          </cell>
          <cell r="G35" t="str">
            <v>----------</v>
          </cell>
          <cell r="H35" t="str">
            <v>----------</v>
          </cell>
          <cell r="I35" t="str">
            <v>----------</v>
          </cell>
          <cell r="J35" t="str">
            <v>----------</v>
          </cell>
          <cell r="K35" t="str">
            <v>----------</v>
          </cell>
          <cell r="L35" t="str">
            <v>----------</v>
          </cell>
          <cell r="M35" t="str">
            <v>----------</v>
          </cell>
          <cell r="N35" t="str">
            <v>----------</v>
          </cell>
          <cell r="O35" t="str">
            <v>----------</v>
          </cell>
          <cell r="P35" t="str">
            <v>----------</v>
          </cell>
          <cell r="Q35" t="str">
            <v>----------</v>
          </cell>
        </row>
        <row r="36">
          <cell r="A36" t="str">
            <v>CASH OUT</v>
          </cell>
        </row>
        <row r="38">
          <cell r="A38" t="str">
            <v>Land</v>
          </cell>
          <cell r="C38">
            <v>2127895</v>
          </cell>
          <cell r="G38">
            <v>2127895</v>
          </cell>
          <cell r="J38">
            <v>25000</v>
          </cell>
          <cell r="P38">
            <v>50000</v>
          </cell>
          <cell r="Q38">
            <v>59000</v>
          </cell>
        </row>
        <row r="39">
          <cell r="A39" t="str">
            <v>Consultants</v>
          </cell>
          <cell r="C39">
            <v>52390</v>
          </cell>
          <cell r="G39">
            <v>53479</v>
          </cell>
          <cell r="I39">
            <v>15816</v>
          </cell>
        </row>
        <row r="40">
          <cell r="A40" t="str">
            <v>Municipal/development costs</v>
          </cell>
          <cell r="C40">
            <v>24784</v>
          </cell>
          <cell r="G40">
            <v>25441</v>
          </cell>
          <cell r="I40">
            <v>47559</v>
          </cell>
        </row>
        <row r="41">
          <cell r="A41" t="str">
            <v>Construction</v>
          </cell>
          <cell r="G41">
            <v>13182</v>
          </cell>
          <cell r="J41">
            <v>150000</v>
          </cell>
          <cell r="K41">
            <v>300000</v>
          </cell>
          <cell r="L41">
            <v>600000</v>
          </cell>
          <cell r="M41">
            <v>700000</v>
          </cell>
          <cell r="N41">
            <v>700000</v>
          </cell>
          <cell r="O41">
            <v>700000</v>
          </cell>
          <cell r="P41">
            <v>800000</v>
          </cell>
          <cell r="Q41">
            <v>600000</v>
          </cell>
        </row>
        <row r="42">
          <cell r="A42" t="str">
            <v>Marketing</v>
          </cell>
          <cell r="O42">
            <v>51000</v>
          </cell>
          <cell r="P42">
            <v>51000</v>
          </cell>
          <cell r="Q42">
            <v>51000</v>
          </cell>
        </row>
        <row r="43">
          <cell r="A43" t="str">
            <v>Financing</v>
          </cell>
          <cell r="C43">
            <v>872</v>
          </cell>
          <cell r="G43">
            <v>872</v>
          </cell>
          <cell r="I43">
            <v>122128</v>
          </cell>
        </row>
        <row r="44">
          <cell r="A44" t="str">
            <v>Interest</v>
          </cell>
          <cell r="J44">
            <v>9843.75</v>
          </cell>
          <cell r="K44">
            <v>4987.5</v>
          </cell>
          <cell r="L44">
            <v>9872.9166666666661</v>
          </cell>
          <cell r="M44">
            <v>14319.906684027776</v>
          </cell>
          <cell r="N44">
            <v>19528.489336932143</v>
          </cell>
          <cell r="O44">
            <v>24775.051238347271</v>
          </cell>
          <cell r="P44">
            <v>30059.86932029355</v>
          </cell>
          <cell r="Q44">
            <v>36476.972534087363</v>
          </cell>
        </row>
        <row r="45">
          <cell r="A45" t="str">
            <v>Other</v>
          </cell>
          <cell r="J45">
            <v>49142.222222222219</v>
          </cell>
          <cell r="K45">
            <v>49142.222222222219</v>
          </cell>
          <cell r="L45">
            <v>49142.222222222219</v>
          </cell>
          <cell r="M45">
            <v>49142.222222222219</v>
          </cell>
          <cell r="N45">
            <v>49142.222222222219</v>
          </cell>
          <cell r="O45">
            <v>49142.222222222219</v>
          </cell>
          <cell r="P45">
            <v>49142.222222222219</v>
          </cell>
          <cell r="Q45">
            <v>49142.222222222219</v>
          </cell>
        </row>
        <row r="46">
          <cell r="A46" t="str">
            <v>Loan payback</v>
          </cell>
          <cell r="F46">
            <v>1350000</v>
          </cell>
          <cell r="H46">
            <v>0</v>
          </cell>
          <cell r="I46">
            <v>0</v>
          </cell>
          <cell r="J46">
            <v>1350000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 t="str">
            <v>----------</v>
          </cell>
          <cell r="G47" t="str">
            <v>----------</v>
          </cell>
          <cell r="H47" t="str">
            <v>----------</v>
          </cell>
          <cell r="I47" t="str">
            <v>----------</v>
          </cell>
          <cell r="J47" t="str">
            <v>----------</v>
          </cell>
          <cell r="K47" t="str">
            <v>----------</v>
          </cell>
          <cell r="L47" t="str">
            <v>----------</v>
          </cell>
          <cell r="M47" t="str">
            <v>----------</v>
          </cell>
          <cell r="N47" t="str">
            <v>----------</v>
          </cell>
          <cell r="O47" t="str">
            <v>----------</v>
          </cell>
          <cell r="P47" t="str">
            <v>----------</v>
          </cell>
          <cell r="Q47" t="str">
            <v>----------</v>
          </cell>
        </row>
        <row r="48">
          <cell r="A48" t="str">
            <v>Total cash out</v>
          </cell>
          <cell r="C48">
            <v>2205941</v>
          </cell>
          <cell r="F48">
            <v>2220869</v>
          </cell>
          <cell r="G48">
            <v>2220869</v>
          </cell>
          <cell r="H48">
            <v>0</v>
          </cell>
          <cell r="I48">
            <v>185503</v>
          </cell>
          <cell r="J48">
            <v>1583985.9722222222</v>
          </cell>
          <cell r="K48">
            <v>354129.72222222225</v>
          </cell>
          <cell r="L48">
            <v>659015.13888888888</v>
          </cell>
          <cell r="M48">
            <v>763462.12890625</v>
          </cell>
          <cell r="N48">
            <v>768670.71155915444</v>
          </cell>
          <cell r="O48">
            <v>824917.27346056956</v>
          </cell>
          <cell r="P48">
            <v>980202.09154251579</v>
          </cell>
          <cell r="Q48">
            <v>795619.19475630962</v>
          </cell>
        </row>
        <row r="49">
          <cell r="C49" t="str">
            <v>----------</v>
          </cell>
          <cell r="F49">
            <v>1</v>
          </cell>
          <cell r="G49" t="str">
            <v>----------</v>
          </cell>
          <cell r="H49" t="str">
            <v>----------</v>
          </cell>
          <cell r="I49" t="str">
            <v>----------</v>
          </cell>
          <cell r="J49" t="str">
            <v>----------</v>
          </cell>
          <cell r="K49" t="str">
            <v>----------</v>
          </cell>
          <cell r="L49" t="str">
            <v>----------</v>
          </cell>
          <cell r="M49" t="str">
            <v>----------</v>
          </cell>
          <cell r="N49" t="str">
            <v>----------</v>
          </cell>
          <cell r="O49" t="str">
            <v>----------</v>
          </cell>
          <cell r="P49" t="str">
            <v>----------</v>
          </cell>
          <cell r="Q49" t="str">
            <v>----------</v>
          </cell>
        </row>
        <row r="50">
          <cell r="A50" t="str">
            <v>Net cash (shortage)</v>
          </cell>
          <cell r="G50">
            <v>-870869</v>
          </cell>
          <cell r="H50">
            <v>0</v>
          </cell>
          <cell r="I50">
            <v>-185503</v>
          </cell>
          <cell r="J50">
            <v>-899985.97222222225</v>
          </cell>
          <cell r="K50">
            <v>315870.27777777775</v>
          </cell>
          <cell r="L50">
            <v>-49142.222222222248</v>
          </cell>
          <cell r="M50">
            <v>-49142.222222222248</v>
          </cell>
          <cell r="N50">
            <v>-49142.222222222248</v>
          </cell>
          <cell r="O50">
            <v>-100142.22222222225</v>
          </cell>
          <cell r="P50">
            <v>-100142.22222222225</v>
          </cell>
          <cell r="Q50">
            <v>-100142.22222222225</v>
          </cell>
        </row>
        <row r="51">
          <cell r="A51" t="str">
            <v>Cash to Polygon Including OH</v>
          </cell>
          <cell r="G51">
            <v>-870869</v>
          </cell>
          <cell r="H51">
            <v>0</v>
          </cell>
          <cell r="I51">
            <v>-185503</v>
          </cell>
          <cell r="J51">
            <v>-850843.75</v>
          </cell>
          <cell r="K51">
            <v>365012.5</v>
          </cell>
          <cell r="L51">
            <v>-2.9103830456733704E-11</v>
          </cell>
          <cell r="M51">
            <v>-2.9103830456733704E-11</v>
          </cell>
          <cell r="N51">
            <v>-2.9103830456733704E-11</v>
          </cell>
          <cell r="O51">
            <v>-51000</v>
          </cell>
          <cell r="P51">
            <v>-51000</v>
          </cell>
          <cell r="Q51">
            <v>-51000</v>
          </cell>
        </row>
        <row r="52">
          <cell r="A52" t="str">
            <v>Loan amount drawn</v>
          </cell>
          <cell r="G52">
            <v>1350000</v>
          </cell>
          <cell r="H52">
            <v>1350000</v>
          </cell>
          <cell r="I52">
            <v>1350000</v>
          </cell>
          <cell r="J52">
            <v>2034000</v>
          </cell>
          <cell r="K52">
            <v>2704000</v>
          </cell>
          <cell r="L52">
            <v>3313872.9166666665</v>
          </cell>
          <cell r="M52">
            <v>4028192.823350694</v>
          </cell>
          <cell r="N52">
            <v>4747721.3126876261</v>
          </cell>
          <cell r="O52">
            <v>5472496.363925973</v>
          </cell>
          <cell r="P52">
            <v>6352556.2332462668</v>
          </cell>
          <cell r="Q52">
            <v>7048033.2057803543</v>
          </cell>
        </row>
        <row r="53">
          <cell r="A53" t="str">
            <v xml:space="preserve"> Loan payback</v>
          </cell>
          <cell r="G53">
            <v>0</v>
          </cell>
          <cell r="H53">
            <v>0</v>
          </cell>
          <cell r="I53">
            <v>0</v>
          </cell>
          <cell r="J53">
            <v>-1350000</v>
          </cell>
          <cell r="K53">
            <v>-1350000</v>
          </cell>
          <cell r="L53">
            <v>-1350000</v>
          </cell>
          <cell r="M53">
            <v>-1350000</v>
          </cell>
          <cell r="N53">
            <v>-1350000</v>
          </cell>
          <cell r="O53">
            <v>-1350000</v>
          </cell>
          <cell r="P53">
            <v>-1350000</v>
          </cell>
          <cell r="Q53">
            <v>-1350000</v>
          </cell>
        </row>
        <row r="54">
          <cell r="A54" t="str">
            <v xml:space="preserve"> Net loan outstanding</v>
          </cell>
          <cell r="G54">
            <v>1350000</v>
          </cell>
          <cell r="H54">
            <v>1350000</v>
          </cell>
          <cell r="I54">
            <v>1350000</v>
          </cell>
          <cell r="J54">
            <v>684000</v>
          </cell>
          <cell r="K54">
            <v>1354000</v>
          </cell>
          <cell r="L54">
            <v>1963872.9166666665</v>
          </cell>
          <cell r="M54">
            <v>2678192.823350694</v>
          </cell>
          <cell r="N54">
            <v>3397721.3126876261</v>
          </cell>
          <cell r="O54">
            <v>4122496.363925973</v>
          </cell>
          <cell r="P54">
            <v>5002556.2332462668</v>
          </cell>
          <cell r="Q54">
            <v>5698033.2057803543</v>
          </cell>
        </row>
        <row r="94">
          <cell r="B94" t="str">
            <v>GM AFTER OH</v>
          </cell>
          <cell r="C94" t="str">
            <v>INCENTIVE</v>
          </cell>
        </row>
        <row r="95">
          <cell r="B95" t="str">
            <v>&amp; DIV</v>
          </cell>
          <cell r="C95" t="str">
            <v>AMOUNT</v>
          </cell>
        </row>
        <row r="96">
          <cell r="B96" t="str">
            <v>-</v>
          </cell>
          <cell r="C96" t="str">
            <v>-</v>
          </cell>
        </row>
        <row r="97">
          <cell r="B97">
            <v>-0.28000000000000003</v>
          </cell>
          <cell r="C97">
            <v>-3.4799999999999998E-2</v>
          </cell>
        </row>
        <row r="98">
          <cell r="B98">
            <v>-0.27</v>
          </cell>
          <cell r="C98">
            <v>-3.3300000000000003E-2</v>
          </cell>
        </row>
        <row r="99">
          <cell r="B99">
            <v>-0.26</v>
          </cell>
          <cell r="C99">
            <v>-3.1800000000000002E-2</v>
          </cell>
        </row>
        <row r="100">
          <cell r="B100">
            <v>-0.25</v>
          </cell>
          <cell r="C100">
            <v>-3.0300000000000001E-2</v>
          </cell>
        </row>
        <row r="101">
          <cell r="B101">
            <v>-0.24</v>
          </cell>
          <cell r="C101">
            <v>-2.8799999999999999E-2</v>
          </cell>
        </row>
        <row r="102">
          <cell r="B102">
            <v>-0.23</v>
          </cell>
          <cell r="C102">
            <v>-2.7300000000000001E-2</v>
          </cell>
        </row>
        <row r="103">
          <cell r="B103">
            <v>-0.22</v>
          </cell>
          <cell r="C103">
            <v>-2.58E-2</v>
          </cell>
        </row>
        <row r="104">
          <cell r="B104">
            <v>-0.21</v>
          </cell>
          <cell r="C104">
            <v>-2.4299999999999999E-2</v>
          </cell>
        </row>
        <row r="105">
          <cell r="B105">
            <v>-0.2</v>
          </cell>
          <cell r="C105">
            <v>-2.2800000000000001E-2</v>
          </cell>
        </row>
        <row r="106">
          <cell r="B106">
            <v>-0.19</v>
          </cell>
          <cell r="C106">
            <v>-2.1299999999999999E-2</v>
          </cell>
        </row>
        <row r="107">
          <cell r="B107">
            <v>-0.18</v>
          </cell>
          <cell r="C107">
            <v>-1.9800000000000002E-2</v>
          </cell>
        </row>
        <row r="108">
          <cell r="B108">
            <v>-0.17</v>
          </cell>
          <cell r="C108">
            <v>-1.83E-2</v>
          </cell>
        </row>
        <row r="109">
          <cell r="B109">
            <v>-0.16</v>
          </cell>
          <cell r="C109">
            <v>-1.66E-2</v>
          </cell>
        </row>
        <row r="110">
          <cell r="B110">
            <v>-0.15</v>
          </cell>
          <cell r="C110">
            <v>-1.5100000000000001E-2</v>
          </cell>
        </row>
        <row r="111">
          <cell r="B111">
            <v>-0.14000000000000001</v>
          </cell>
          <cell r="C111">
            <v>-1.3599999999999999E-2</v>
          </cell>
        </row>
        <row r="112">
          <cell r="B112">
            <v>-0.13</v>
          </cell>
          <cell r="C112">
            <v>-1.21E-2</v>
          </cell>
        </row>
        <row r="113">
          <cell r="B113">
            <v>-0.12</v>
          </cell>
          <cell r="C113">
            <v>-1.06E-2</v>
          </cell>
        </row>
        <row r="114">
          <cell r="B114">
            <v>-0.11</v>
          </cell>
          <cell r="C114">
            <v>-9.1000000000000004E-3</v>
          </cell>
        </row>
        <row r="115">
          <cell r="B115">
            <v>-0.1</v>
          </cell>
          <cell r="C115">
            <v>-7.6E-3</v>
          </cell>
        </row>
        <row r="116">
          <cell r="B116">
            <v>-0.09</v>
          </cell>
          <cell r="C116">
            <v>-6.6E-3</v>
          </cell>
        </row>
        <row r="117">
          <cell r="B117">
            <v>-0.08</v>
          </cell>
          <cell r="C117">
            <v>-5.4999999999999997E-3</v>
          </cell>
        </row>
        <row r="118">
          <cell r="B118">
            <v>-7.0000000000000007E-2</v>
          </cell>
          <cell r="C118">
            <v>-4.4999999999999997E-3</v>
          </cell>
        </row>
        <row r="119">
          <cell r="B119">
            <v>-0.06</v>
          </cell>
          <cell r="C119">
            <v>-3.5999999999999999E-3</v>
          </cell>
        </row>
        <row r="120">
          <cell r="B120">
            <v>-0.05</v>
          </cell>
          <cell r="C120">
            <v>-2.8E-3</v>
          </cell>
        </row>
        <row r="121">
          <cell r="B121">
            <v>-0.04</v>
          </cell>
          <cell r="C121">
            <v>-2.0999999999999999E-3</v>
          </cell>
        </row>
        <row r="122">
          <cell r="B122">
            <v>-0.03</v>
          </cell>
          <cell r="C122">
            <v>-1.5E-3</v>
          </cell>
        </row>
        <row r="123">
          <cell r="B123">
            <v>-0.02</v>
          </cell>
          <cell r="C123">
            <v>-1E-3</v>
          </cell>
        </row>
        <row r="124">
          <cell r="B124">
            <v>-0.01</v>
          </cell>
          <cell r="C124">
            <v>-5.0000000000000001E-4</v>
          </cell>
        </row>
        <row r="125">
          <cell r="B125">
            <v>0</v>
          </cell>
          <cell r="C125">
            <v>0</v>
          </cell>
        </row>
        <row r="126">
          <cell r="B126">
            <v>0.01</v>
          </cell>
          <cell r="C126">
            <v>5.0000000000000001E-4</v>
          </cell>
        </row>
        <row r="127">
          <cell r="B127">
            <v>0.02</v>
          </cell>
          <cell r="C127">
            <v>1E-3</v>
          </cell>
        </row>
        <row r="128">
          <cell r="B128">
            <v>0.03</v>
          </cell>
          <cell r="C128">
            <v>1.5E-3</v>
          </cell>
        </row>
        <row r="129">
          <cell r="B129">
            <v>0.04</v>
          </cell>
          <cell r="C129">
            <v>2.0999999999999999E-3</v>
          </cell>
        </row>
        <row r="130">
          <cell r="B130">
            <v>0.05</v>
          </cell>
          <cell r="C130">
            <v>2.8E-3</v>
          </cell>
        </row>
        <row r="131">
          <cell r="B131">
            <v>0.06</v>
          </cell>
          <cell r="C131">
            <v>3.5999999999999999E-3</v>
          </cell>
        </row>
        <row r="132">
          <cell r="B132">
            <v>7.0000000000000007E-2</v>
          </cell>
          <cell r="C132">
            <v>4.4999999999999997E-3</v>
          </cell>
        </row>
        <row r="133">
          <cell r="B133">
            <v>0.08</v>
          </cell>
          <cell r="C133">
            <v>5.4999999999999997E-3</v>
          </cell>
        </row>
        <row r="134">
          <cell r="B134">
            <v>0.09</v>
          </cell>
          <cell r="C134">
            <v>6.6E-3</v>
          </cell>
        </row>
        <row r="135">
          <cell r="B135">
            <v>0.1</v>
          </cell>
          <cell r="C135">
            <v>7.6E-3</v>
          </cell>
        </row>
        <row r="136">
          <cell r="B136">
            <v>0.11</v>
          </cell>
          <cell r="C136">
            <v>9.1000000000000004E-3</v>
          </cell>
        </row>
        <row r="137">
          <cell r="B137">
            <v>0.12</v>
          </cell>
          <cell r="C137">
            <v>1.06E-2</v>
          </cell>
        </row>
        <row r="138">
          <cell r="B138">
            <v>0.13</v>
          </cell>
          <cell r="C138">
            <v>1.21E-2</v>
          </cell>
        </row>
        <row r="139">
          <cell r="B139">
            <v>0.14000000000000001</v>
          </cell>
          <cell r="C139">
            <v>1.3599999999999999E-2</v>
          </cell>
        </row>
        <row r="140">
          <cell r="B140">
            <v>0.15</v>
          </cell>
          <cell r="C140">
            <v>1.5100000000000001E-2</v>
          </cell>
        </row>
        <row r="141">
          <cell r="B141">
            <v>0.16</v>
          </cell>
          <cell r="C141">
            <v>1.66E-2</v>
          </cell>
        </row>
        <row r="142">
          <cell r="B142">
            <v>0.17</v>
          </cell>
          <cell r="C142">
            <v>1.83E-2</v>
          </cell>
        </row>
        <row r="143">
          <cell r="B143">
            <v>0.18</v>
          </cell>
          <cell r="C143">
            <v>1.9800000000000002E-2</v>
          </cell>
        </row>
        <row r="144">
          <cell r="B144">
            <v>0.19</v>
          </cell>
          <cell r="C144">
            <v>2.1299999999999999E-2</v>
          </cell>
        </row>
        <row r="145">
          <cell r="B145">
            <v>0.2</v>
          </cell>
          <cell r="C145">
            <v>2.2800000000000001E-2</v>
          </cell>
        </row>
        <row r="146">
          <cell r="B146">
            <v>0.21</v>
          </cell>
          <cell r="C146">
            <v>2.4299999999999999E-2</v>
          </cell>
        </row>
        <row r="147">
          <cell r="B147">
            <v>0.22</v>
          </cell>
          <cell r="C147">
            <v>2.58E-2</v>
          </cell>
        </row>
        <row r="148">
          <cell r="B148">
            <v>0.23</v>
          </cell>
          <cell r="C148">
            <v>2.7300000000000001E-2</v>
          </cell>
        </row>
        <row r="149">
          <cell r="B149">
            <v>0.24</v>
          </cell>
          <cell r="C149">
            <v>2.8799999999999999E-2</v>
          </cell>
        </row>
        <row r="150">
          <cell r="B150">
            <v>0.25</v>
          </cell>
          <cell r="C150">
            <v>3.0300000000000001E-2</v>
          </cell>
        </row>
        <row r="151">
          <cell r="B151">
            <v>0.26</v>
          </cell>
          <cell r="C151">
            <v>3.1800000000000002E-2</v>
          </cell>
        </row>
        <row r="152">
          <cell r="B152">
            <v>0.27</v>
          </cell>
          <cell r="C152">
            <v>3.3300000000000003E-2</v>
          </cell>
        </row>
        <row r="153">
          <cell r="B153">
            <v>0.28000000000000003</v>
          </cell>
          <cell r="C153">
            <v>3.4799999999999998E-2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W - Rental Apartment"/>
      <sheetName val="CCS Slides --&gt;"/>
      <sheetName val="Loan Metrics"/>
      <sheetName val="Other CC Tables"/>
      <sheetName val="Appendix --&gt;"/>
      <sheetName val="Int Reserve - Single Loan"/>
      <sheetName val="IRR - Single Loan"/>
      <sheetName val="Int Reserve - A-B Loan"/>
      <sheetName val="IRR - A-B Loan"/>
      <sheetName val="IRR - Simple"/>
      <sheetName val="Multi-Family Template - Revamp"/>
    </sheetNames>
    <definedNames>
      <definedName name="compound_periods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"/>
      <sheetName val="Index"/>
      <sheetName val="Exec Sum"/>
      <sheetName val="CASHFLOW"/>
      <sheetName val="VARIANCES"/>
      <sheetName val="LEASING ACTIVITIES"/>
      <sheetName val="TENANT INDUCEMENT"/>
      <sheetName val="CAPITAL EXP"/>
      <sheetName val="PROFIT SHARE"/>
      <sheetName val="AR ANALYSIS"/>
      <sheetName val="Recovery Analysis"/>
      <sheetName val="download original"/>
      <sheetName val="download realigned"/>
      <sheetName val="Exec_Sum"/>
      <sheetName val="LEASING_ACTIVITIES"/>
      <sheetName val="TENANT_INDUCEMENT"/>
      <sheetName val="CAPITAL_EXP"/>
      <sheetName val="PROFIT_SHARE"/>
      <sheetName val="AR_ANALYSIS"/>
      <sheetName val="Recovery_Analysis"/>
      <sheetName val="download_original"/>
      <sheetName val="download_realign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 t="str">
            <v>LPP      Luxor</v>
          </cell>
          <cell r="C1" t="str">
            <v>Pacific</v>
          </cell>
          <cell r="F1" t="str">
            <v>05/23/</v>
          </cell>
          <cell r="G1" t="str">
            <v>03 Page:    1</v>
          </cell>
        </row>
        <row r="2">
          <cell r="B2" t="str">
            <v>Period Ending</v>
          </cell>
          <cell r="C2">
            <v>37711</v>
          </cell>
          <cell r="F2">
            <v>0.12708333333333333</v>
          </cell>
          <cell r="G2" t="str">
            <v>PM ed</v>
          </cell>
        </row>
        <row r="3">
          <cell r="B3" t="str">
            <v>Divisions: Pac</v>
          </cell>
          <cell r="C3" t="str">
            <v>ific Plaza</v>
          </cell>
          <cell r="D3" t="str">
            <v>Budget Code: o</v>
          </cell>
        </row>
        <row r="4">
          <cell r="B4" t="str">
            <v>Cash Flow - wi</v>
          </cell>
          <cell r="C4" t="str">
            <v>th Rev Detail</v>
          </cell>
        </row>
        <row r="8">
          <cell r="B8" t="str">
            <v>Curr Mth</v>
          </cell>
          <cell r="C8" t="str">
            <v>Curr Mth</v>
          </cell>
          <cell r="D8" t="str">
            <v>Curr Mth</v>
          </cell>
          <cell r="E8" t="str">
            <v>YTD</v>
          </cell>
          <cell r="F8" t="str">
            <v>YTD</v>
          </cell>
          <cell r="G8" t="str">
            <v>YTD</v>
          </cell>
        </row>
        <row r="9">
          <cell r="A9" t="str">
            <v>Description</v>
          </cell>
          <cell r="B9" t="str">
            <v>Actual</v>
          </cell>
          <cell r="C9" t="str">
            <v>Budget</v>
          </cell>
          <cell r="D9" t="str">
            <v>Variance</v>
          </cell>
          <cell r="E9" t="str">
            <v>Actual</v>
          </cell>
          <cell r="F9" t="str">
            <v>Budget</v>
          </cell>
          <cell r="G9" t="str">
            <v>Variance</v>
          </cell>
        </row>
        <row r="10">
          <cell r="A10" t="str">
            <v>----------------------------------------</v>
          </cell>
          <cell r="B10" t="str">
            <v>--------------</v>
          </cell>
          <cell r="C10" t="str">
            <v>--------------</v>
          </cell>
          <cell r="D10" t="str">
            <v>--------------</v>
          </cell>
          <cell r="E10" t="str">
            <v>--------------</v>
          </cell>
          <cell r="F10" t="str">
            <v>--------------</v>
          </cell>
          <cell r="G10" t="str">
            <v>--------------</v>
          </cell>
        </row>
        <row r="12">
          <cell r="A12" t="str">
            <v>Revenue</v>
          </cell>
        </row>
        <row r="14">
          <cell r="A14" t="str">
            <v>Revenue</v>
          </cell>
        </row>
        <row r="16">
          <cell r="A16" t="str">
            <v>Revenue Before Recoveries</v>
          </cell>
        </row>
        <row r="17">
          <cell r="A17" t="str">
            <v>Basic Rent</v>
          </cell>
          <cell r="B17">
            <v>67470.77</v>
          </cell>
          <cell r="C17">
            <v>67312</v>
          </cell>
          <cell r="D17">
            <v>-158.77000000000001</v>
          </cell>
          <cell r="E17">
            <v>213409.82</v>
          </cell>
          <cell r="F17">
            <v>201669</v>
          </cell>
          <cell r="G17">
            <v>-11740.82</v>
          </cell>
        </row>
        <row r="18">
          <cell r="A18" t="str">
            <v>Parking</v>
          </cell>
          <cell r="B18">
            <v>18687.41</v>
          </cell>
          <cell r="C18">
            <v>18995</v>
          </cell>
          <cell r="D18">
            <v>307.58999999999997</v>
          </cell>
          <cell r="E18">
            <v>55444.95</v>
          </cell>
          <cell r="F18">
            <v>56985</v>
          </cell>
          <cell r="G18">
            <v>1540.05</v>
          </cell>
        </row>
        <row r="19">
          <cell r="A19" t="str">
            <v>Signage and other</v>
          </cell>
          <cell r="B19">
            <v>-2786.99</v>
          </cell>
          <cell r="C19">
            <v>1772.33</v>
          </cell>
          <cell r="D19">
            <v>4559.32</v>
          </cell>
          <cell r="E19">
            <v>11675.26</v>
          </cell>
          <cell r="F19">
            <v>14316.99</v>
          </cell>
          <cell r="G19">
            <v>2641.73</v>
          </cell>
        </row>
        <row r="20">
          <cell r="B20" t="str">
            <v>--------------</v>
          </cell>
          <cell r="C20" t="str">
            <v>--------------</v>
          </cell>
          <cell r="D20" t="str">
            <v>--------------</v>
          </cell>
          <cell r="E20" t="str">
            <v>--------------</v>
          </cell>
          <cell r="F20" t="str">
            <v>--------------</v>
          </cell>
          <cell r="G20" t="str">
            <v>--------------</v>
          </cell>
        </row>
        <row r="21">
          <cell r="A21" t="str">
            <v>Total Revenue Before Recoveries</v>
          </cell>
          <cell r="B21">
            <v>83371.19</v>
          </cell>
          <cell r="C21">
            <v>88079.33</v>
          </cell>
          <cell r="D21">
            <v>4708.1400000000003</v>
          </cell>
          <cell r="E21">
            <v>280530.03000000003</v>
          </cell>
          <cell r="F21">
            <v>272970.99</v>
          </cell>
          <cell r="G21">
            <v>-7559.04</v>
          </cell>
        </row>
        <row r="22">
          <cell r="B22" t="str">
            <v>--------------</v>
          </cell>
          <cell r="C22" t="str">
            <v>--------------</v>
          </cell>
          <cell r="D22" t="str">
            <v>--------------</v>
          </cell>
          <cell r="E22" t="str">
            <v>--------------</v>
          </cell>
          <cell r="F22" t="str">
            <v>--------------</v>
          </cell>
          <cell r="G22" t="str">
            <v>--------------</v>
          </cell>
        </row>
        <row r="23">
          <cell r="A23" t="str">
            <v>Operating cost recovery</v>
          </cell>
          <cell r="B23">
            <v>132979.76</v>
          </cell>
          <cell r="C23">
            <v>104633</v>
          </cell>
          <cell r="D23">
            <v>-28346.76</v>
          </cell>
          <cell r="E23">
            <v>304200.76</v>
          </cell>
          <cell r="F23">
            <v>321752</v>
          </cell>
          <cell r="G23">
            <v>17551.240000000002</v>
          </cell>
        </row>
        <row r="24">
          <cell r="A24" t="str">
            <v>Property tax recovery</v>
          </cell>
          <cell r="B24">
            <v>6657.68</v>
          </cell>
          <cell r="C24">
            <v>9905</v>
          </cell>
          <cell r="D24">
            <v>3247.32</v>
          </cell>
          <cell r="E24">
            <v>26175.68</v>
          </cell>
          <cell r="F24">
            <v>29715</v>
          </cell>
          <cell r="G24">
            <v>3539.32</v>
          </cell>
        </row>
        <row r="25">
          <cell r="B25" t="str">
            <v>--------------</v>
          </cell>
          <cell r="C25" t="str">
            <v>--------------</v>
          </cell>
          <cell r="D25" t="str">
            <v>--------------</v>
          </cell>
          <cell r="E25" t="str">
            <v>--------------</v>
          </cell>
          <cell r="F25" t="str">
            <v>--------------</v>
          </cell>
          <cell r="G25" t="str">
            <v>--------------</v>
          </cell>
        </row>
        <row r="26">
          <cell r="A26" t="str">
            <v>Total recoveries</v>
          </cell>
          <cell r="B26">
            <v>139637.44</v>
          </cell>
          <cell r="C26">
            <v>114538</v>
          </cell>
          <cell r="D26">
            <v>-25099.439999999999</v>
          </cell>
          <cell r="E26">
            <v>330376.44</v>
          </cell>
          <cell r="F26">
            <v>351467</v>
          </cell>
          <cell r="G26">
            <v>21090.560000000001</v>
          </cell>
        </row>
        <row r="27">
          <cell r="B27" t="str">
            <v>--------------</v>
          </cell>
          <cell r="C27" t="str">
            <v>--------------</v>
          </cell>
          <cell r="D27" t="str">
            <v>--------------</v>
          </cell>
          <cell r="E27" t="str">
            <v>--------------</v>
          </cell>
          <cell r="F27" t="str">
            <v>--------------</v>
          </cell>
          <cell r="G27" t="str">
            <v>--------------</v>
          </cell>
        </row>
        <row r="28">
          <cell r="A28" t="str">
            <v>Total Revenue</v>
          </cell>
          <cell r="B28">
            <v>223008.63</v>
          </cell>
          <cell r="C28">
            <v>202617.33</v>
          </cell>
          <cell r="D28">
            <v>-20391.3</v>
          </cell>
          <cell r="E28">
            <v>610906.47</v>
          </cell>
          <cell r="F28">
            <v>624437.99</v>
          </cell>
          <cell r="G28">
            <v>13531.52</v>
          </cell>
        </row>
        <row r="29">
          <cell r="B29" t="str">
            <v>--------------</v>
          </cell>
          <cell r="C29" t="str">
            <v>--------------</v>
          </cell>
          <cell r="D29" t="str">
            <v>--------------</v>
          </cell>
          <cell r="E29" t="str">
            <v>--------------</v>
          </cell>
          <cell r="F29" t="str">
            <v>--------------</v>
          </cell>
          <cell r="G29" t="str">
            <v>--------------</v>
          </cell>
        </row>
        <row r="31">
          <cell r="A31" t="str">
            <v>Expenses</v>
          </cell>
        </row>
        <row r="32">
          <cell r="A32" t="str">
            <v>Recoverable Operating Costs</v>
          </cell>
          <cell r="B32">
            <v>-108749.48</v>
          </cell>
          <cell r="C32">
            <v>-107406</v>
          </cell>
          <cell r="D32">
            <v>1343.48</v>
          </cell>
          <cell r="E32">
            <v>-288202.03999999998</v>
          </cell>
          <cell r="F32">
            <v>-359516</v>
          </cell>
          <cell r="G32">
            <v>-71313.960000000006</v>
          </cell>
        </row>
        <row r="33">
          <cell r="A33" t="str">
            <v>Recoverable Property Tax</v>
          </cell>
          <cell r="B33">
            <v>-10859.69</v>
          </cell>
          <cell r="C33">
            <v>-10731</v>
          </cell>
          <cell r="D33">
            <v>128.69</v>
          </cell>
          <cell r="E33">
            <v>-32193.08</v>
          </cell>
          <cell r="F33">
            <v>-32193</v>
          </cell>
          <cell r="G33">
            <v>0.08</v>
          </cell>
        </row>
        <row r="34">
          <cell r="B34" t="str">
            <v>--------------</v>
          </cell>
          <cell r="C34" t="str">
            <v>--------------</v>
          </cell>
          <cell r="D34" t="str">
            <v>--------------</v>
          </cell>
          <cell r="E34" t="str">
            <v>--------------</v>
          </cell>
          <cell r="F34" t="str">
            <v>--------------</v>
          </cell>
          <cell r="G34" t="str">
            <v>--------------</v>
          </cell>
        </row>
        <row r="35">
          <cell r="A35" t="str">
            <v>Total Recoverable Expenses</v>
          </cell>
          <cell r="B35">
            <v>-119609.17</v>
          </cell>
          <cell r="C35">
            <v>-118137</v>
          </cell>
          <cell r="D35">
            <v>1472.17</v>
          </cell>
          <cell r="E35">
            <v>-320395.12</v>
          </cell>
          <cell r="F35">
            <v>-391709</v>
          </cell>
          <cell r="G35">
            <v>-71313.88</v>
          </cell>
        </row>
        <row r="36">
          <cell r="A36" t="str">
            <v>Non-Recoverable Expenses</v>
          </cell>
          <cell r="B36">
            <v>-1231.54</v>
          </cell>
          <cell r="C36">
            <v>0</v>
          </cell>
          <cell r="D36">
            <v>1231.54</v>
          </cell>
          <cell r="E36">
            <v>-4632.9399999999996</v>
          </cell>
          <cell r="F36">
            <v>-1117</v>
          </cell>
          <cell r="G36">
            <v>3515.94</v>
          </cell>
        </row>
        <row r="37">
          <cell r="B37" t="str">
            <v>--------------</v>
          </cell>
          <cell r="C37" t="str">
            <v>--------------</v>
          </cell>
          <cell r="D37" t="str">
            <v>--------------</v>
          </cell>
          <cell r="E37" t="str">
            <v>--------------</v>
          </cell>
          <cell r="F37" t="str">
            <v>--------------</v>
          </cell>
          <cell r="G37" t="str">
            <v>--------------</v>
          </cell>
        </row>
        <row r="38">
          <cell r="A38" t="str">
            <v>Total Expenses</v>
          </cell>
          <cell r="B38">
            <v>-120840.71</v>
          </cell>
          <cell r="C38">
            <v>-118137</v>
          </cell>
          <cell r="D38">
            <v>2703.71</v>
          </cell>
          <cell r="E38">
            <v>-325028.06</v>
          </cell>
          <cell r="F38">
            <v>-392826</v>
          </cell>
          <cell r="G38">
            <v>-67797.94</v>
          </cell>
        </row>
        <row r="39">
          <cell r="B39" t="str">
            <v>--------------</v>
          </cell>
          <cell r="C39" t="str">
            <v>--------------</v>
          </cell>
          <cell r="D39" t="str">
            <v>--------------</v>
          </cell>
          <cell r="E39" t="str">
            <v>--------------</v>
          </cell>
          <cell r="F39" t="str">
            <v>--------------</v>
          </cell>
          <cell r="G39" t="str">
            <v>--------------</v>
          </cell>
        </row>
        <row r="40">
          <cell r="A40" t="str">
            <v>Net Operating Income</v>
          </cell>
          <cell r="B40">
            <v>102167.92</v>
          </cell>
          <cell r="C40">
            <v>84480.33</v>
          </cell>
          <cell r="D40">
            <v>-17687.59</v>
          </cell>
          <cell r="E40">
            <v>285878.40999999997</v>
          </cell>
          <cell r="F40">
            <v>231611.99</v>
          </cell>
          <cell r="G40">
            <v>-54266.42</v>
          </cell>
        </row>
        <row r="41">
          <cell r="B41" t="str">
            <v>--------------</v>
          </cell>
          <cell r="C41" t="str">
            <v>--------------</v>
          </cell>
          <cell r="D41" t="str">
            <v>--------------</v>
          </cell>
          <cell r="E41" t="str">
            <v>--------------</v>
          </cell>
          <cell r="F41" t="str">
            <v>--------------</v>
          </cell>
          <cell r="G41" t="str">
            <v>--------------</v>
          </cell>
        </row>
        <row r="42">
          <cell r="A42" t="str">
            <v>Corporate EBITDA</v>
          </cell>
          <cell r="B42">
            <v>102167.92</v>
          </cell>
          <cell r="C42">
            <v>84480.33</v>
          </cell>
          <cell r="D42">
            <v>-17687.59</v>
          </cell>
          <cell r="E42">
            <v>285878.40999999997</v>
          </cell>
          <cell r="F42">
            <v>231611.99</v>
          </cell>
          <cell r="G42">
            <v>-54266.42</v>
          </cell>
        </row>
        <row r="43">
          <cell r="A43" t="str">
            <v>Interest Expense</v>
          </cell>
          <cell r="B43">
            <v>-38972.81</v>
          </cell>
          <cell r="C43">
            <v>-39173</v>
          </cell>
          <cell r="D43">
            <v>-200.19</v>
          </cell>
          <cell r="E43">
            <v>-117084.12</v>
          </cell>
          <cell r="F43">
            <v>-117684</v>
          </cell>
          <cell r="G43">
            <v>-599.88</v>
          </cell>
        </row>
        <row r="44">
          <cell r="A44" t="str">
            <v>Profit Sharing to Partners</v>
          </cell>
          <cell r="B44">
            <v>-24499.69</v>
          </cell>
          <cell r="C44">
            <v>-9423.92</v>
          </cell>
          <cell r="D44">
            <v>15075.77</v>
          </cell>
          <cell r="E44">
            <v>-40577.67</v>
          </cell>
          <cell r="F44">
            <v>-28271.759999999998</v>
          </cell>
          <cell r="G44">
            <v>12305.91</v>
          </cell>
        </row>
        <row r="45">
          <cell r="B45" t="str">
            <v>--------------</v>
          </cell>
          <cell r="C45" t="str">
            <v>--------------</v>
          </cell>
          <cell r="D45" t="str">
            <v>--------------</v>
          </cell>
          <cell r="E45" t="str">
            <v>--------------</v>
          </cell>
          <cell r="F45" t="str">
            <v>--------------</v>
          </cell>
          <cell r="G45" t="str">
            <v>--------------</v>
          </cell>
        </row>
        <row r="46">
          <cell r="A46" t="str">
            <v>Cash Flow from Operations</v>
          </cell>
          <cell r="B46">
            <v>38695.42</v>
          </cell>
          <cell r="C46">
            <v>35883.410000000003</v>
          </cell>
          <cell r="D46">
            <v>-2812.01</v>
          </cell>
          <cell r="E46">
            <v>128216.62</v>
          </cell>
          <cell r="F46">
            <v>85656.23</v>
          </cell>
          <cell r="G46">
            <v>-42560.39</v>
          </cell>
        </row>
        <row r="47">
          <cell r="B47" t="str">
            <v>--------------</v>
          </cell>
          <cell r="C47" t="str">
            <v>--------------</v>
          </cell>
          <cell r="D47" t="str">
            <v>--------------</v>
          </cell>
          <cell r="E47" t="str">
            <v>--------------</v>
          </cell>
          <cell r="F47" t="str">
            <v>--------------</v>
          </cell>
          <cell r="G47" t="str">
            <v>--------------</v>
          </cell>
        </row>
        <row r="48">
          <cell r="A48" t="str">
            <v>Working Capital</v>
          </cell>
          <cell r="B48">
            <v>54705.49</v>
          </cell>
          <cell r="C48">
            <v>11256</v>
          </cell>
          <cell r="D48">
            <v>-43449.49</v>
          </cell>
          <cell r="E48">
            <v>113693.93</v>
          </cell>
          <cell r="F48">
            <v>-296254</v>
          </cell>
          <cell r="G48">
            <v>-409947.93</v>
          </cell>
        </row>
        <row r="49">
          <cell r="A49" t="str">
            <v>Capital Expenditures - Tenant Induc</v>
          </cell>
          <cell r="B49">
            <v>1804</v>
          </cell>
          <cell r="C49">
            <v>0</v>
          </cell>
          <cell r="D49">
            <v>-1804</v>
          </cell>
          <cell r="E49">
            <v>1804</v>
          </cell>
          <cell r="F49">
            <v>0</v>
          </cell>
          <cell r="G49">
            <v>-1804</v>
          </cell>
        </row>
        <row r="50">
          <cell r="A50" t="str">
            <v>Capital Expenditures - Recoverable</v>
          </cell>
          <cell r="B50">
            <v>0</v>
          </cell>
          <cell r="C50">
            <v>-130525</v>
          </cell>
          <cell r="D50">
            <v>-130525</v>
          </cell>
          <cell r="E50">
            <v>0</v>
          </cell>
          <cell r="F50">
            <v>-130525</v>
          </cell>
          <cell r="G50">
            <v>-130525</v>
          </cell>
        </row>
        <row r="51">
          <cell r="A51" t="str">
            <v>Capital Expenditures - Non-Recovera</v>
          </cell>
          <cell r="B51">
            <v>0</v>
          </cell>
          <cell r="C51">
            <v>-15525</v>
          </cell>
          <cell r="D51">
            <v>-15525</v>
          </cell>
          <cell r="E51">
            <v>0</v>
          </cell>
          <cell r="F51">
            <v>-15525</v>
          </cell>
          <cell r="G51">
            <v>-15525</v>
          </cell>
        </row>
        <row r="52">
          <cell r="A52" t="str">
            <v>Capital Asset Amortization Adjustme</v>
          </cell>
          <cell r="B52">
            <v>0</v>
          </cell>
          <cell r="C52">
            <v>0.08</v>
          </cell>
          <cell r="D52">
            <v>0.08</v>
          </cell>
          <cell r="E52">
            <v>0</v>
          </cell>
          <cell r="F52">
            <v>-0.26</v>
          </cell>
          <cell r="G52">
            <v>-0.26</v>
          </cell>
        </row>
        <row r="54">
          <cell r="B54" t="str">
            <v>Continued on n</v>
          </cell>
          <cell r="C54" t="str">
            <v>ext page...</v>
          </cell>
        </row>
        <row r="55">
          <cell r="B55" t="str">
            <v>_x000C_LPP      Luxo</v>
          </cell>
          <cell r="C55" t="str">
            <v>r Pacific</v>
          </cell>
          <cell r="F55">
            <v>37764</v>
          </cell>
          <cell r="G55" t="str">
            <v>/03 Page:    2</v>
          </cell>
        </row>
        <row r="56">
          <cell r="B56" t="str">
            <v>Period Ending</v>
          </cell>
          <cell r="C56">
            <v>37711</v>
          </cell>
          <cell r="F56">
            <v>0.12708333333333333</v>
          </cell>
          <cell r="G56" t="str">
            <v>PM ed</v>
          </cell>
        </row>
        <row r="57">
          <cell r="B57" t="str">
            <v>Divisions: Pac</v>
          </cell>
          <cell r="C57" t="str">
            <v>ific Plaza</v>
          </cell>
          <cell r="D57" t="str">
            <v>Budget Code: o</v>
          </cell>
        </row>
        <row r="58">
          <cell r="B58" t="str">
            <v>Cash Flow - wi</v>
          </cell>
          <cell r="C58" t="str">
            <v>th Rev Detail</v>
          </cell>
        </row>
        <row r="61">
          <cell r="B61" t="str">
            <v>Curr Mth</v>
          </cell>
          <cell r="C61" t="str">
            <v>Curr Mth</v>
          </cell>
          <cell r="D61" t="str">
            <v>Curr Mth</v>
          </cell>
          <cell r="E61" t="str">
            <v>YTD</v>
          </cell>
          <cell r="F61" t="str">
            <v>YTD</v>
          </cell>
          <cell r="G61" t="str">
            <v>YTD</v>
          </cell>
        </row>
        <row r="62">
          <cell r="A62" t="str">
            <v>Description</v>
          </cell>
          <cell r="B62" t="str">
            <v>Actual</v>
          </cell>
          <cell r="C62" t="str">
            <v>Budget</v>
          </cell>
          <cell r="D62" t="str">
            <v>Variance</v>
          </cell>
          <cell r="E62" t="str">
            <v>Actual</v>
          </cell>
          <cell r="F62" t="str">
            <v>Budget</v>
          </cell>
          <cell r="G62" t="str">
            <v>Variance</v>
          </cell>
        </row>
        <row r="63">
          <cell r="A63" t="str">
            <v>----------------------------------------</v>
          </cell>
          <cell r="B63" t="str">
            <v>--------------</v>
          </cell>
          <cell r="C63" t="str">
            <v>--------------</v>
          </cell>
          <cell r="D63" t="str">
            <v>--------------</v>
          </cell>
          <cell r="E63" t="str">
            <v>--------------</v>
          </cell>
          <cell r="F63" t="str">
            <v>--------------</v>
          </cell>
          <cell r="G63" t="str">
            <v>--------------</v>
          </cell>
        </row>
        <row r="64">
          <cell r="B64" t="str">
            <v>--------------</v>
          </cell>
          <cell r="C64" t="str">
            <v>--------------</v>
          </cell>
          <cell r="D64" t="str">
            <v>--------------</v>
          </cell>
          <cell r="E64" t="str">
            <v>--------------</v>
          </cell>
          <cell r="F64" t="str">
            <v>--------------</v>
          </cell>
          <cell r="G64" t="str">
            <v>--------------</v>
          </cell>
        </row>
        <row r="65">
          <cell r="A65" t="str">
            <v>Operating Capital Requirements</v>
          </cell>
          <cell r="B65">
            <v>56509.49</v>
          </cell>
          <cell r="C65">
            <v>-134793.92000000001</v>
          </cell>
          <cell r="D65">
            <v>-191303.41</v>
          </cell>
          <cell r="E65">
            <v>115497.93</v>
          </cell>
          <cell r="F65">
            <v>-442304.26</v>
          </cell>
          <cell r="G65">
            <v>-557802.18999999994</v>
          </cell>
        </row>
        <row r="66">
          <cell r="B66" t="str">
            <v>--------------</v>
          </cell>
          <cell r="C66" t="str">
            <v>--------------</v>
          </cell>
          <cell r="D66" t="str">
            <v>--------------</v>
          </cell>
          <cell r="E66" t="str">
            <v>--------------</v>
          </cell>
          <cell r="F66" t="str">
            <v>--------------</v>
          </cell>
          <cell r="G66" t="str">
            <v>--------------</v>
          </cell>
        </row>
        <row r="67">
          <cell r="A67" t="str">
            <v>Cash Available for Re-investment</v>
          </cell>
          <cell r="B67">
            <v>95204.91</v>
          </cell>
          <cell r="C67">
            <v>-98910.51</v>
          </cell>
          <cell r="D67">
            <v>-194115.42</v>
          </cell>
          <cell r="E67">
            <v>243714.55</v>
          </cell>
          <cell r="F67">
            <v>-356648.03</v>
          </cell>
          <cell r="G67">
            <v>-600362.57999999996</v>
          </cell>
        </row>
        <row r="68">
          <cell r="B68" t="str">
            <v>--------------</v>
          </cell>
          <cell r="C68" t="str">
            <v>--------------</v>
          </cell>
          <cell r="D68" t="str">
            <v>--------------</v>
          </cell>
          <cell r="E68" t="str">
            <v>--------------</v>
          </cell>
          <cell r="F68" t="str">
            <v>--------------</v>
          </cell>
          <cell r="G68" t="str">
            <v>--------------</v>
          </cell>
        </row>
        <row r="69">
          <cell r="A69" t="str">
            <v>Capital Mgmt - Principal Pmts (Mtg)</v>
          </cell>
          <cell r="B69">
            <v>-9296.85</v>
          </cell>
          <cell r="C69">
            <v>-9296.85</v>
          </cell>
          <cell r="D69">
            <v>0</v>
          </cell>
          <cell r="E69">
            <v>-27725.84</v>
          </cell>
          <cell r="F69">
            <v>-27725.84</v>
          </cell>
          <cell r="G69">
            <v>0</v>
          </cell>
        </row>
        <row r="70">
          <cell r="B70" t="str">
            <v>--------------</v>
          </cell>
          <cell r="C70" t="str">
            <v>--------------</v>
          </cell>
          <cell r="D70" t="str">
            <v>--------------</v>
          </cell>
          <cell r="E70" t="str">
            <v>--------------</v>
          </cell>
          <cell r="F70" t="str">
            <v>--------------</v>
          </cell>
          <cell r="G70" t="str">
            <v>--------------</v>
          </cell>
        </row>
        <row r="71">
          <cell r="A71" t="str">
            <v>Investment Capital Requirements</v>
          </cell>
          <cell r="B71">
            <v>-9296.85</v>
          </cell>
          <cell r="C71">
            <v>-9296.85</v>
          </cell>
          <cell r="D71">
            <v>0</v>
          </cell>
          <cell r="E71">
            <v>-27725.84</v>
          </cell>
          <cell r="F71">
            <v>-27725.84</v>
          </cell>
          <cell r="G71">
            <v>0</v>
          </cell>
        </row>
        <row r="72">
          <cell r="B72" t="str">
            <v>--------------</v>
          </cell>
          <cell r="C72" t="str">
            <v>--------------</v>
          </cell>
          <cell r="D72" t="str">
            <v>--------------</v>
          </cell>
          <cell r="E72" t="str">
            <v>--------------</v>
          </cell>
          <cell r="F72" t="str">
            <v>--------------</v>
          </cell>
          <cell r="G72" t="str">
            <v>--------------</v>
          </cell>
        </row>
        <row r="73">
          <cell r="A73" t="str">
            <v>Net Change in Cash</v>
          </cell>
          <cell r="B73">
            <v>85908.06</v>
          </cell>
          <cell r="C73">
            <v>-108207.36</v>
          </cell>
          <cell r="D73">
            <v>-194115.42</v>
          </cell>
          <cell r="E73">
            <v>215988.71</v>
          </cell>
          <cell r="F73">
            <v>-384373.87</v>
          </cell>
          <cell r="G73">
            <v>-600362.57999999996</v>
          </cell>
        </row>
        <row r="74">
          <cell r="B74" t="str">
            <v>--------------</v>
          </cell>
          <cell r="C74" t="str">
            <v>--------------</v>
          </cell>
          <cell r="D74" t="str">
            <v>--------------</v>
          </cell>
          <cell r="E74" t="str">
            <v>--------------</v>
          </cell>
          <cell r="F74" t="str">
            <v>--------------</v>
          </cell>
          <cell r="G74" t="str">
            <v>--------------</v>
          </cell>
        </row>
        <row r="75">
          <cell r="A75" t="str">
            <v>TOTAL</v>
          </cell>
          <cell r="B75">
            <v>85908.06</v>
          </cell>
          <cell r="C75">
            <v>-108207.36</v>
          </cell>
          <cell r="D75">
            <v>-194115.42</v>
          </cell>
          <cell r="E75">
            <v>215988.71</v>
          </cell>
          <cell r="F75">
            <v>-384373.87</v>
          </cell>
          <cell r="G75">
            <v>-600362.57999999996</v>
          </cell>
        </row>
        <row r="76">
          <cell r="B76" t="str">
            <v>--------------</v>
          </cell>
          <cell r="C76" t="str">
            <v>--------------</v>
          </cell>
          <cell r="D76" t="str">
            <v>--------------</v>
          </cell>
          <cell r="E76" t="str">
            <v>--------------</v>
          </cell>
          <cell r="F76" t="str">
            <v>--------------</v>
          </cell>
          <cell r="G76" t="str">
            <v>--------------</v>
          </cell>
        </row>
        <row r="108">
          <cell r="B108" t="str">
            <v>End of Financi</v>
          </cell>
          <cell r="C108" t="str">
            <v>al Statement</v>
          </cell>
        </row>
        <row r="109">
          <cell r="B109" t="str">
            <v>_x000C_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B1" t="str">
            <v>LPP      Luxor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 Costs"/>
      <sheetName val="Budget "/>
      <sheetName val="Rental Profroma - Residual"/>
      <sheetName val="Charts"/>
      <sheetName val="Sales Comp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nior Debt"/>
      <sheetName val="Senior Mortgage"/>
      <sheetName val="Am Schedule"/>
    </sheetNames>
    <sheetDataSet>
      <sheetData sheetId="0" refreshError="1"/>
      <sheetData sheetId="1">
        <row r="5">
          <cell r="AE5">
            <v>46266</v>
          </cell>
          <cell r="AF5">
            <v>1</v>
          </cell>
          <cell r="AG5">
            <v>57503280</v>
          </cell>
          <cell r="AH5">
            <v>-97445.447668297624</v>
          </cell>
          <cell r="AI5">
            <v>-236669.22184879804</v>
          </cell>
          <cell r="AJ5">
            <v>334114.66951709567</v>
          </cell>
          <cell r="AK5">
            <v>57405834.552331701</v>
          </cell>
          <cell r="AT5">
            <v>49919</v>
          </cell>
          <cell r="AU5">
            <v>1</v>
          </cell>
          <cell r="AV5">
            <v>0</v>
          </cell>
        </row>
        <row r="6">
          <cell r="AE6">
            <v>46296</v>
          </cell>
          <cell r="AF6">
            <v>2</v>
          </cell>
          <cell r="AG6">
            <v>57405834.552331701</v>
          </cell>
          <cell r="AH6">
            <v>-97846.5089342352</v>
          </cell>
          <cell r="AI6">
            <v>-236268.16058286047</v>
          </cell>
          <cell r="AJ6">
            <v>334114.66951709567</v>
          </cell>
          <cell r="AK6">
            <v>57307988.043397464</v>
          </cell>
          <cell r="AT6">
            <v>49949</v>
          </cell>
          <cell r="AU6">
            <v>2</v>
          </cell>
          <cell r="AV6">
            <v>0</v>
          </cell>
        </row>
        <row r="7">
          <cell r="AE7">
            <v>46327</v>
          </cell>
          <cell r="AF7">
            <v>3</v>
          </cell>
          <cell r="AG7">
            <v>57307988.043397464</v>
          </cell>
          <cell r="AH7">
            <v>-98249.220868755918</v>
          </cell>
          <cell r="AI7">
            <v>-235865.44864833975</v>
          </cell>
          <cell r="AJ7">
            <v>334114.66951709567</v>
          </cell>
          <cell r="AK7">
            <v>57209738.822528705</v>
          </cell>
          <cell r="AT7">
            <v>49980</v>
          </cell>
          <cell r="AU7">
            <v>3</v>
          </cell>
          <cell r="AV7">
            <v>0</v>
          </cell>
        </row>
        <row r="8">
          <cell r="AE8">
            <v>46357</v>
          </cell>
          <cell r="AF8">
            <v>4</v>
          </cell>
          <cell r="AG8">
            <v>57209738.822528705</v>
          </cell>
          <cell r="AH8">
            <v>-98653.590265601844</v>
          </cell>
          <cell r="AI8">
            <v>-235461.07925149382</v>
          </cell>
          <cell r="AJ8">
            <v>334114.66951709567</v>
          </cell>
          <cell r="AK8">
            <v>57111085.232263103</v>
          </cell>
          <cell r="AT8">
            <v>50010</v>
          </cell>
          <cell r="AU8">
            <v>4</v>
          </cell>
          <cell r="AV8">
            <v>0</v>
          </cell>
        </row>
        <row r="9">
          <cell r="AE9">
            <v>46388</v>
          </cell>
          <cell r="AF9">
            <v>5</v>
          </cell>
          <cell r="AG9">
            <v>57111085.232263103</v>
          </cell>
          <cell r="AH9">
            <v>-99059.623946476175</v>
          </cell>
          <cell r="AI9">
            <v>-235055.04557061949</v>
          </cell>
          <cell r="AJ9">
            <v>334114.66951709567</v>
          </cell>
          <cell r="AK9">
            <v>57012025.60831663</v>
          </cell>
          <cell r="AT9">
            <v>50041</v>
          </cell>
          <cell r="AU9">
            <v>5</v>
          </cell>
          <cell r="AV9">
            <v>0</v>
          </cell>
        </row>
        <row r="10">
          <cell r="AE10">
            <v>46419</v>
          </cell>
          <cell r="AF10">
            <v>6</v>
          </cell>
          <cell r="AG10">
            <v>57012025.60831663</v>
          </cell>
          <cell r="AH10">
            <v>-99467.328761158889</v>
          </cell>
          <cell r="AI10">
            <v>-234647.34075593678</v>
          </cell>
          <cell r="AJ10">
            <v>334114.66951709567</v>
          </cell>
          <cell r="AK10">
            <v>56912558.27955547</v>
          </cell>
          <cell r="AT10">
            <v>50072</v>
          </cell>
          <cell r="AU10">
            <v>6</v>
          </cell>
          <cell r="AV10">
            <v>0</v>
          </cell>
        </row>
        <row r="11">
          <cell r="AE11">
            <v>46447</v>
          </cell>
          <cell r="AF11">
            <v>7</v>
          </cell>
          <cell r="AG11">
            <v>56912558.27955547</v>
          </cell>
          <cell r="AH11">
            <v>-99876.711587621714</v>
          </cell>
          <cell r="AI11">
            <v>-234237.95792947395</v>
          </cell>
          <cell r="AJ11">
            <v>334114.66951709567</v>
          </cell>
          <cell r="AK11">
            <v>56812681.567967847</v>
          </cell>
          <cell r="AT11">
            <v>50100</v>
          </cell>
          <cell r="AU11">
            <v>7</v>
          </cell>
          <cell r="AV11">
            <v>0</v>
          </cell>
        </row>
        <row r="12">
          <cell r="A12">
            <v>1</v>
          </cell>
          <cell r="B12">
            <v>42614</v>
          </cell>
          <cell r="C12">
            <v>42948</v>
          </cell>
          <cell r="D12">
            <v>1095274.7258118491</v>
          </cell>
          <cell r="E12">
            <v>1471074.6366189634</v>
          </cell>
          <cell r="F12">
            <v>-41739725.274188146</v>
          </cell>
          <cell r="AE12">
            <v>46478</v>
          </cell>
          <cell r="AF12">
            <v>8</v>
          </cell>
          <cell r="AG12">
            <v>56812681.567967847</v>
          </cell>
          <cell r="AH12">
            <v>-100287.77933214445</v>
          </cell>
          <cell r="AI12">
            <v>-233826.89018495122</v>
          </cell>
          <cell r="AJ12">
            <v>334114.66951709567</v>
          </cell>
          <cell r="AK12">
            <v>56712393.788635701</v>
          </cell>
          <cell r="AT12">
            <v>50131</v>
          </cell>
          <cell r="AU12">
            <v>8</v>
          </cell>
          <cell r="AV12">
            <v>0</v>
          </cell>
        </row>
        <row r="13">
          <cell r="A13">
            <v>2</v>
          </cell>
          <cell r="B13">
            <v>42979</v>
          </cell>
          <cell r="C13">
            <v>43313</v>
          </cell>
          <cell r="D13">
            <v>1133944.7691000437</v>
          </cell>
          <cell r="E13">
            <v>1432404.5933307686</v>
          </cell>
          <cell r="F13">
            <v>-40605780.505088106</v>
          </cell>
          <cell r="AE13">
            <v>46508</v>
          </cell>
          <cell r="AF13">
            <v>9</v>
          </cell>
          <cell r="AG13">
            <v>56712393.788635701</v>
          </cell>
          <cell r="AH13">
            <v>-100700.53892943144</v>
          </cell>
          <cell r="AI13">
            <v>-233414.13058766423</v>
          </cell>
          <cell r="AJ13">
            <v>334114.66951709567</v>
          </cell>
          <cell r="AK13">
            <v>56611693.249706268</v>
          </cell>
          <cell r="AT13">
            <v>50161</v>
          </cell>
          <cell r="AU13">
            <v>9</v>
          </cell>
          <cell r="AV13">
            <v>0</v>
          </cell>
        </row>
        <row r="14">
          <cell r="A14">
            <v>3</v>
          </cell>
          <cell r="B14">
            <v>43344</v>
          </cell>
          <cell r="C14">
            <v>43678</v>
          </cell>
          <cell r="D14">
            <v>1173980.1066040823</v>
          </cell>
          <cell r="E14">
            <v>1392369.2558267298</v>
          </cell>
          <cell r="F14">
            <v>-39431800.398484021</v>
          </cell>
          <cell r="AE14">
            <v>46539</v>
          </cell>
          <cell r="AF14">
            <v>10</v>
          </cell>
          <cell r="AG14">
            <v>56611693.249706268</v>
          </cell>
          <cell r="AH14">
            <v>-101114.9973427286</v>
          </cell>
          <cell r="AI14">
            <v>-232999.67217436706</v>
          </cell>
          <cell r="AJ14">
            <v>334114.66951709567</v>
          </cell>
          <cell r="AK14">
            <v>56510578.25236354</v>
          </cell>
          <cell r="AT14">
            <v>50192</v>
          </cell>
          <cell r="AU14">
            <v>10</v>
          </cell>
          <cell r="AV14">
            <v>0</v>
          </cell>
        </row>
        <row r="15">
          <cell r="A15">
            <v>4</v>
          </cell>
          <cell r="B15">
            <v>43709</v>
          </cell>
          <cell r="C15">
            <v>44044</v>
          </cell>
          <cell r="D15">
            <v>1215428.9417428724</v>
          </cell>
          <cell r="E15">
            <v>1350920.4206879397</v>
          </cell>
          <cell r="F15">
            <v>-38216371.456741147</v>
          </cell>
          <cell r="AE15">
            <v>46569</v>
          </cell>
          <cell r="AF15">
            <v>11</v>
          </cell>
          <cell r="AG15">
            <v>56510578.25236354</v>
          </cell>
          <cell r="AH15">
            <v>-101531.16156394078</v>
          </cell>
          <cell r="AI15">
            <v>-232583.50795315488</v>
          </cell>
          <cell r="AJ15">
            <v>334114.66951709567</v>
          </cell>
          <cell r="AK15">
            <v>56409047.0907996</v>
          </cell>
          <cell r="AT15">
            <v>50222</v>
          </cell>
          <cell r="AU15">
            <v>11</v>
          </cell>
          <cell r="AV15">
            <v>0</v>
          </cell>
        </row>
        <row r="16">
          <cell r="A16">
            <v>5</v>
          </cell>
          <cell r="B16">
            <v>44075</v>
          </cell>
          <cell r="C16">
            <v>44409</v>
          </cell>
          <cell r="D16">
            <v>1258341.1798172817</v>
          </cell>
          <cell r="E16">
            <v>1308008.1826135304</v>
          </cell>
          <cell r="F16">
            <v>-36958030.276923873</v>
          </cell>
          <cell r="AE16">
            <v>46600</v>
          </cell>
          <cell r="AF16">
            <v>12</v>
          </cell>
          <cell r="AG16">
            <v>56409047.0907996</v>
          </cell>
          <cell r="AH16">
            <v>-101949.03861374984</v>
          </cell>
          <cell r="AI16">
            <v>-232165.63090334582</v>
          </cell>
          <cell r="AJ16">
            <v>334114.66951709567</v>
          </cell>
          <cell r="AK16">
            <v>56307098.052185848</v>
          </cell>
          <cell r="AT16">
            <v>50253</v>
          </cell>
          <cell r="AU16">
            <v>12</v>
          </cell>
          <cell r="AV16">
            <v>0</v>
          </cell>
        </row>
        <row r="17">
          <cell r="A17">
            <v>6</v>
          </cell>
          <cell r="B17">
            <v>44440</v>
          </cell>
          <cell r="C17">
            <v>44774</v>
          </cell>
          <cell r="D17">
            <v>1302768.488097206</v>
          </cell>
          <cell r="E17">
            <v>1263580.8743336066</v>
          </cell>
          <cell r="F17">
            <v>-35655261.788826674</v>
          </cell>
          <cell r="AE17">
            <v>46631</v>
          </cell>
          <cell r="AF17">
            <v>13</v>
          </cell>
          <cell r="AG17">
            <v>56307098.052185848</v>
          </cell>
          <cell r="AH17">
            <v>-102368.63554173286</v>
          </cell>
          <cell r="AI17">
            <v>-231746.03397536281</v>
          </cell>
          <cell r="AJ17">
            <v>334114.66951709567</v>
          </cell>
          <cell r="AK17">
            <v>56204729.416644119</v>
          </cell>
          <cell r="AT17">
            <v>50284</v>
          </cell>
          <cell r="AU17">
            <v>13</v>
          </cell>
          <cell r="AV17">
            <v>0</v>
          </cell>
        </row>
        <row r="18">
          <cell r="A18">
            <v>7</v>
          </cell>
          <cell r="B18">
            <v>44805</v>
          </cell>
          <cell r="C18">
            <v>45139</v>
          </cell>
          <cell r="D18">
            <v>1348764.3580300878</v>
          </cell>
          <cell r="E18">
            <v>1217585.0044007245</v>
          </cell>
          <cell r="F18">
            <v>-34306497.430796586</v>
          </cell>
          <cell r="AE18">
            <v>46661</v>
          </cell>
          <cell r="AF18">
            <v>14</v>
          </cell>
          <cell r="AG18">
            <v>56204729.416644119</v>
          </cell>
          <cell r="AH18">
            <v>-102789.95942648148</v>
          </cell>
          <cell r="AI18">
            <v>-231324.71009061419</v>
          </cell>
          <cell r="AJ18">
            <v>334114.66951709567</v>
          </cell>
          <cell r="AK18">
            <v>56101939.457217634</v>
          </cell>
          <cell r="AT18">
            <v>50314</v>
          </cell>
          <cell r="AU18">
            <v>14</v>
          </cell>
          <cell r="AV18">
            <v>0</v>
          </cell>
        </row>
        <row r="19">
          <cell r="A19">
            <v>8</v>
          </cell>
          <cell r="B19">
            <v>45170</v>
          </cell>
          <cell r="C19">
            <v>45505</v>
          </cell>
          <cell r="D19">
            <v>1396384.1696457874</v>
          </cell>
          <cell r="E19">
            <v>1169965.1927850244</v>
          </cell>
          <cell r="F19">
            <v>-32910113.261150792</v>
          </cell>
          <cell r="AE19">
            <v>46692</v>
          </cell>
          <cell r="AF19">
            <v>15</v>
          </cell>
          <cell r="AG19">
            <v>56101939.457217634</v>
          </cell>
          <cell r="AH19">
            <v>-103213.01737572081</v>
          </cell>
          <cell r="AI19">
            <v>-230901.65214137486</v>
          </cell>
          <cell r="AJ19">
            <v>334114.66951709567</v>
          </cell>
          <cell r="AK19">
            <v>55998726.439841911</v>
          </cell>
          <cell r="AT19">
            <v>50345</v>
          </cell>
          <cell r="AU19">
            <v>15</v>
          </cell>
          <cell r="AV19">
            <v>0</v>
          </cell>
        </row>
        <row r="20">
          <cell r="A20">
            <v>9</v>
          </cell>
          <cell r="B20">
            <v>45536</v>
          </cell>
          <cell r="C20">
            <v>45870</v>
          </cell>
          <cell r="D20">
            <v>1445685.258235344</v>
          </cell>
          <cell r="E20">
            <v>1120664.1041954681</v>
          </cell>
          <cell r="F20">
            <v>-31464428.002915449</v>
          </cell>
          <cell r="AE20">
            <v>46722</v>
          </cell>
          <cell r="AF20">
            <v>16</v>
          </cell>
          <cell r="AG20">
            <v>55998726.439841911</v>
          </cell>
          <cell r="AH20">
            <v>-103637.81652642973</v>
          </cell>
          <cell r="AI20">
            <v>-230476.85299066594</v>
          </cell>
          <cell r="AJ20">
            <v>334114.66951709567</v>
          </cell>
          <cell r="AK20">
            <v>55895088.623315483</v>
          </cell>
          <cell r="AT20">
            <v>50375</v>
          </cell>
          <cell r="AU20">
            <v>16</v>
          </cell>
          <cell r="AV20">
            <v>0</v>
          </cell>
        </row>
        <row r="21">
          <cell r="A21">
            <v>10</v>
          </cell>
          <cell r="B21">
            <v>45901</v>
          </cell>
          <cell r="C21">
            <v>46235</v>
          </cell>
          <cell r="D21">
            <v>1496726.9833839159</v>
          </cell>
          <cell r="E21">
            <v>1069622.3790468965</v>
          </cell>
          <cell r="F21">
            <v>-29967701.019531537</v>
          </cell>
          <cell r="AE21">
            <v>46753</v>
          </cell>
          <cell r="AF21">
            <v>17</v>
          </cell>
          <cell r="AG21">
            <v>55895088.623315483</v>
          </cell>
          <cell r="AH21">
            <v>-104064.36404496117</v>
          </cell>
          <cell r="AI21">
            <v>-230050.3054721345</v>
          </cell>
          <cell r="AJ21">
            <v>334114.66951709567</v>
          </cell>
          <cell r="AK21">
            <v>55791024.259270519</v>
          </cell>
          <cell r="AT21">
            <v>50406</v>
          </cell>
          <cell r="AU21">
            <v>17</v>
          </cell>
          <cell r="AV21">
            <v>0</v>
          </cell>
        </row>
        <row r="22">
          <cell r="A22">
            <v>11</v>
          </cell>
          <cell r="B22">
            <v>46266</v>
          </cell>
          <cell r="C22">
            <v>46600</v>
          </cell>
          <cell r="D22">
            <v>-1196181.9478141426</v>
          </cell>
          <cell r="E22">
            <v>-2813194.0863910057</v>
          </cell>
          <cell r="F22">
            <v>-86274799.071717381</v>
          </cell>
          <cell r="AE22">
            <v>46784</v>
          </cell>
          <cell r="AF22">
            <v>18</v>
          </cell>
          <cell r="AG22">
            <v>55791024.259270519</v>
          </cell>
          <cell r="AH22">
            <v>-104492.66712716297</v>
          </cell>
          <cell r="AI22">
            <v>-229622.00238993269</v>
          </cell>
          <cell r="AJ22">
            <v>334114.66951709567</v>
          </cell>
          <cell r="AK22">
            <v>55686531.592143357</v>
          </cell>
          <cell r="AT22">
            <v>50437</v>
          </cell>
          <cell r="AU22">
            <v>18</v>
          </cell>
          <cell r="AV22">
            <v>0</v>
          </cell>
        </row>
        <row r="23">
          <cell r="A23">
            <v>12</v>
          </cell>
          <cell r="B23">
            <v>46631</v>
          </cell>
          <cell r="C23">
            <v>46966</v>
          </cell>
          <cell r="D23">
            <v>-1256616.0532630384</v>
          </cell>
          <cell r="E23">
            <v>-2752759.9809421096</v>
          </cell>
          <cell r="F23">
            <v>-85018183.018454343</v>
          </cell>
          <cell r="AE23">
            <v>46813</v>
          </cell>
          <cell r="AF23">
            <v>19</v>
          </cell>
          <cell r="AG23">
            <v>55686531.592143357</v>
          </cell>
          <cell r="AH23">
            <v>-104922.73299849918</v>
          </cell>
          <cell r="AI23">
            <v>-229191.93651859649</v>
          </cell>
          <cell r="AJ23">
            <v>334114.66951709567</v>
          </cell>
          <cell r="AK23">
            <v>55581608.859144859</v>
          </cell>
          <cell r="AT23">
            <v>50465</v>
          </cell>
          <cell r="AU23">
            <v>19</v>
          </cell>
          <cell r="AV23">
            <v>0</v>
          </cell>
        </row>
        <row r="24">
          <cell r="A24">
            <v>13</v>
          </cell>
          <cell r="B24">
            <v>46997</v>
          </cell>
          <cell r="C24">
            <v>47331</v>
          </cell>
          <cell r="D24">
            <v>-1320103.4409555614</v>
          </cell>
          <cell r="E24">
            <v>-2689272.5932495869</v>
          </cell>
          <cell r="F24">
            <v>-83698079.577498794</v>
          </cell>
          <cell r="AE24">
            <v>46844</v>
          </cell>
          <cell r="AF24">
            <v>20</v>
          </cell>
          <cell r="AG24">
            <v>55581608.859144859</v>
          </cell>
          <cell r="AH24">
            <v>-105354.56891417221</v>
          </cell>
          <cell r="AI24">
            <v>-228760.10060292346</v>
          </cell>
          <cell r="AJ24">
            <v>334114.66951709567</v>
          </cell>
          <cell r="AK24">
            <v>55476254.290230684</v>
          </cell>
          <cell r="AT24">
            <v>50496</v>
          </cell>
          <cell r="AU24">
            <v>20</v>
          </cell>
          <cell r="AV24">
            <v>0</v>
          </cell>
        </row>
        <row r="25">
          <cell r="A25">
            <v>14</v>
          </cell>
          <cell r="B25">
            <v>47362</v>
          </cell>
          <cell r="C25">
            <v>47696</v>
          </cell>
          <cell r="D25">
            <v>-1386798.3703514985</v>
          </cell>
          <cell r="E25">
            <v>-2622577.663853649</v>
          </cell>
          <cell r="F25">
            <v>-82311281.2071473</v>
          </cell>
          <cell r="AE25">
            <v>46874</v>
          </cell>
          <cell r="AF25">
            <v>21</v>
          </cell>
          <cell r="AG25">
            <v>55476254.290230684</v>
          </cell>
          <cell r="AH25">
            <v>-105788.18215924507</v>
          </cell>
          <cell r="AI25">
            <v>-228326.48735785059</v>
          </cell>
          <cell r="AJ25">
            <v>334114.66951709567</v>
          </cell>
          <cell r="AK25">
            <v>55370466.108071439</v>
          </cell>
          <cell r="AT25">
            <v>50526</v>
          </cell>
          <cell r="AU25">
            <v>21</v>
          </cell>
          <cell r="AV25">
            <v>0</v>
          </cell>
        </row>
        <row r="26">
          <cell r="A26">
            <v>15</v>
          </cell>
          <cell r="B26">
            <v>47727</v>
          </cell>
          <cell r="C26">
            <v>48061</v>
          </cell>
          <cell r="D26">
            <v>-1456862.8944845789</v>
          </cell>
          <cell r="E26">
            <v>-2552513.1397205694</v>
          </cell>
          <cell r="F26">
            <v>-80854418.312662721</v>
          </cell>
          <cell r="AE26">
            <v>46905</v>
          </cell>
          <cell r="AF26">
            <v>22</v>
          </cell>
          <cell r="AG26">
            <v>55370466.108071439</v>
          </cell>
          <cell r="AH26">
            <v>-106223.58004876418</v>
          </cell>
          <cell r="AI26">
            <v>-227891.08946833148</v>
          </cell>
          <cell r="AJ26">
            <v>334114.66951709567</v>
          </cell>
          <cell r="AK26">
            <v>55264242.528022677</v>
          </cell>
          <cell r="AT26">
            <v>50557</v>
          </cell>
          <cell r="AU26">
            <v>22</v>
          </cell>
          <cell r="AV26">
            <v>0</v>
          </cell>
        </row>
        <row r="27">
          <cell r="A27">
            <v>16</v>
          </cell>
          <cell r="B27">
            <v>48092</v>
          </cell>
          <cell r="C27">
            <v>48427</v>
          </cell>
          <cell r="D27">
            <v>-1530467.2537133344</v>
          </cell>
          <cell r="E27">
            <v>-2478908.7804918136</v>
          </cell>
          <cell r="F27">
            <v>-79323951.058949381</v>
          </cell>
          <cell r="AE27">
            <v>46935</v>
          </cell>
          <cell r="AF27">
            <v>23</v>
          </cell>
          <cell r="AG27">
            <v>55264242.528022677</v>
          </cell>
          <cell r="AH27">
            <v>-106660.769927883</v>
          </cell>
          <cell r="AI27">
            <v>-227453.89958921267</v>
          </cell>
          <cell r="AJ27">
            <v>334114.66951709567</v>
          </cell>
          <cell r="AK27">
            <v>55157581.758094795</v>
          </cell>
          <cell r="AT27">
            <v>50587</v>
          </cell>
          <cell r="AU27">
            <v>23</v>
          </cell>
          <cell r="AV27">
            <v>0</v>
          </cell>
        </row>
        <row r="28">
          <cell r="A28">
            <v>17</v>
          </cell>
          <cell r="B28">
            <v>48458</v>
          </cell>
          <cell r="C28">
            <v>48792</v>
          </cell>
          <cell r="D28">
            <v>-1607790.2893652362</v>
          </cell>
          <cell r="E28">
            <v>-2401585.7448399118</v>
          </cell>
          <cell r="F28">
            <v>-77716160.769584149</v>
          </cell>
          <cell r="AE28">
            <v>46966</v>
          </cell>
          <cell r="AF28">
            <v>24</v>
          </cell>
          <cell r="AG28">
            <v>55157581.758094795</v>
          </cell>
          <cell r="AH28">
            <v>-107099.75917198567</v>
          </cell>
          <cell r="AI28">
            <v>-227014.91034510999</v>
          </cell>
          <cell r="AJ28">
            <v>334114.66951709567</v>
          </cell>
          <cell r="AK28">
            <v>55050481.99892281</v>
          </cell>
          <cell r="AT28">
            <v>50618</v>
          </cell>
          <cell r="AU28">
            <v>24</v>
          </cell>
          <cell r="AV28">
            <v>0</v>
          </cell>
        </row>
        <row r="29">
          <cell r="A29">
            <v>18</v>
          </cell>
          <cell r="B29">
            <v>48823</v>
          </cell>
          <cell r="C29">
            <v>49157</v>
          </cell>
          <cell r="D29">
            <v>-1689019.8782791684</v>
          </cell>
          <cell r="E29">
            <v>-2320356.1559259798</v>
          </cell>
          <cell r="F29">
            <v>-76027140.89130497</v>
          </cell>
          <cell r="AE29">
            <v>46997</v>
          </cell>
          <cell r="AF29">
            <v>25</v>
          </cell>
          <cell r="AG29">
            <v>55050481.99892281</v>
          </cell>
          <cell r="AH29">
            <v>-107540.55518681178</v>
          </cell>
          <cell r="AI29">
            <v>-226574.11433028389</v>
          </cell>
          <cell r="AJ29">
            <v>334114.66951709567</v>
          </cell>
          <cell r="AK29">
            <v>54942941.443736002</v>
          </cell>
          <cell r="AT29">
            <v>50649</v>
          </cell>
          <cell r="AU29">
            <v>25</v>
          </cell>
          <cell r="AV29">
            <v>0</v>
          </cell>
        </row>
        <row r="30">
          <cell r="A30">
            <v>19</v>
          </cell>
          <cell r="B30">
            <v>49188</v>
          </cell>
          <cell r="C30">
            <v>49522</v>
          </cell>
          <cell r="D30">
            <v>-1774353.3893020784</v>
          </cell>
          <cell r="E30">
            <v>-2235022.6449030698</v>
          </cell>
          <cell r="F30">
            <v>-74252787.50200288</v>
          </cell>
          <cell r="AE30">
            <v>47027</v>
          </cell>
          <cell r="AF30">
            <v>26</v>
          </cell>
          <cell r="AG30">
            <v>54942941.443736002</v>
          </cell>
          <cell r="AH30">
            <v>-107983.16540858088</v>
          </cell>
          <cell r="AI30">
            <v>-226131.50410851478</v>
          </cell>
          <cell r="AJ30">
            <v>334114.66951709567</v>
          </cell>
          <cell r="AK30">
            <v>54834958.27832742</v>
          </cell>
          <cell r="AT30">
            <v>50679</v>
          </cell>
          <cell r="AU30">
            <v>26</v>
          </cell>
          <cell r="AV30">
            <v>0</v>
          </cell>
        </row>
        <row r="31">
          <cell r="A31">
            <v>20</v>
          </cell>
          <cell r="B31">
            <v>49553</v>
          </cell>
          <cell r="C31">
            <v>49888</v>
          </cell>
          <cell r="D31">
            <v>-1863998.1628489774</v>
          </cell>
          <cell r="E31">
            <v>-2145377.8713561706</v>
          </cell>
          <cell r="F31">
            <v>-72388789.339153901</v>
          </cell>
          <cell r="AE31">
            <v>47058</v>
          </cell>
          <cell r="AF31">
            <v>27</v>
          </cell>
          <cell r="AG31">
            <v>54834958.27832742</v>
          </cell>
          <cell r="AH31">
            <v>-108427.59730411824</v>
          </cell>
          <cell r="AI31">
            <v>-225687.07221297742</v>
          </cell>
          <cell r="AJ31">
            <v>334114.66951709567</v>
          </cell>
          <cell r="AK31">
            <v>54726530.6810233</v>
          </cell>
          <cell r="AT31">
            <v>50710</v>
          </cell>
          <cell r="AU31">
            <v>27</v>
          </cell>
          <cell r="AV31">
            <v>0</v>
          </cell>
        </row>
        <row r="32">
          <cell r="A32">
            <v>21</v>
          </cell>
          <cell r="B32">
            <v>49919</v>
          </cell>
          <cell r="C32">
            <v>50253</v>
          </cell>
          <cell r="D32">
            <v>-1958172.0146915121</v>
          </cell>
          <cell r="E32">
            <v>-2051204.0195136359</v>
          </cell>
          <cell r="F32">
            <v>-70430617.324462399</v>
          </cell>
          <cell r="AE32">
            <v>47088</v>
          </cell>
          <cell r="AF32">
            <v>28</v>
          </cell>
          <cell r="AG32">
            <v>54726530.6810233</v>
          </cell>
          <cell r="AH32">
            <v>-108873.85837098092</v>
          </cell>
          <cell r="AI32">
            <v>-225240.81114611475</v>
          </cell>
          <cell r="AJ32">
            <v>334114.66951709567</v>
          </cell>
          <cell r="AK32">
            <v>54617656.822652318</v>
          </cell>
          <cell r="AT32">
            <v>50740</v>
          </cell>
          <cell r="AU32">
            <v>28</v>
          </cell>
          <cell r="AV32">
            <v>0</v>
          </cell>
        </row>
        <row r="33">
          <cell r="AE33">
            <v>47119</v>
          </cell>
          <cell r="AF33">
            <v>29</v>
          </cell>
          <cell r="AG33">
            <v>54617656.822652318</v>
          </cell>
          <cell r="AH33">
            <v>-109321.95613758371</v>
          </cell>
          <cell r="AI33">
            <v>-224792.71337951196</v>
          </cell>
          <cell r="AJ33">
            <v>334114.66951709567</v>
          </cell>
          <cell r="AK33">
            <v>54508334.866514735</v>
          </cell>
          <cell r="AT33">
            <v>50771</v>
          </cell>
          <cell r="AU33">
            <v>29</v>
          </cell>
          <cell r="AV33">
            <v>0</v>
          </cell>
        </row>
        <row r="34">
          <cell r="AE34">
            <v>47150</v>
          </cell>
          <cell r="AF34">
            <v>30</v>
          </cell>
          <cell r="AG34">
            <v>54508334.866514735</v>
          </cell>
          <cell r="AH34">
            <v>-109771.89816332675</v>
          </cell>
          <cell r="AI34">
            <v>-224342.77135376891</v>
          </cell>
          <cell r="AJ34">
            <v>334114.66951709567</v>
          </cell>
          <cell r="AK34">
            <v>54398562.968351409</v>
          </cell>
          <cell r="AT34">
            <v>50802</v>
          </cell>
          <cell r="AU34">
            <v>30</v>
          </cell>
          <cell r="AV34">
            <v>0</v>
          </cell>
        </row>
        <row r="35">
          <cell r="AE35">
            <v>47178</v>
          </cell>
          <cell r="AF35">
            <v>31</v>
          </cell>
          <cell r="AG35">
            <v>54398562.968351409</v>
          </cell>
          <cell r="AH35">
            <v>-110223.6920387228</v>
          </cell>
          <cell r="AI35">
            <v>-223890.97747837286</v>
          </cell>
          <cell r="AJ35">
            <v>334114.66951709567</v>
          </cell>
          <cell r="AK35">
            <v>54288339.276312687</v>
          </cell>
          <cell r="AT35">
            <v>50830</v>
          </cell>
          <cell r="AU35">
            <v>31</v>
          </cell>
          <cell r="AV35">
            <v>0</v>
          </cell>
        </row>
        <row r="36">
          <cell r="AE36">
            <v>47209</v>
          </cell>
          <cell r="AF36">
            <v>32</v>
          </cell>
          <cell r="AG36">
            <v>54288339.276312687</v>
          </cell>
          <cell r="AH36">
            <v>-110677.34538552497</v>
          </cell>
          <cell r="AI36">
            <v>-223437.3241315707</v>
          </cell>
          <cell r="AJ36">
            <v>334114.66951709567</v>
          </cell>
          <cell r="AK36">
            <v>54177661.930927165</v>
          </cell>
          <cell r="AT36">
            <v>50861</v>
          </cell>
          <cell r="AU36">
            <v>32</v>
          </cell>
          <cell r="AV36">
            <v>0</v>
          </cell>
        </row>
        <row r="37">
          <cell r="AE37">
            <v>47239</v>
          </cell>
          <cell r="AF37">
            <v>33</v>
          </cell>
          <cell r="AG37">
            <v>54177661.930927165</v>
          </cell>
          <cell r="AH37">
            <v>-111132.86585685608</v>
          </cell>
          <cell r="AI37">
            <v>-222981.80366023959</v>
          </cell>
          <cell r="AJ37">
            <v>334114.66951709567</v>
          </cell>
          <cell r="AK37">
            <v>54066529.065070309</v>
          </cell>
          <cell r="AT37">
            <v>50891</v>
          </cell>
          <cell r="AU37">
            <v>33</v>
          </cell>
          <cell r="AV37">
            <v>0</v>
          </cell>
        </row>
        <row r="38">
          <cell r="AE38">
            <v>47270</v>
          </cell>
          <cell r="AF38">
            <v>34</v>
          </cell>
          <cell r="AG38">
            <v>54066529.065070309</v>
          </cell>
          <cell r="AH38">
            <v>-111590.26113733693</v>
          </cell>
          <cell r="AI38">
            <v>-222524.40837975874</v>
          </cell>
          <cell r="AJ38">
            <v>334114.66951709567</v>
          </cell>
          <cell r="AK38">
            <v>53954938.803932972</v>
          </cell>
          <cell r="AT38">
            <v>50922</v>
          </cell>
          <cell r="AU38">
            <v>34</v>
          </cell>
          <cell r="AV38">
            <v>0</v>
          </cell>
        </row>
        <row r="39">
          <cell r="AE39">
            <v>47300</v>
          </cell>
          <cell r="AF39">
            <v>35</v>
          </cell>
          <cell r="AG39">
            <v>53954938.803932972</v>
          </cell>
          <cell r="AH39">
            <v>-112049.5389432165</v>
          </cell>
          <cell r="AI39">
            <v>-222065.13057387917</v>
          </cell>
          <cell r="AJ39">
            <v>334114.66951709567</v>
          </cell>
          <cell r="AK39">
            <v>53842889.264989756</v>
          </cell>
          <cell r="AT39">
            <v>50952</v>
          </cell>
          <cell r="AU39">
            <v>35</v>
          </cell>
          <cell r="AV39">
            <v>0</v>
          </cell>
        </row>
        <row r="40">
          <cell r="AE40">
            <v>47331</v>
          </cell>
          <cell r="AF40">
            <v>36</v>
          </cell>
          <cell r="AG40">
            <v>53842889.264989756</v>
          </cell>
          <cell r="AH40">
            <v>-112510.70702250183</v>
          </cell>
          <cell r="AI40">
            <v>-221603.96249459384</v>
          </cell>
          <cell r="AJ40">
            <v>334114.66951709567</v>
          </cell>
          <cell r="AK40">
            <v>53730378.557967253</v>
          </cell>
          <cell r="AT40">
            <v>50983</v>
          </cell>
          <cell r="AU40">
            <v>36</v>
          </cell>
          <cell r="AV40">
            <v>0</v>
          </cell>
        </row>
        <row r="41">
          <cell r="AE41">
            <v>47362</v>
          </cell>
          <cell r="AF41">
            <v>37</v>
          </cell>
          <cell r="AG41">
            <v>53730378.557967253</v>
          </cell>
          <cell r="AH41">
            <v>-112973.77315508894</v>
          </cell>
          <cell r="AI41">
            <v>-221140.89636200672</v>
          </cell>
          <cell r="AJ41">
            <v>334114.66951709567</v>
          </cell>
          <cell r="AK41">
            <v>53617404.784812167</v>
          </cell>
          <cell r="AT41">
            <v>51014</v>
          </cell>
          <cell r="AU41">
            <v>37</v>
          </cell>
          <cell r="AV41">
            <v>0</v>
          </cell>
        </row>
        <row r="42">
          <cell r="AE42">
            <v>47392</v>
          </cell>
          <cell r="AF42">
            <v>38</v>
          </cell>
          <cell r="AG42">
            <v>53617404.784812167</v>
          </cell>
          <cell r="AH42">
            <v>-113438.74515289388</v>
          </cell>
          <cell r="AI42">
            <v>-220675.92436420178</v>
          </cell>
          <cell r="AJ42">
            <v>334114.66951709567</v>
          </cell>
          <cell r="AK42">
            <v>53503966.039659277</v>
          </cell>
          <cell r="AT42">
            <v>51044</v>
          </cell>
          <cell r="AU42">
            <v>38</v>
          </cell>
          <cell r="AV42">
            <v>0</v>
          </cell>
        </row>
        <row r="43">
          <cell r="AE43">
            <v>47423</v>
          </cell>
          <cell r="AF43">
            <v>39</v>
          </cell>
          <cell r="AG43">
            <v>53503966.039659277</v>
          </cell>
          <cell r="AH43">
            <v>-113905.63085998467</v>
          </cell>
          <cell r="AI43">
            <v>-220209.038657111</v>
          </cell>
          <cell r="AJ43">
            <v>334114.66951709567</v>
          </cell>
          <cell r="AK43">
            <v>53390060.408799291</v>
          </cell>
          <cell r="AT43">
            <v>51075</v>
          </cell>
          <cell r="AU43">
            <v>39</v>
          </cell>
          <cell r="AV43">
            <v>0</v>
          </cell>
        </row>
        <row r="44">
          <cell r="AE44">
            <v>47453</v>
          </cell>
          <cell r="AF44">
            <v>40</v>
          </cell>
          <cell r="AG44">
            <v>53390060.408799291</v>
          </cell>
          <cell r="AH44">
            <v>-114374.43815271356</v>
          </cell>
          <cell r="AI44">
            <v>-219740.23136438211</v>
          </cell>
          <cell r="AJ44">
            <v>334114.66951709567</v>
          </cell>
          <cell r="AK44">
            <v>53275685.970646575</v>
          </cell>
          <cell r="AT44">
            <v>51105</v>
          </cell>
          <cell r="AU44">
            <v>40</v>
          </cell>
          <cell r="AV44">
            <v>0</v>
          </cell>
        </row>
        <row r="45">
          <cell r="AE45">
            <v>47484</v>
          </cell>
          <cell r="AF45">
            <v>41</v>
          </cell>
          <cell r="AG45">
            <v>53275685.970646575</v>
          </cell>
          <cell r="AH45">
            <v>-114845.17493984979</v>
          </cell>
          <cell r="AI45">
            <v>-219269.49457724587</v>
          </cell>
          <cell r="AJ45">
            <v>334114.66951709567</v>
          </cell>
          <cell r="AK45">
            <v>53160840.795706727</v>
          </cell>
          <cell r="AT45">
            <v>51136</v>
          </cell>
          <cell r="AU45">
            <v>41</v>
          </cell>
          <cell r="AV45">
            <v>0</v>
          </cell>
        </row>
        <row r="46">
          <cell r="AE46">
            <v>47515</v>
          </cell>
          <cell r="AF46">
            <v>42</v>
          </cell>
          <cell r="AG46">
            <v>53160840.795706727</v>
          </cell>
          <cell r="AH46">
            <v>-115317.8491627133</v>
          </cell>
          <cell r="AI46">
            <v>-218796.82035438236</v>
          </cell>
          <cell r="AJ46">
            <v>334114.66951709567</v>
          </cell>
          <cell r="AK46">
            <v>53045522.946544014</v>
          </cell>
          <cell r="AT46">
            <v>51167</v>
          </cell>
          <cell r="AU46">
            <v>42</v>
          </cell>
          <cell r="AV46">
            <v>0</v>
          </cell>
        </row>
        <row r="47">
          <cell r="AE47">
            <v>47543</v>
          </cell>
          <cell r="AF47">
            <v>43</v>
          </cell>
          <cell r="AG47">
            <v>53045522.946544014</v>
          </cell>
          <cell r="AH47">
            <v>-115792.46879530841</v>
          </cell>
          <cell r="AI47">
            <v>-218322.20072178726</v>
          </cell>
          <cell r="AJ47">
            <v>334114.66951709567</v>
          </cell>
          <cell r="AK47">
            <v>52929730.477748707</v>
          </cell>
          <cell r="AT47">
            <v>51196</v>
          </cell>
          <cell r="AU47">
            <v>43</v>
          </cell>
          <cell r="AV47">
            <v>0</v>
          </cell>
        </row>
        <row r="48">
          <cell r="AE48">
            <v>47574</v>
          </cell>
          <cell r="AF48">
            <v>44</v>
          </cell>
          <cell r="AG48">
            <v>52929730.477748707</v>
          </cell>
          <cell r="AH48">
            <v>-116269.04184445867</v>
          </cell>
          <cell r="AI48">
            <v>-217845.627672637</v>
          </cell>
          <cell r="AJ48">
            <v>334114.66951709567</v>
          </cell>
          <cell r="AK48">
            <v>52813461.43590425</v>
          </cell>
          <cell r="AT48">
            <v>51227</v>
          </cell>
          <cell r="AU48">
            <v>44</v>
          </cell>
          <cell r="AV48">
            <v>0</v>
          </cell>
        </row>
        <row r="49">
          <cell r="AE49">
            <v>47604</v>
          </cell>
          <cell r="AF49">
            <v>45</v>
          </cell>
          <cell r="AG49">
            <v>52813461.43590425</v>
          </cell>
          <cell r="AH49">
            <v>-116747.57634994137</v>
          </cell>
          <cell r="AI49">
            <v>-217367.09316715429</v>
          </cell>
          <cell r="AJ49">
            <v>334114.66951709567</v>
          </cell>
          <cell r="AK49">
            <v>52696713.859554306</v>
          </cell>
          <cell r="AT49">
            <v>51257</v>
          </cell>
          <cell r="AU49">
            <v>45</v>
          </cell>
          <cell r="AV49">
            <v>0</v>
          </cell>
        </row>
        <row r="50">
          <cell r="AE50">
            <v>47635</v>
          </cell>
          <cell r="AF50">
            <v>46</v>
          </cell>
          <cell r="AG50">
            <v>52696713.859554306</v>
          </cell>
          <cell r="AH50">
            <v>-117228.08038462378</v>
          </cell>
          <cell r="AI50">
            <v>-216886.58913247188</v>
          </cell>
          <cell r="AJ50">
            <v>334114.66951709567</v>
          </cell>
          <cell r="AK50">
            <v>52579485.779169679</v>
          </cell>
          <cell r="AT50">
            <v>51288</v>
          </cell>
          <cell r="AU50">
            <v>46</v>
          </cell>
          <cell r="AV50">
            <v>0</v>
          </cell>
        </row>
        <row r="51">
          <cell r="AE51">
            <v>47665</v>
          </cell>
          <cell r="AF51">
            <v>47</v>
          </cell>
          <cell r="AG51">
            <v>52579485.779169679</v>
          </cell>
          <cell r="AH51">
            <v>-117710.56205459908</v>
          </cell>
          <cell r="AI51">
            <v>-216404.10746249658</v>
          </cell>
          <cell r="AJ51">
            <v>334114.66951709567</v>
          </cell>
          <cell r="AK51">
            <v>52461775.217115082</v>
          </cell>
          <cell r="AT51">
            <v>51318</v>
          </cell>
          <cell r="AU51">
            <v>47</v>
          </cell>
          <cell r="AV51">
            <v>0</v>
          </cell>
        </row>
        <row r="52">
          <cell r="AE52">
            <v>47696</v>
          </cell>
          <cell r="AF52">
            <v>48</v>
          </cell>
          <cell r="AG52">
            <v>52461775.217115082</v>
          </cell>
          <cell r="AH52">
            <v>-118195.02949932305</v>
          </cell>
          <cell r="AI52">
            <v>-215919.64001777262</v>
          </cell>
          <cell r="AJ52">
            <v>334114.66951709567</v>
          </cell>
          <cell r="AK52">
            <v>52343580.18761576</v>
          </cell>
          <cell r="AT52">
            <v>51349</v>
          </cell>
          <cell r="AU52">
            <v>48</v>
          </cell>
          <cell r="AV52">
            <v>0</v>
          </cell>
        </row>
        <row r="53">
          <cell r="AE53">
            <v>47727</v>
          </cell>
          <cell r="AF53">
            <v>49</v>
          </cell>
          <cell r="AG53">
            <v>52343580.18761576</v>
          </cell>
          <cell r="AH53">
            <v>-118681.49089175145</v>
          </cell>
          <cell r="AI53">
            <v>-215433.17862534421</v>
          </cell>
          <cell r="AJ53">
            <v>334114.66951709567</v>
          </cell>
          <cell r="AK53">
            <v>52224898.696724005</v>
          </cell>
          <cell r="AT53">
            <v>51380</v>
          </cell>
          <cell r="AU53">
            <v>49</v>
          </cell>
          <cell r="AV53">
            <v>0</v>
          </cell>
        </row>
        <row r="54">
          <cell r="AE54">
            <v>47757</v>
          </cell>
          <cell r="AF54">
            <v>50</v>
          </cell>
          <cell r="AG54">
            <v>52224898.696724005</v>
          </cell>
          <cell r="AH54">
            <v>-119169.9544384779</v>
          </cell>
          <cell r="AI54">
            <v>-214944.71507861777</v>
          </cell>
          <cell r="AJ54">
            <v>334114.66951709567</v>
          </cell>
          <cell r="AK54">
            <v>52105728.742285527</v>
          </cell>
          <cell r="AT54">
            <v>51410</v>
          </cell>
          <cell r="AU54">
            <v>50</v>
          </cell>
          <cell r="AV54">
            <v>0</v>
          </cell>
        </row>
        <row r="55">
          <cell r="AE55">
            <v>47788</v>
          </cell>
          <cell r="AF55">
            <v>51</v>
          </cell>
          <cell r="AG55">
            <v>52105728.742285527</v>
          </cell>
          <cell r="AH55">
            <v>-119660.42837987241</v>
          </cell>
          <cell r="AI55">
            <v>-214454.24113722326</v>
          </cell>
          <cell r="AJ55">
            <v>334114.66951709567</v>
          </cell>
          <cell r="AK55">
            <v>51986068.313905656</v>
          </cell>
          <cell r="AT55">
            <v>51441</v>
          </cell>
          <cell r="AU55">
            <v>51</v>
          </cell>
          <cell r="AV55">
            <v>0</v>
          </cell>
        </row>
        <row r="56">
          <cell r="AE56">
            <v>47818</v>
          </cell>
          <cell r="AF56">
            <v>52</v>
          </cell>
          <cell r="AG56">
            <v>51986068.313905656</v>
          </cell>
          <cell r="AH56">
            <v>-120152.92099022018</v>
          </cell>
          <cell r="AI56">
            <v>-213961.74852687548</v>
          </cell>
          <cell r="AJ56">
            <v>334114.66951709567</v>
          </cell>
          <cell r="AK56">
            <v>51865915.392915435</v>
          </cell>
          <cell r="AT56">
            <v>51471</v>
          </cell>
          <cell r="AU56">
            <v>52</v>
          </cell>
          <cell r="AV56">
            <v>0</v>
          </cell>
        </row>
        <row r="57">
          <cell r="AE57">
            <v>47849</v>
          </cell>
          <cell r="AF57">
            <v>53</v>
          </cell>
          <cell r="AG57">
            <v>51865915.392915435</v>
          </cell>
          <cell r="AH57">
            <v>-120647.44057786139</v>
          </cell>
          <cell r="AI57">
            <v>-213467.22893923428</v>
          </cell>
          <cell r="AJ57">
            <v>334114.66951709567</v>
          </cell>
          <cell r="AK57">
            <v>51745267.95233757</v>
          </cell>
          <cell r="AT57">
            <v>51502</v>
          </cell>
          <cell r="AU57">
            <v>53</v>
          </cell>
          <cell r="AV57">
            <v>0</v>
          </cell>
        </row>
        <row r="58">
          <cell r="AE58">
            <v>47880</v>
          </cell>
          <cell r="AF58">
            <v>54</v>
          </cell>
          <cell r="AG58">
            <v>51745267.95233757</v>
          </cell>
          <cell r="AH58">
            <v>-121143.99548533119</v>
          </cell>
          <cell r="AI58">
            <v>-212970.67403176447</v>
          </cell>
          <cell r="AJ58">
            <v>334114.66951709567</v>
          </cell>
          <cell r="AK58">
            <v>51624123.956852242</v>
          </cell>
          <cell r="AT58">
            <v>51533</v>
          </cell>
          <cell r="AU58">
            <v>54</v>
          </cell>
          <cell r="AV58">
            <v>0</v>
          </cell>
        </row>
        <row r="59">
          <cell r="AE59">
            <v>47908</v>
          </cell>
          <cell r="AF59">
            <v>55</v>
          </cell>
          <cell r="AG59">
            <v>51624123.956852242</v>
          </cell>
          <cell r="AH59">
            <v>-121642.59408950066</v>
          </cell>
          <cell r="AI59">
            <v>-212472.075427595</v>
          </cell>
          <cell r="AJ59">
            <v>334114.66951709567</v>
          </cell>
          <cell r="AK59">
            <v>51502481.362762742</v>
          </cell>
          <cell r="AT59">
            <v>51561</v>
          </cell>
          <cell r="AU59">
            <v>55</v>
          </cell>
          <cell r="AV59">
            <v>0</v>
          </cell>
        </row>
        <row r="60">
          <cell r="AE60">
            <v>47939</v>
          </cell>
          <cell r="AF60">
            <v>56</v>
          </cell>
          <cell r="AG60">
            <v>51502481.362762742</v>
          </cell>
          <cell r="AH60">
            <v>-122143.24480171801</v>
          </cell>
          <cell r="AI60">
            <v>-211971.42471537765</v>
          </cell>
          <cell r="AJ60">
            <v>334114.66951709567</v>
          </cell>
          <cell r="AK60">
            <v>51380338.117961027</v>
          </cell>
          <cell r="AT60">
            <v>51592</v>
          </cell>
          <cell r="AU60">
            <v>56</v>
          </cell>
          <cell r="AV60">
            <v>0</v>
          </cell>
        </row>
        <row r="61">
          <cell r="AE61">
            <v>47969</v>
          </cell>
          <cell r="AF61">
            <v>57</v>
          </cell>
          <cell r="AG61">
            <v>51380338.117961027</v>
          </cell>
          <cell r="AH61">
            <v>-122645.95606795029</v>
          </cell>
          <cell r="AI61">
            <v>-211468.71344914538</v>
          </cell>
          <cell r="AJ61">
            <v>334114.66951709567</v>
          </cell>
          <cell r="AK61">
            <v>51257692.161893077</v>
          </cell>
          <cell r="AT61">
            <v>51622</v>
          </cell>
          <cell r="AU61">
            <v>57</v>
          </cell>
          <cell r="AV61">
            <v>0</v>
          </cell>
        </row>
        <row r="62">
          <cell r="AE62">
            <v>48000</v>
          </cell>
          <cell r="AF62">
            <v>58</v>
          </cell>
          <cell r="AG62">
            <v>51257692.161893077</v>
          </cell>
          <cell r="AH62">
            <v>-123150.73636892618</v>
          </cell>
          <cell r="AI62">
            <v>-210963.93314816948</v>
          </cell>
          <cell r="AJ62">
            <v>334114.66951709567</v>
          </cell>
          <cell r="AK62">
            <v>51134541.425524153</v>
          </cell>
          <cell r="AT62">
            <v>51653</v>
          </cell>
          <cell r="AU62">
            <v>58</v>
          </cell>
          <cell r="AV62">
            <v>0</v>
          </cell>
        </row>
        <row r="63">
          <cell r="AE63">
            <v>48030</v>
          </cell>
          <cell r="AF63">
            <v>59</v>
          </cell>
          <cell r="AG63">
            <v>51134541.425524153</v>
          </cell>
          <cell r="AH63">
            <v>-123657.59422027905</v>
          </cell>
          <cell r="AI63">
            <v>-210457.07529681662</v>
          </cell>
          <cell r="AJ63">
            <v>334114.66951709567</v>
          </cell>
          <cell r="AK63">
            <v>51010883.831303872</v>
          </cell>
          <cell r="AT63">
            <v>51683</v>
          </cell>
          <cell r="AU63">
            <v>59</v>
          </cell>
          <cell r="AV63">
            <v>0</v>
          </cell>
        </row>
        <row r="64">
          <cell r="AE64">
            <v>48061</v>
          </cell>
          <cell r="AF64">
            <v>60</v>
          </cell>
          <cell r="AG64">
            <v>51010883.831303872</v>
          </cell>
          <cell r="AH64">
            <v>-124166.53817269029</v>
          </cell>
          <cell r="AI64">
            <v>-209948.13134440538</v>
          </cell>
          <cell r="AJ64">
            <v>334114.66951709567</v>
          </cell>
          <cell r="AK64">
            <v>50886717.29313118</v>
          </cell>
          <cell r="AT64">
            <v>51714</v>
          </cell>
          <cell r="AU64">
            <v>60</v>
          </cell>
          <cell r="AV64">
            <v>0</v>
          </cell>
        </row>
        <row r="65">
          <cell r="AE65">
            <v>48092</v>
          </cell>
          <cell r="AF65">
            <v>61</v>
          </cell>
          <cell r="AG65">
            <v>50886717.29313118</v>
          </cell>
          <cell r="AH65">
            <v>-124677.57681203377</v>
          </cell>
          <cell r="AI65">
            <v>-209437.09270506189</v>
          </cell>
          <cell r="AJ65">
            <v>334114.66951709567</v>
          </cell>
          <cell r="AK65">
            <v>50762039.716319144</v>
          </cell>
          <cell r="AT65">
            <v>51745</v>
          </cell>
          <cell r="AU65">
            <v>61</v>
          </cell>
          <cell r="AV65">
            <v>0</v>
          </cell>
        </row>
        <row r="66">
          <cell r="AE66">
            <v>48122</v>
          </cell>
          <cell r="AF66">
            <v>62</v>
          </cell>
          <cell r="AG66">
            <v>50762039.716319144</v>
          </cell>
          <cell r="AH66">
            <v>-125190.71875952091</v>
          </cell>
          <cell r="AI66">
            <v>-208923.95075757476</v>
          </cell>
          <cell r="AJ66">
            <v>334114.66951709567</v>
          </cell>
          <cell r="AK66">
            <v>50636848.997559622</v>
          </cell>
          <cell r="AT66">
            <v>51775</v>
          </cell>
          <cell r="AU66">
            <v>62</v>
          </cell>
          <cell r="AV66">
            <v>0</v>
          </cell>
        </row>
        <row r="67">
          <cell r="AE67">
            <v>48153</v>
          </cell>
          <cell r="AF67">
            <v>63</v>
          </cell>
          <cell r="AG67">
            <v>50636848.997559622</v>
          </cell>
          <cell r="AH67">
            <v>-125705.97267184572</v>
          </cell>
          <cell r="AI67">
            <v>-208408.69684524994</v>
          </cell>
          <cell r="AJ67">
            <v>334114.66951709567</v>
          </cell>
          <cell r="AK67">
            <v>50511143.024887778</v>
          </cell>
          <cell r="AT67">
            <v>51806</v>
          </cell>
          <cell r="AU67">
            <v>63</v>
          </cell>
          <cell r="AV67">
            <v>0</v>
          </cell>
        </row>
        <row r="68">
          <cell r="AE68">
            <v>48183</v>
          </cell>
          <cell r="AF68">
            <v>64</v>
          </cell>
          <cell r="AG68">
            <v>50511143.024887778</v>
          </cell>
          <cell r="AH68">
            <v>-126223.34724133095</v>
          </cell>
          <cell r="AI68">
            <v>-207891.32227576472</v>
          </cell>
          <cell r="AJ68">
            <v>334114.66951709567</v>
          </cell>
          <cell r="AK68">
            <v>50384919.677646443</v>
          </cell>
          <cell r="AT68">
            <v>51836</v>
          </cell>
          <cell r="AU68">
            <v>64</v>
          </cell>
          <cell r="AV68">
            <v>0</v>
          </cell>
        </row>
        <row r="69">
          <cell r="AE69">
            <v>48214</v>
          </cell>
          <cell r="AF69">
            <v>65</v>
          </cell>
          <cell r="AG69">
            <v>50384919.677646443</v>
          </cell>
          <cell r="AH69">
            <v>-126742.85119607506</v>
          </cell>
          <cell r="AI69">
            <v>-207371.8183210206</v>
          </cell>
          <cell r="AJ69">
            <v>334114.66951709567</v>
          </cell>
          <cell r="AK69">
            <v>50258176.82645037</v>
          </cell>
          <cell r="AT69">
            <v>51867</v>
          </cell>
          <cell r="AU69">
            <v>65</v>
          </cell>
          <cell r="AV69">
            <v>0</v>
          </cell>
        </row>
        <row r="70">
          <cell r="AE70">
            <v>48245</v>
          </cell>
          <cell r="AF70">
            <v>66</v>
          </cell>
          <cell r="AG70">
            <v>50258176.82645037</v>
          </cell>
          <cell r="AH70">
            <v>-127264.49330009893</v>
          </cell>
          <cell r="AI70">
            <v>-206850.17621699674</v>
          </cell>
          <cell r="AJ70">
            <v>334114.66951709567</v>
          </cell>
          <cell r="AK70">
            <v>50130912.333150268</v>
          </cell>
          <cell r="AT70">
            <v>51898</v>
          </cell>
          <cell r="AU70">
            <v>66</v>
          </cell>
          <cell r="AV70">
            <v>0</v>
          </cell>
        </row>
        <row r="71">
          <cell r="AE71">
            <v>48274</v>
          </cell>
          <cell r="AF71">
            <v>67</v>
          </cell>
          <cell r="AG71">
            <v>50130912.333150268</v>
          </cell>
          <cell r="AH71">
            <v>-127788.28235349408</v>
          </cell>
          <cell r="AI71">
            <v>-206326.38716360158</v>
          </cell>
          <cell r="AJ71">
            <v>334114.66951709567</v>
          </cell>
          <cell r="AK71">
            <v>50003124.050796777</v>
          </cell>
          <cell r="AT71">
            <v>51926</v>
          </cell>
          <cell r="AU71">
            <v>67</v>
          </cell>
          <cell r="AV71">
            <v>0</v>
          </cell>
        </row>
        <row r="72">
          <cell r="AE72">
            <v>48305</v>
          </cell>
          <cell r="AF72">
            <v>68</v>
          </cell>
          <cell r="AG72">
            <v>50003124.050796777</v>
          </cell>
          <cell r="AH72">
            <v>-128314.22719257104</v>
          </cell>
          <cell r="AI72">
            <v>-205800.44232452463</v>
          </cell>
          <cell r="AJ72">
            <v>334114.66951709567</v>
          </cell>
          <cell r="AK72">
            <v>49874809.823604204</v>
          </cell>
          <cell r="AT72">
            <v>51957</v>
          </cell>
          <cell r="AU72">
            <v>68</v>
          </cell>
          <cell r="AV72">
            <v>0</v>
          </cell>
        </row>
        <row r="73">
          <cell r="AE73">
            <v>48335</v>
          </cell>
          <cell r="AF73">
            <v>69</v>
          </cell>
          <cell r="AG73">
            <v>49874809.823604204</v>
          </cell>
          <cell r="AH73">
            <v>-128842.33669000823</v>
          </cell>
          <cell r="AI73">
            <v>-205272.33282708743</v>
          </cell>
          <cell r="AJ73">
            <v>334114.66951709567</v>
          </cell>
          <cell r="AK73">
            <v>49745967.486914195</v>
          </cell>
          <cell r="AT73">
            <v>51987</v>
          </cell>
          <cell r="AU73">
            <v>69</v>
          </cell>
          <cell r="AV73">
            <v>0</v>
          </cell>
        </row>
        <row r="74">
          <cell r="AE74">
            <v>48366</v>
          </cell>
          <cell r="AF74">
            <v>70</v>
          </cell>
          <cell r="AG74">
            <v>49745967.486914195</v>
          </cell>
          <cell r="AH74">
            <v>-129372.61975500226</v>
          </cell>
          <cell r="AI74">
            <v>-204742.0497620934</v>
          </cell>
          <cell r="AJ74">
            <v>334114.66951709567</v>
          </cell>
          <cell r="AK74">
            <v>49616594.867159195</v>
          </cell>
          <cell r="AT74">
            <v>52018</v>
          </cell>
          <cell r="AU74">
            <v>70</v>
          </cell>
          <cell r="AV74">
            <v>0</v>
          </cell>
        </row>
        <row r="75">
          <cell r="AE75">
            <v>48396</v>
          </cell>
          <cell r="AF75">
            <v>71</v>
          </cell>
          <cell r="AG75">
            <v>49616594.867159195</v>
          </cell>
          <cell r="AH75">
            <v>-129905.08533341714</v>
          </cell>
          <cell r="AI75">
            <v>-204209.58418367853</v>
          </cell>
          <cell r="AJ75">
            <v>334114.66951709567</v>
          </cell>
          <cell r="AK75">
            <v>49486689.781825781</v>
          </cell>
          <cell r="AT75">
            <v>52048</v>
          </cell>
          <cell r="AU75">
            <v>71</v>
          </cell>
          <cell r="AV75">
            <v>0</v>
          </cell>
        </row>
        <row r="76">
          <cell r="AE76">
            <v>48427</v>
          </cell>
          <cell r="AF76">
            <v>72</v>
          </cell>
          <cell r="AG76">
            <v>49486689.781825781</v>
          </cell>
          <cell r="AH76">
            <v>-130439.74240793646</v>
          </cell>
          <cell r="AI76">
            <v>-203674.92710915921</v>
          </cell>
          <cell r="AJ76">
            <v>334114.66951709567</v>
          </cell>
          <cell r="AK76">
            <v>49356250.039417848</v>
          </cell>
          <cell r="AT76">
            <v>52079</v>
          </cell>
          <cell r="AU76">
            <v>72</v>
          </cell>
          <cell r="AV76">
            <v>0</v>
          </cell>
        </row>
        <row r="77">
          <cell r="AE77">
            <v>48458</v>
          </cell>
          <cell r="AF77">
            <v>73</v>
          </cell>
          <cell r="AG77">
            <v>49356250.039417848</v>
          </cell>
          <cell r="AH77">
            <v>-130976.59999821385</v>
          </cell>
          <cell r="AI77">
            <v>-203138.06951888182</v>
          </cell>
          <cell r="AJ77">
            <v>334114.66951709567</v>
          </cell>
          <cell r="AK77">
            <v>49225273.439419635</v>
          </cell>
          <cell r="AT77">
            <v>52110</v>
          </cell>
          <cell r="AU77">
            <v>73</v>
          </cell>
          <cell r="AV77">
            <v>0</v>
          </cell>
        </row>
        <row r="78">
          <cell r="AE78">
            <v>48488</v>
          </cell>
          <cell r="AF78">
            <v>74</v>
          </cell>
          <cell r="AG78">
            <v>49225273.439419635</v>
          </cell>
          <cell r="AH78">
            <v>-131515.66716102569</v>
          </cell>
          <cell r="AI78">
            <v>-202599.00235606998</v>
          </cell>
          <cell r="AJ78">
            <v>334114.66951709567</v>
          </cell>
          <cell r="AK78">
            <v>49093757.77225861</v>
          </cell>
          <cell r="AT78">
            <v>52140</v>
          </cell>
          <cell r="AU78">
            <v>74</v>
          </cell>
          <cell r="AV78">
            <v>0</v>
          </cell>
        </row>
        <row r="79">
          <cell r="AE79">
            <v>48519</v>
          </cell>
          <cell r="AF79">
            <v>75</v>
          </cell>
          <cell r="AG79">
            <v>49093757.77225861</v>
          </cell>
          <cell r="AH79">
            <v>-132056.95299042403</v>
          </cell>
          <cell r="AI79">
            <v>-202057.71652667163</v>
          </cell>
          <cell r="AJ79">
            <v>334114.66951709567</v>
          </cell>
          <cell r="AK79">
            <v>48961700.819268182</v>
          </cell>
          <cell r="AT79">
            <v>52171</v>
          </cell>
          <cell r="AU79">
            <v>75</v>
          </cell>
          <cell r="AV79">
            <v>0</v>
          </cell>
        </row>
        <row r="80">
          <cell r="AE80">
            <v>48549</v>
          </cell>
          <cell r="AF80">
            <v>76</v>
          </cell>
          <cell r="AG80">
            <v>48961700.819268182</v>
          </cell>
          <cell r="AH80">
            <v>-132600.46661788964</v>
          </cell>
          <cell r="AI80">
            <v>-201514.20289920602</v>
          </cell>
          <cell r="AJ80">
            <v>334114.66951709567</v>
          </cell>
          <cell r="AK80">
            <v>48829100.352650292</v>
          </cell>
          <cell r="AT80">
            <v>52201</v>
          </cell>
          <cell r="AU80">
            <v>76</v>
          </cell>
          <cell r="AV80">
            <v>0</v>
          </cell>
        </row>
        <row r="81">
          <cell r="AE81">
            <v>48580</v>
          </cell>
          <cell r="AF81">
            <v>77</v>
          </cell>
          <cell r="AG81">
            <v>48829100.352650292</v>
          </cell>
          <cell r="AH81">
            <v>-133146.21721248596</v>
          </cell>
          <cell r="AI81">
            <v>-200968.4523046097</v>
          </cell>
          <cell r="AJ81">
            <v>334114.66951709567</v>
          </cell>
          <cell r="AK81">
            <v>48695954.135437809</v>
          </cell>
          <cell r="AT81">
            <v>52232</v>
          </cell>
          <cell r="AU81">
            <v>77</v>
          </cell>
          <cell r="AV81">
            <v>0</v>
          </cell>
        </row>
        <row r="82">
          <cell r="AE82">
            <v>48611</v>
          </cell>
          <cell r="AF82">
            <v>78</v>
          </cell>
          <cell r="AG82">
            <v>48695954.135437809</v>
          </cell>
          <cell r="AH82">
            <v>-133694.2139810145</v>
          </cell>
          <cell r="AI82">
            <v>-200420.45553608116</v>
          </cell>
          <cell r="AJ82">
            <v>334114.66951709567</v>
          </cell>
          <cell r="AK82">
            <v>48562259.921456791</v>
          </cell>
          <cell r="AT82">
            <v>52263</v>
          </cell>
          <cell r="AU82">
            <v>78</v>
          </cell>
          <cell r="AV82">
            <v>0</v>
          </cell>
        </row>
        <row r="83">
          <cell r="AE83">
            <v>48639</v>
          </cell>
          <cell r="AF83">
            <v>79</v>
          </cell>
          <cell r="AG83">
            <v>48562259.921456791</v>
          </cell>
          <cell r="AH83">
            <v>-134244.46616816928</v>
          </cell>
          <cell r="AI83">
            <v>-199870.20334892638</v>
          </cell>
          <cell r="AJ83">
            <v>334114.66951709567</v>
          </cell>
          <cell r="AK83">
            <v>48428015.455288619</v>
          </cell>
          <cell r="AT83">
            <v>52291</v>
          </cell>
          <cell r="AU83">
            <v>79</v>
          </cell>
          <cell r="AV83">
            <v>0</v>
          </cell>
        </row>
        <row r="84">
          <cell r="AE84">
            <v>48670</v>
          </cell>
          <cell r="AF84">
            <v>80</v>
          </cell>
          <cell r="AG84">
            <v>48428015.455288619</v>
          </cell>
          <cell r="AH84">
            <v>-134796.98305669337</v>
          </cell>
          <cell r="AI84">
            <v>-199317.6864604023</v>
          </cell>
          <cell r="AJ84">
            <v>334114.66951709567</v>
          </cell>
          <cell r="AK84">
            <v>48293218.472231925</v>
          </cell>
          <cell r="AT84">
            <v>52322</v>
          </cell>
          <cell r="AU84">
            <v>80</v>
          </cell>
          <cell r="AV84">
            <v>0</v>
          </cell>
        </row>
        <row r="85">
          <cell r="AE85">
            <v>48700</v>
          </cell>
          <cell r="AF85">
            <v>81</v>
          </cell>
          <cell r="AG85">
            <v>48293218.472231925</v>
          </cell>
          <cell r="AH85">
            <v>-135351.77396753512</v>
          </cell>
          <cell r="AI85">
            <v>-198762.89554956055</v>
          </cell>
          <cell r="AJ85">
            <v>334114.66951709567</v>
          </cell>
          <cell r="AK85">
            <v>48157866.69826439</v>
          </cell>
          <cell r="AT85">
            <v>52352</v>
          </cell>
          <cell r="AU85">
            <v>81</v>
          </cell>
          <cell r="AV85">
            <v>0</v>
          </cell>
        </row>
        <row r="86">
          <cell r="AE86">
            <v>48731</v>
          </cell>
          <cell r="AF86">
            <v>82</v>
          </cell>
          <cell r="AG86">
            <v>48157866.69826439</v>
          </cell>
          <cell r="AH86">
            <v>-135908.84826000602</v>
          </cell>
          <cell r="AI86">
            <v>-198205.82125708964</v>
          </cell>
          <cell r="AJ86">
            <v>334114.66951709567</v>
          </cell>
          <cell r="AK86">
            <v>48021957.850004382</v>
          </cell>
          <cell r="AT86">
            <v>52383</v>
          </cell>
          <cell r="AU86">
            <v>82</v>
          </cell>
          <cell r="AV86">
            <v>0</v>
          </cell>
        </row>
        <row r="87">
          <cell r="AE87">
            <v>48761</v>
          </cell>
          <cell r="AF87">
            <v>83</v>
          </cell>
          <cell r="AG87">
            <v>48021957.850004382</v>
          </cell>
          <cell r="AH87">
            <v>-136468.21533193759</v>
          </cell>
          <cell r="AI87">
            <v>-197646.45418515807</v>
          </cell>
          <cell r="AJ87">
            <v>334114.66951709567</v>
          </cell>
          <cell r="AK87">
            <v>47885489.634672448</v>
          </cell>
          <cell r="AT87">
            <v>52413</v>
          </cell>
          <cell r="AU87">
            <v>83</v>
          </cell>
          <cell r="AV87">
            <v>0</v>
          </cell>
        </row>
        <row r="88">
          <cell r="AE88">
            <v>48792</v>
          </cell>
          <cell r="AF88">
            <v>84</v>
          </cell>
          <cell r="AG88">
            <v>47885489.634672448</v>
          </cell>
          <cell r="AH88">
            <v>-137029.88461984086</v>
          </cell>
          <cell r="AI88">
            <v>-197084.78489725481</v>
          </cell>
          <cell r="AJ88">
            <v>334114.66951709567</v>
          </cell>
          <cell r="AK88">
            <v>47748459.750052609</v>
          </cell>
          <cell r="AT88">
            <v>52444</v>
          </cell>
          <cell r="AU88">
            <v>84</v>
          </cell>
          <cell r="AV88">
            <v>0</v>
          </cell>
        </row>
        <row r="89">
          <cell r="AE89">
            <v>48823</v>
          </cell>
          <cell r="AF89">
            <v>85</v>
          </cell>
          <cell r="AG89">
            <v>47748459.750052609</v>
          </cell>
          <cell r="AH89">
            <v>-137593.86559906518</v>
          </cell>
          <cell r="AI89">
            <v>-196520.80391803049</v>
          </cell>
          <cell r="AJ89">
            <v>334114.66951709567</v>
          </cell>
          <cell r="AK89">
            <v>47610865.884453543</v>
          </cell>
          <cell r="AT89">
            <v>52475</v>
          </cell>
          <cell r="AU89">
            <v>85</v>
          </cell>
          <cell r="AV89">
            <v>0</v>
          </cell>
        </row>
        <row r="90">
          <cell r="AE90">
            <v>48853</v>
          </cell>
          <cell r="AF90">
            <v>86</v>
          </cell>
          <cell r="AG90">
            <v>47610865.884453543</v>
          </cell>
          <cell r="AH90">
            <v>-138160.16778395788</v>
          </cell>
          <cell r="AI90">
            <v>-195954.50173313779</v>
          </cell>
          <cell r="AJ90">
            <v>334114.66951709567</v>
          </cell>
          <cell r="AK90">
            <v>47472705.716669582</v>
          </cell>
          <cell r="AT90">
            <v>52505</v>
          </cell>
          <cell r="AU90">
            <v>86</v>
          </cell>
          <cell r="AV90">
            <v>0</v>
          </cell>
        </row>
        <row r="91">
          <cell r="AE91">
            <v>48884</v>
          </cell>
          <cell r="AF91">
            <v>87</v>
          </cell>
          <cell r="AG91">
            <v>47472705.716669582</v>
          </cell>
          <cell r="AH91">
            <v>-138728.80072802526</v>
          </cell>
          <cell r="AI91">
            <v>-195385.8687890704</v>
          </cell>
          <cell r="AJ91">
            <v>334114.66951709567</v>
          </cell>
          <cell r="AK91">
            <v>47333976.915941559</v>
          </cell>
          <cell r="AT91">
            <v>52536</v>
          </cell>
          <cell r="AU91">
            <v>87</v>
          </cell>
          <cell r="AV91">
            <v>0</v>
          </cell>
        </row>
        <row r="92">
          <cell r="AE92">
            <v>48914</v>
          </cell>
          <cell r="AF92">
            <v>88</v>
          </cell>
          <cell r="AG92">
            <v>47333976.915941559</v>
          </cell>
          <cell r="AH92">
            <v>-139299.77402409323</v>
          </cell>
          <cell r="AI92">
            <v>-194814.89549300243</v>
          </cell>
          <cell r="AJ92">
            <v>334114.66951709567</v>
          </cell>
          <cell r="AK92">
            <v>47194677.141917467</v>
          </cell>
          <cell r="AT92">
            <v>52566</v>
          </cell>
          <cell r="AU92">
            <v>88</v>
          </cell>
          <cell r="AV92">
            <v>0</v>
          </cell>
        </row>
        <row r="93">
          <cell r="AE93">
            <v>48945</v>
          </cell>
          <cell r="AF93">
            <v>89</v>
          </cell>
          <cell r="AG93">
            <v>47194677.141917467</v>
          </cell>
          <cell r="AH93">
            <v>-139873.0973044695</v>
          </cell>
          <cell r="AI93">
            <v>-194241.57221262617</v>
          </cell>
          <cell r="AJ93">
            <v>334114.66951709567</v>
          </cell>
          <cell r="AK93">
            <v>47054804.044612996</v>
          </cell>
          <cell r="AT93">
            <v>52597</v>
          </cell>
          <cell r="AU93">
            <v>89</v>
          </cell>
          <cell r="AV93">
            <v>0</v>
          </cell>
        </row>
        <row r="94">
          <cell r="AE94">
            <v>48976</v>
          </cell>
          <cell r="AF94">
            <v>90</v>
          </cell>
          <cell r="AG94">
            <v>47054804.044612996</v>
          </cell>
          <cell r="AH94">
            <v>-140448.78024110594</v>
          </cell>
          <cell r="AI94">
            <v>-193665.88927598973</v>
          </cell>
          <cell r="AJ94">
            <v>334114.66951709567</v>
          </cell>
          <cell r="AK94">
            <v>46914355.264371887</v>
          </cell>
          <cell r="AT94">
            <v>52628</v>
          </cell>
          <cell r="AU94">
            <v>90</v>
          </cell>
          <cell r="AV94">
            <v>0</v>
          </cell>
        </row>
        <row r="95">
          <cell r="AE95">
            <v>49004</v>
          </cell>
          <cell r="AF95">
            <v>91</v>
          </cell>
          <cell r="AG95">
            <v>46914355.264371887</v>
          </cell>
          <cell r="AH95">
            <v>-141026.83254576189</v>
          </cell>
          <cell r="AI95">
            <v>-193087.83697133377</v>
          </cell>
          <cell r="AJ95">
            <v>334114.66951709567</v>
          </cell>
          <cell r="AK95">
            <v>46773328.431826122</v>
          </cell>
          <cell r="AT95">
            <v>52657</v>
          </cell>
          <cell r="AU95">
            <v>91</v>
          </cell>
          <cell r="AV95">
            <v>0</v>
          </cell>
        </row>
        <row r="96">
          <cell r="AE96">
            <v>49035</v>
          </cell>
          <cell r="AF96">
            <v>92</v>
          </cell>
          <cell r="AG96">
            <v>46773328.431826122</v>
          </cell>
          <cell r="AH96">
            <v>-141607.26397016773</v>
          </cell>
          <cell r="AI96">
            <v>-192507.40554692794</v>
          </cell>
          <cell r="AJ96">
            <v>334114.66951709567</v>
          </cell>
          <cell r="AK96">
            <v>46631721.167855956</v>
          </cell>
          <cell r="AT96">
            <v>52688</v>
          </cell>
          <cell r="AU96">
            <v>92</v>
          </cell>
          <cell r="AV96">
            <v>0</v>
          </cell>
        </row>
        <row r="97">
          <cell r="AE97">
            <v>49065</v>
          </cell>
          <cell r="AF97">
            <v>93</v>
          </cell>
          <cell r="AG97">
            <v>46631721.167855956</v>
          </cell>
          <cell r="AH97">
            <v>-142190.08430618953</v>
          </cell>
          <cell r="AI97">
            <v>-191924.58521090614</v>
          </cell>
          <cell r="AJ97">
            <v>334114.66951709567</v>
          </cell>
          <cell r="AK97">
            <v>46489531.083549768</v>
          </cell>
          <cell r="AT97">
            <v>52718</v>
          </cell>
          <cell r="AU97">
            <v>93</v>
          </cell>
          <cell r="AV97">
            <v>0</v>
          </cell>
        </row>
        <row r="98">
          <cell r="AE98">
            <v>49096</v>
          </cell>
          <cell r="AF98">
            <v>94</v>
          </cell>
          <cell r="AG98">
            <v>46489531.083549768</v>
          </cell>
          <cell r="AH98">
            <v>-142775.30338599437</v>
          </cell>
          <cell r="AI98">
            <v>-191339.3661311013</v>
          </cell>
          <cell r="AJ98">
            <v>334114.66951709567</v>
          </cell>
          <cell r="AK98">
            <v>46346755.780163772</v>
          </cell>
          <cell r="AT98">
            <v>52749</v>
          </cell>
          <cell r="AU98">
            <v>94</v>
          </cell>
          <cell r="AV98">
            <v>0</v>
          </cell>
        </row>
        <row r="99">
          <cell r="AE99">
            <v>49126</v>
          </cell>
          <cell r="AF99">
            <v>95</v>
          </cell>
          <cell r="AG99">
            <v>46346755.780163772</v>
          </cell>
          <cell r="AH99">
            <v>-143362.93108221603</v>
          </cell>
          <cell r="AI99">
            <v>-190751.73843487963</v>
          </cell>
          <cell r="AJ99">
            <v>334114.66951709567</v>
          </cell>
          <cell r="AK99">
            <v>46203392.849081554</v>
          </cell>
          <cell r="AT99">
            <v>52779</v>
          </cell>
          <cell r="AU99">
            <v>95</v>
          </cell>
          <cell r="AV99">
            <v>0</v>
          </cell>
        </row>
        <row r="100">
          <cell r="AE100">
            <v>49157</v>
          </cell>
          <cell r="AF100">
            <v>96</v>
          </cell>
          <cell r="AG100">
            <v>46203392.849081554</v>
          </cell>
          <cell r="AH100">
            <v>-143952.9773081216</v>
          </cell>
          <cell r="AI100">
            <v>-190161.69220897407</v>
          </cell>
          <cell r="AJ100">
            <v>334114.66951709567</v>
          </cell>
          <cell r="AK100">
            <v>46059439.871773429</v>
          </cell>
          <cell r="AT100">
            <v>52810</v>
          </cell>
          <cell r="AU100">
            <v>96</v>
          </cell>
          <cell r="AV100">
            <v>0</v>
          </cell>
        </row>
        <row r="101">
          <cell r="AE101">
            <v>49188</v>
          </cell>
          <cell r="AF101">
            <v>97</v>
          </cell>
          <cell r="AG101">
            <v>46059439.871773429</v>
          </cell>
          <cell r="AH101">
            <v>-144545.45201777868</v>
          </cell>
          <cell r="AI101">
            <v>-189569.21749931699</v>
          </cell>
          <cell r="AJ101">
            <v>334114.66951709567</v>
          </cell>
          <cell r="AK101">
            <v>45914894.419755653</v>
          </cell>
          <cell r="AT101">
            <v>52841</v>
          </cell>
          <cell r="AU101">
            <v>97</v>
          </cell>
          <cell r="AV101">
            <v>0</v>
          </cell>
        </row>
        <row r="102">
          <cell r="AE102">
            <v>49218</v>
          </cell>
          <cell r="AF102">
            <v>98</v>
          </cell>
          <cell r="AG102">
            <v>45914894.419755653</v>
          </cell>
          <cell r="AH102">
            <v>-145140.36520622342</v>
          </cell>
          <cell r="AI102">
            <v>-188974.30431087225</v>
          </cell>
          <cell r="AJ102">
            <v>334114.66951709567</v>
          </cell>
          <cell r="AK102">
            <v>45769754.054549426</v>
          </cell>
          <cell r="AT102">
            <v>52871</v>
          </cell>
          <cell r="AU102">
            <v>98</v>
          </cell>
          <cell r="AV102">
            <v>0</v>
          </cell>
        </row>
        <row r="103">
          <cell r="AE103">
            <v>49249</v>
          </cell>
          <cell r="AF103">
            <v>99</v>
          </cell>
          <cell r="AG103">
            <v>45769754.054549426</v>
          </cell>
          <cell r="AH103">
            <v>-145737.72690962904</v>
          </cell>
          <cell r="AI103">
            <v>-188376.94260746663</v>
          </cell>
          <cell r="AJ103">
            <v>334114.66951709567</v>
          </cell>
          <cell r="AK103">
            <v>45624016.327639796</v>
          </cell>
          <cell r="AT103">
            <v>52902</v>
          </cell>
          <cell r="AU103">
            <v>99</v>
          </cell>
          <cell r="AV103">
            <v>0</v>
          </cell>
        </row>
        <row r="104">
          <cell r="AE104">
            <v>49279</v>
          </cell>
          <cell r="AF104">
            <v>100</v>
          </cell>
          <cell r="AG104">
            <v>45624016.327639796</v>
          </cell>
          <cell r="AH104">
            <v>-146337.54720547501</v>
          </cell>
          <cell r="AI104">
            <v>-187777.12231162065</v>
          </cell>
          <cell r="AJ104">
            <v>334114.66951709567</v>
          </cell>
          <cell r="AK104">
            <v>45477678.780434318</v>
          </cell>
          <cell r="AT104">
            <v>52932</v>
          </cell>
          <cell r="AU104">
            <v>100</v>
          </cell>
          <cell r="AV104">
            <v>0</v>
          </cell>
        </row>
        <row r="105">
          <cell r="AE105">
            <v>49310</v>
          </cell>
          <cell r="AF105">
            <v>101</v>
          </cell>
          <cell r="AG105">
            <v>45477678.780434318</v>
          </cell>
          <cell r="AH105">
            <v>-146939.83621271738</v>
          </cell>
          <cell r="AI105">
            <v>-187174.83330437829</v>
          </cell>
          <cell r="AJ105">
            <v>334114.66951709567</v>
          </cell>
          <cell r="AK105">
            <v>45330738.944221601</v>
          </cell>
          <cell r="AT105">
            <v>52963</v>
          </cell>
          <cell r="AU105">
            <v>101</v>
          </cell>
          <cell r="AV105">
            <v>0</v>
          </cell>
        </row>
        <row r="106">
          <cell r="AE106">
            <v>49341</v>
          </cell>
          <cell r="AF106">
            <v>102</v>
          </cell>
          <cell r="AG106">
            <v>45330738.944221601</v>
          </cell>
          <cell r="AH106">
            <v>-147544.60409195931</v>
          </cell>
          <cell r="AI106">
            <v>-186570.06542513636</v>
          </cell>
          <cell r="AJ106">
            <v>334114.66951709567</v>
          </cell>
          <cell r="AK106">
            <v>45183194.340129644</v>
          </cell>
          <cell r="AT106">
            <v>52994</v>
          </cell>
          <cell r="AU106">
            <v>102</v>
          </cell>
          <cell r="AV106">
            <v>0</v>
          </cell>
        </row>
        <row r="107">
          <cell r="AE107">
            <v>49369</v>
          </cell>
          <cell r="AF107">
            <v>103</v>
          </cell>
          <cell r="AG107">
            <v>45183194.340129644</v>
          </cell>
          <cell r="AH107">
            <v>-148151.86104562235</v>
          </cell>
          <cell r="AI107">
            <v>-185962.80847147331</v>
          </cell>
          <cell r="AJ107">
            <v>334114.66951709567</v>
          </cell>
          <cell r="AK107">
            <v>45035042.479084022</v>
          </cell>
          <cell r="AT107">
            <v>53022</v>
          </cell>
          <cell r="AU107">
            <v>103</v>
          </cell>
          <cell r="AV107">
            <v>0</v>
          </cell>
        </row>
        <row r="108">
          <cell r="AE108">
            <v>49400</v>
          </cell>
          <cell r="AF108">
            <v>104</v>
          </cell>
          <cell r="AG108">
            <v>45035042.479084022</v>
          </cell>
          <cell r="AH108">
            <v>-148761.61731811878</v>
          </cell>
          <cell r="AI108">
            <v>-185353.05219897689</v>
          </cell>
          <cell r="AJ108">
            <v>334114.66951709567</v>
          </cell>
          <cell r="AK108">
            <v>44886280.861765906</v>
          </cell>
          <cell r="AT108">
            <v>53053</v>
          </cell>
          <cell r="AU108">
            <v>104</v>
          </cell>
          <cell r="AV108">
            <v>0</v>
          </cell>
        </row>
        <row r="109">
          <cell r="AE109">
            <v>49430</v>
          </cell>
          <cell r="AF109">
            <v>105</v>
          </cell>
          <cell r="AG109">
            <v>44886280.861765906</v>
          </cell>
          <cell r="AH109">
            <v>-149373.88319602431</v>
          </cell>
          <cell r="AI109">
            <v>-184740.78632107135</v>
          </cell>
          <cell r="AJ109">
            <v>334114.66951709567</v>
          </cell>
          <cell r="AK109">
            <v>44736906.97856988</v>
          </cell>
          <cell r="AT109">
            <v>53083</v>
          </cell>
          <cell r="AU109">
            <v>105</v>
          </cell>
          <cell r="AV109">
            <v>0</v>
          </cell>
        </row>
        <row r="110">
          <cell r="AE110">
            <v>49461</v>
          </cell>
          <cell r="AF110">
            <v>106</v>
          </cell>
          <cell r="AG110">
            <v>44736906.97856988</v>
          </cell>
          <cell r="AH110">
            <v>-149988.66900825163</v>
          </cell>
          <cell r="AI110">
            <v>-184126.00050884404</v>
          </cell>
          <cell r="AJ110">
            <v>334114.66951709567</v>
          </cell>
          <cell r="AK110">
            <v>44586918.309561625</v>
          </cell>
          <cell r="AT110">
            <v>53114</v>
          </cell>
          <cell r="AU110">
            <v>106</v>
          </cell>
          <cell r="AV110">
            <v>0</v>
          </cell>
        </row>
        <row r="111">
          <cell r="AE111">
            <v>49491</v>
          </cell>
          <cell r="AF111">
            <v>107</v>
          </cell>
          <cell r="AG111">
            <v>44586918.309561625</v>
          </cell>
          <cell r="AH111">
            <v>-150605.98512622472</v>
          </cell>
          <cell r="AI111">
            <v>-183508.68439087094</v>
          </cell>
          <cell r="AJ111">
            <v>334114.66951709567</v>
          </cell>
          <cell r="AK111">
            <v>44436312.324435398</v>
          </cell>
          <cell r="AT111">
            <v>53144</v>
          </cell>
          <cell r="AU111">
            <v>107</v>
          </cell>
          <cell r="AV111">
            <v>0</v>
          </cell>
        </row>
        <row r="112">
          <cell r="AE112">
            <v>49522</v>
          </cell>
          <cell r="AF112">
            <v>108</v>
          </cell>
          <cell r="AG112">
            <v>44436312.324435398</v>
          </cell>
          <cell r="AH112">
            <v>-151225.84196405375</v>
          </cell>
          <cell r="AI112">
            <v>-182888.82755304192</v>
          </cell>
          <cell r="AJ112">
            <v>334114.66951709567</v>
          </cell>
          <cell r="AK112">
            <v>44285086.482471347</v>
          </cell>
          <cell r="AT112">
            <v>53175</v>
          </cell>
          <cell r="AU112">
            <v>108</v>
          </cell>
          <cell r="AV112">
            <v>0</v>
          </cell>
        </row>
        <row r="113">
          <cell r="AE113">
            <v>49553</v>
          </cell>
          <cell r="AF113">
            <v>109</v>
          </cell>
          <cell r="AG113">
            <v>44285086.482471347</v>
          </cell>
          <cell r="AH113">
            <v>-151848.24997871069</v>
          </cell>
          <cell r="AI113">
            <v>-182266.41953838497</v>
          </cell>
          <cell r="AJ113">
            <v>334114.66951709567</v>
          </cell>
          <cell r="AK113">
            <v>44133238.232492633</v>
          </cell>
          <cell r="AT113">
            <v>53206</v>
          </cell>
          <cell r="AU113">
            <v>109</v>
          </cell>
          <cell r="AV113">
            <v>0</v>
          </cell>
        </row>
        <row r="114">
          <cell r="AE114">
            <v>49583</v>
          </cell>
          <cell r="AF114">
            <v>110</v>
          </cell>
          <cell r="AG114">
            <v>44133238.232492633</v>
          </cell>
          <cell r="AH114">
            <v>-152473.2196702059</v>
          </cell>
          <cell r="AI114">
            <v>-181641.44984688977</v>
          </cell>
          <cell r="AJ114">
            <v>334114.66951709567</v>
          </cell>
          <cell r="AK114">
            <v>43980765.012822427</v>
          </cell>
          <cell r="AT114">
            <v>53236</v>
          </cell>
          <cell r="AU114">
            <v>110</v>
          </cell>
          <cell r="AV114">
            <v>0</v>
          </cell>
        </row>
        <row r="115">
          <cell r="AE115">
            <v>49614</v>
          </cell>
          <cell r="AF115">
            <v>111</v>
          </cell>
          <cell r="AG115">
            <v>43980765.012822427</v>
          </cell>
          <cell r="AH115">
            <v>-153100.76158176517</v>
          </cell>
          <cell r="AI115">
            <v>-181013.9079353305</v>
          </cell>
          <cell r="AJ115">
            <v>334114.66951709567</v>
          </cell>
          <cell r="AK115">
            <v>43827664.251240663</v>
          </cell>
          <cell r="AT115">
            <v>53267</v>
          </cell>
          <cell r="AU115">
            <v>111</v>
          </cell>
          <cell r="AV115">
            <v>0</v>
          </cell>
        </row>
        <row r="116">
          <cell r="AE116">
            <v>49644</v>
          </cell>
          <cell r="AF116">
            <v>112</v>
          </cell>
          <cell r="AG116">
            <v>43827664.251240663</v>
          </cell>
          <cell r="AH116">
            <v>-153730.88630000761</v>
          </cell>
          <cell r="AI116">
            <v>-180383.78321708806</v>
          </cell>
          <cell r="AJ116">
            <v>334114.66951709567</v>
          </cell>
          <cell r="AK116">
            <v>43673933.364940658</v>
          </cell>
          <cell r="AT116">
            <v>53297</v>
          </cell>
          <cell r="AU116">
            <v>112</v>
          </cell>
          <cell r="AV116">
            <v>0</v>
          </cell>
        </row>
        <row r="117">
          <cell r="AE117">
            <v>49675</v>
          </cell>
          <cell r="AF117">
            <v>113</v>
          </cell>
          <cell r="AG117">
            <v>43673933.364940658</v>
          </cell>
          <cell r="AH117">
            <v>-154363.60445512409</v>
          </cell>
          <cell r="AI117">
            <v>-179751.06506197157</v>
          </cell>
          <cell r="AJ117">
            <v>334114.66951709567</v>
          </cell>
          <cell r="AK117">
            <v>43519569.760485537</v>
          </cell>
          <cell r="AT117">
            <v>53328</v>
          </cell>
          <cell r="AU117">
            <v>113</v>
          </cell>
          <cell r="AV117">
            <v>0</v>
          </cell>
        </row>
        <row r="118">
          <cell r="AE118">
            <v>49706</v>
          </cell>
          <cell r="AF118">
            <v>114</v>
          </cell>
          <cell r="AG118">
            <v>43519569.760485537</v>
          </cell>
          <cell r="AH118">
            <v>-154998.92672105695</v>
          </cell>
          <cell r="AI118">
            <v>-179115.74279603871</v>
          </cell>
          <cell r="AJ118">
            <v>334114.66951709567</v>
          </cell>
          <cell r="AK118">
            <v>43364570.833764479</v>
          </cell>
          <cell r="AT118">
            <v>53359</v>
          </cell>
          <cell r="AU118">
            <v>114</v>
          </cell>
          <cell r="AV118">
            <v>0</v>
          </cell>
        </row>
        <row r="119">
          <cell r="AE119">
            <v>49735</v>
          </cell>
          <cell r="AF119">
            <v>115</v>
          </cell>
          <cell r="AG119">
            <v>43364570.833764479</v>
          </cell>
          <cell r="AH119">
            <v>-155636.86381567956</v>
          </cell>
          <cell r="AI119">
            <v>-178477.8057014161</v>
          </cell>
          <cell r="AJ119">
            <v>334114.66951709567</v>
          </cell>
          <cell r="AK119">
            <v>43208933.969948798</v>
          </cell>
          <cell r="AT119">
            <v>53387</v>
          </cell>
          <cell r="AU119">
            <v>115</v>
          </cell>
          <cell r="AV119">
            <v>0</v>
          </cell>
        </row>
        <row r="120">
          <cell r="AE120">
            <v>49766</v>
          </cell>
          <cell r="AF120">
            <v>116</v>
          </cell>
          <cell r="AG120">
            <v>43208933.969948798</v>
          </cell>
          <cell r="AH120">
            <v>-156277.42650097757</v>
          </cell>
          <cell r="AI120">
            <v>-177837.2430161181</v>
          </cell>
          <cell r="AJ120">
            <v>334114.66951709567</v>
          </cell>
          <cell r="AK120">
            <v>43052656.543447822</v>
          </cell>
          <cell r="AT120">
            <v>53418</v>
          </cell>
          <cell r="AU120">
            <v>116</v>
          </cell>
          <cell r="AV120">
            <v>0</v>
          </cell>
        </row>
        <row r="121">
          <cell r="AE121">
            <v>49796</v>
          </cell>
          <cell r="AF121">
            <v>117</v>
          </cell>
          <cell r="AG121">
            <v>43052656.543447822</v>
          </cell>
          <cell r="AH121">
            <v>-156920.62558323028</v>
          </cell>
          <cell r="AI121">
            <v>-177194.04393386538</v>
          </cell>
          <cell r="AJ121">
            <v>334114.66951709567</v>
          </cell>
          <cell r="AK121">
            <v>42895735.917864591</v>
          </cell>
          <cell r="AT121">
            <v>53448</v>
          </cell>
          <cell r="AU121">
            <v>117</v>
          </cell>
          <cell r="AV121">
            <v>0</v>
          </cell>
        </row>
        <row r="122">
          <cell r="AE122">
            <v>49827</v>
          </cell>
          <cell r="AF122">
            <v>118</v>
          </cell>
          <cell r="AG122">
            <v>42895735.917864591</v>
          </cell>
          <cell r="AH122">
            <v>-157566.47191319289</v>
          </cell>
          <cell r="AI122">
            <v>-176548.19760390278</v>
          </cell>
          <cell r="AJ122">
            <v>334114.66951709567</v>
          </cell>
          <cell r="AK122">
            <v>42738169.445951395</v>
          </cell>
          <cell r="AT122">
            <v>53479</v>
          </cell>
          <cell r="AU122">
            <v>118</v>
          </cell>
          <cell r="AV122">
            <v>0</v>
          </cell>
        </row>
        <row r="123">
          <cell r="AE123">
            <v>49857</v>
          </cell>
          <cell r="AF123">
            <v>119</v>
          </cell>
          <cell r="AG123">
            <v>42738169.445951395</v>
          </cell>
          <cell r="AH123">
            <v>-158214.97638627951</v>
          </cell>
          <cell r="AI123">
            <v>-175899.69313081616</v>
          </cell>
          <cell r="AJ123">
            <v>334114.66951709567</v>
          </cell>
          <cell r="AK123">
            <v>42579954.469565116</v>
          </cell>
          <cell r="AT123">
            <v>53509</v>
          </cell>
          <cell r="AU123">
            <v>119</v>
          </cell>
          <cell r="AV123">
            <v>0</v>
          </cell>
        </row>
        <row r="124">
          <cell r="AE124">
            <v>49888</v>
          </cell>
          <cell r="AF124">
            <v>120</v>
          </cell>
          <cell r="AG124">
            <v>42579954.469565116</v>
          </cell>
          <cell r="AH124">
            <v>-158866.14994274738</v>
          </cell>
          <cell r="AI124">
            <v>-175248.51957434829</v>
          </cell>
          <cell r="AJ124">
            <v>334114.66951709567</v>
          </cell>
          <cell r="AK124">
            <v>42421088.319622368</v>
          </cell>
          <cell r="AT124">
            <v>53540</v>
          </cell>
          <cell r="AU124">
            <v>120</v>
          </cell>
          <cell r="AV124">
            <v>0</v>
          </cell>
        </row>
        <row r="125">
          <cell r="AE125">
            <v>49919</v>
          </cell>
          <cell r="AF125">
            <v>121</v>
          </cell>
          <cell r="AG125">
            <v>42421088.319622368</v>
          </cell>
          <cell r="AH125">
            <v>-159520.00356788083</v>
          </cell>
          <cell r="AI125">
            <v>-174594.66594921483</v>
          </cell>
          <cell r="AJ125">
            <v>334114.66951709567</v>
          </cell>
          <cell r="AK125">
            <v>42261568.316054486</v>
          </cell>
          <cell r="AT125">
            <v>53571</v>
          </cell>
          <cell r="AU125">
            <v>121</v>
          </cell>
          <cell r="AV125">
            <v>0</v>
          </cell>
        </row>
        <row r="126">
          <cell r="AE126">
            <v>49949</v>
          </cell>
          <cell r="AF126">
            <v>122</v>
          </cell>
          <cell r="AG126">
            <v>42261568.316054486</v>
          </cell>
          <cell r="AH126">
            <v>-160176.54829217703</v>
          </cell>
          <cell r="AI126">
            <v>-173938.12122491864</v>
          </cell>
          <cell r="AJ126">
            <v>334114.66951709567</v>
          </cell>
          <cell r="AK126">
            <v>42101391.767762311</v>
          </cell>
          <cell r="AT126">
            <v>53601</v>
          </cell>
          <cell r="AU126">
            <v>122</v>
          </cell>
          <cell r="AV126">
            <v>0</v>
          </cell>
        </row>
        <row r="127">
          <cell r="AE127">
            <v>49980</v>
          </cell>
          <cell r="AF127">
            <v>123</v>
          </cell>
          <cell r="AG127">
            <v>42101391.767762311</v>
          </cell>
          <cell r="AH127">
            <v>-160835.79519153194</v>
          </cell>
          <cell r="AI127">
            <v>-173278.87432556372</v>
          </cell>
          <cell r="AJ127">
            <v>334114.66951709567</v>
          </cell>
          <cell r="AK127">
            <v>41940555.972570777</v>
          </cell>
          <cell r="AT127">
            <v>53632</v>
          </cell>
          <cell r="AU127">
            <v>123</v>
          </cell>
          <cell r="AV127">
            <v>0</v>
          </cell>
        </row>
        <row r="128">
          <cell r="AE128">
            <v>50010</v>
          </cell>
          <cell r="AF128">
            <v>124</v>
          </cell>
          <cell r="AG128">
            <v>41940555.972570777</v>
          </cell>
          <cell r="AH128">
            <v>-161497.75538742705</v>
          </cell>
          <cell r="AI128">
            <v>-172616.91412966861</v>
          </cell>
          <cell r="AJ128">
            <v>334114.66951709567</v>
          </cell>
          <cell r="AK128">
            <v>41779058.217183352</v>
          </cell>
          <cell r="AT128">
            <v>53662</v>
          </cell>
          <cell r="AU128">
            <v>124</v>
          </cell>
          <cell r="AV128">
            <v>0</v>
          </cell>
        </row>
        <row r="129">
          <cell r="AE129">
            <v>50041</v>
          </cell>
          <cell r="AF129">
            <v>125</v>
          </cell>
          <cell r="AG129">
            <v>41779058.217183352</v>
          </cell>
          <cell r="AH129">
            <v>-162162.44004711724</v>
          </cell>
          <cell r="AI129">
            <v>-171952.22946997843</v>
          </cell>
          <cell r="AJ129">
            <v>334114.66951709567</v>
          </cell>
          <cell r="AK129">
            <v>41616895.777136236</v>
          </cell>
          <cell r="AT129">
            <v>53693</v>
          </cell>
          <cell r="AU129">
            <v>125</v>
          </cell>
          <cell r="AV129">
            <v>0</v>
          </cell>
        </row>
        <row r="130">
          <cell r="AE130">
            <v>50072</v>
          </cell>
          <cell r="AF130">
            <v>126</v>
          </cell>
          <cell r="AG130">
            <v>41616895.777136236</v>
          </cell>
          <cell r="AH130">
            <v>-162829.86038381903</v>
          </cell>
          <cell r="AI130">
            <v>-171284.80913327663</v>
          </cell>
          <cell r="AJ130">
            <v>334114.66951709567</v>
          </cell>
          <cell r="AK130">
            <v>41454065.91675242</v>
          </cell>
          <cell r="AT130">
            <v>53724</v>
          </cell>
          <cell r="AU130">
            <v>126</v>
          </cell>
          <cell r="AV130">
            <v>0</v>
          </cell>
        </row>
        <row r="131">
          <cell r="AE131">
            <v>50100</v>
          </cell>
          <cell r="AF131">
            <v>127</v>
          </cell>
          <cell r="AG131">
            <v>41454065.91675242</v>
          </cell>
          <cell r="AH131">
            <v>-163500.02765689956</v>
          </cell>
          <cell r="AI131">
            <v>-170614.6418601961</v>
          </cell>
          <cell r="AJ131">
            <v>334114.66951709567</v>
          </cell>
          <cell r="AK131">
            <v>41290565.889095522</v>
          </cell>
          <cell r="AT131">
            <v>53752</v>
          </cell>
          <cell r="AU131">
            <v>127</v>
          </cell>
          <cell r="AV131">
            <v>0</v>
          </cell>
        </row>
        <row r="132">
          <cell r="AE132">
            <v>50131</v>
          </cell>
          <cell r="AF132">
            <v>128</v>
          </cell>
          <cell r="AG132">
            <v>41290565.889095522</v>
          </cell>
          <cell r="AH132">
            <v>-164172.95317206692</v>
          </cell>
          <cell r="AI132">
            <v>-169941.71634502875</v>
          </cell>
          <cell r="AJ132">
            <v>334114.66951709567</v>
          </cell>
          <cell r="AK132">
            <v>41126392.935923457</v>
          </cell>
          <cell r="AT132">
            <v>53783</v>
          </cell>
          <cell r="AU132">
            <v>128</v>
          </cell>
          <cell r="AV132">
            <v>0</v>
          </cell>
        </row>
        <row r="133">
          <cell r="AE133">
            <v>50161</v>
          </cell>
          <cell r="AF133">
            <v>129</v>
          </cell>
          <cell r="AG133">
            <v>41126392.935923457</v>
          </cell>
          <cell r="AH133">
            <v>-164848.64828156075</v>
          </cell>
          <cell r="AI133">
            <v>-169266.02123553492</v>
          </cell>
          <cell r="AJ133">
            <v>334114.66951709567</v>
          </cell>
          <cell r="AK133">
            <v>40961544.287641898</v>
          </cell>
          <cell r="AT133">
            <v>53813</v>
          </cell>
          <cell r="AU133">
            <v>129</v>
          </cell>
          <cell r="AV133">
            <v>0</v>
          </cell>
        </row>
        <row r="134">
          <cell r="AE134">
            <v>50192</v>
          </cell>
          <cell r="AF134">
            <v>130</v>
          </cell>
          <cell r="AG134">
            <v>40961544.287641898</v>
          </cell>
          <cell r="AH134">
            <v>-165527.12438434345</v>
          </cell>
          <cell r="AI134">
            <v>-168587.54513275222</v>
          </cell>
          <cell r="AJ134">
            <v>334114.66951709567</v>
          </cell>
          <cell r="AK134">
            <v>40796017.163257554</v>
          </cell>
          <cell r="AT134">
            <v>53844</v>
          </cell>
          <cell r="AU134">
            <v>130</v>
          </cell>
          <cell r="AV134">
            <v>0</v>
          </cell>
        </row>
        <row r="135">
          <cell r="AE135">
            <v>50222</v>
          </cell>
          <cell r="AF135">
            <v>131</v>
          </cell>
          <cell r="AG135">
            <v>40796017.163257554</v>
          </cell>
          <cell r="AH135">
            <v>-166208.3929262929</v>
          </cell>
          <cell r="AI135">
            <v>-167906.27659080276</v>
          </cell>
          <cell r="AJ135">
            <v>334114.66951709567</v>
          </cell>
          <cell r="AK135">
            <v>40629808.770331264</v>
          </cell>
          <cell r="AT135">
            <v>53874</v>
          </cell>
          <cell r="AU135">
            <v>131</v>
          </cell>
          <cell r="AV135">
            <v>0</v>
          </cell>
        </row>
        <row r="136">
          <cell r="AE136">
            <v>50253</v>
          </cell>
          <cell r="AF136">
            <v>132</v>
          </cell>
          <cell r="AG136">
            <v>40629808.770331264</v>
          </cell>
          <cell r="AH136">
            <v>-166892.46540039533</v>
          </cell>
          <cell r="AI136">
            <v>-167222.20411670033</v>
          </cell>
          <cell r="AJ136">
            <v>334114.66951709567</v>
          </cell>
          <cell r="AK136">
            <v>40462916.304930866</v>
          </cell>
          <cell r="AT136">
            <v>53905</v>
          </cell>
          <cell r="AU136">
            <v>132</v>
          </cell>
          <cell r="AV136">
            <v>0</v>
          </cell>
        </row>
        <row r="137">
          <cell r="AE137">
            <v>50284</v>
          </cell>
          <cell r="AF137">
            <v>133</v>
          </cell>
          <cell r="AG137">
            <v>40462916.304930866</v>
          </cell>
          <cell r="AH137">
            <v>-167579.35334693926</v>
          </cell>
          <cell r="AI137">
            <v>-166535.31617015641</v>
          </cell>
          <cell r="AJ137">
            <v>334114.66951709567</v>
          </cell>
          <cell r="AK137">
            <v>40295336.951583929</v>
          </cell>
          <cell r="AT137">
            <v>53936</v>
          </cell>
          <cell r="AU137">
            <v>133</v>
          </cell>
          <cell r="AV137">
            <v>0</v>
          </cell>
        </row>
        <row r="138">
          <cell r="AE138">
            <v>50314</v>
          </cell>
          <cell r="AF138">
            <v>134</v>
          </cell>
          <cell r="AG138">
            <v>40295336.951583929</v>
          </cell>
          <cell r="AH138">
            <v>-168269.06835371006</v>
          </cell>
          <cell r="AI138">
            <v>-165845.60116338561</v>
          </cell>
          <cell r="AJ138">
            <v>334114.66951709567</v>
          </cell>
          <cell r="AK138">
            <v>40127067.883230217</v>
          </cell>
          <cell r="AT138">
            <v>53966</v>
          </cell>
          <cell r="AU138">
            <v>134</v>
          </cell>
          <cell r="AV138">
            <v>0</v>
          </cell>
        </row>
        <row r="139">
          <cell r="AE139">
            <v>50345</v>
          </cell>
          <cell r="AF139">
            <v>135</v>
          </cell>
          <cell r="AG139">
            <v>40127067.883230217</v>
          </cell>
          <cell r="AH139">
            <v>-168961.62205618573</v>
          </cell>
          <cell r="AI139">
            <v>-165153.04746090993</v>
          </cell>
          <cell r="AJ139">
            <v>334114.66951709567</v>
          </cell>
          <cell r="AK139">
            <v>39958106.261174031</v>
          </cell>
          <cell r="AT139">
            <v>53997</v>
          </cell>
          <cell r="AU139">
            <v>135</v>
          </cell>
          <cell r="AV139">
            <v>0</v>
          </cell>
        </row>
        <row r="140">
          <cell r="AE140">
            <v>50375</v>
          </cell>
          <cell r="AF140">
            <v>136</v>
          </cell>
          <cell r="AG140">
            <v>39958106.261174031</v>
          </cell>
          <cell r="AH140">
            <v>-169657.02613773287</v>
          </cell>
          <cell r="AI140">
            <v>-164457.64337936279</v>
          </cell>
          <cell r="AJ140">
            <v>334114.66951709567</v>
          </cell>
          <cell r="AK140">
            <v>39788449.235036299</v>
          </cell>
          <cell r="AT140">
            <v>54027</v>
          </cell>
          <cell r="AU140">
            <v>136</v>
          </cell>
          <cell r="AV140">
            <v>0</v>
          </cell>
        </row>
        <row r="141">
          <cell r="AE141">
            <v>50406</v>
          </cell>
          <cell r="AF141">
            <v>137</v>
          </cell>
          <cell r="AG141">
            <v>39788449.235036299</v>
          </cell>
          <cell r="AH141">
            <v>-170355.29232980401</v>
          </cell>
          <cell r="AI141">
            <v>-163759.37718729165</v>
          </cell>
          <cell r="AJ141">
            <v>334114.66951709567</v>
          </cell>
          <cell r="AK141">
            <v>39618093.942706496</v>
          </cell>
          <cell r="AT141">
            <v>54058</v>
          </cell>
          <cell r="AU141">
            <v>137</v>
          </cell>
          <cell r="AV141">
            <v>0</v>
          </cell>
        </row>
        <row r="142">
          <cell r="AE142">
            <v>50437</v>
          </cell>
          <cell r="AF142">
            <v>138</v>
          </cell>
          <cell r="AG142">
            <v>39618093.942706496</v>
          </cell>
          <cell r="AH142">
            <v>-171056.4324121353</v>
          </cell>
          <cell r="AI142">
            <v>-163058.23710496037</v>
          </cell>
          <cell r="AJ142">
            <v>334114.66951709567</v>
          </cell>
          <cell r="AK142">
            <v>39447037.510294363</v>
          </cell>
          <cell r="AT142">
            <v>54089</v>
          </cell>
          <cell r="AU142">
            <v>138</v>
          </cell>
          <cell r="AV142">
            <v>0</v>
          </cell>
        </row>
        <row r="143">
          <cell r="AE143">
            <v>50465</v>
          </cell>
          <cell r="AF143">
            <v>139</v>
          </cell>
          <cell r="AG143">
            <v>39447037.510294363</v>
          </cell>
          <cell r="AH143">
            <v>-171760.45821294544</v>
          </cell>
          <cell r="AI143">
            <v>-162354.21130415023</v>
          </cell>
          <cell r="AJ143">
            <v>334114.66951709567</v>
          </cell>
          <cell r="AK143">
            <v>39275277.052081421</v>
          </cell>
          <cell r="AT143">
            <v>54118</v>
          </cell>
          <cell r="AU143">
            <v>139</v>
          </cell>
          <cell r="AV143">
            <v>0</v>
          </cell>
        </row>
        <row r="144">
          <cell r="AE144">
            <v>50496</v>
          </cell>
          <cell r="AF144">
            <v>140</v>
          </cell>
          <cell r="AG144">
            <v>39275277.052081421</v>
          </cell>
          <cell r="AH144">
            <v>-172467.38160913522</v>
          </cell>
          <cell r="AI144">
            <v>-161647.28790796045</v>
          </cell>
          <cell r="AJ144">
            <v>334114.66951709567</v>
          </cell>
          <cell r="AK144">
            <v>39102809.670472287</v>
          </cell>
          <cell r="AT144">
            <v>54149</v>
          </cell>
          <cell r="AU144">
            <v>140</v>
          </cell>
          <cell r="AV144">
            <v>0</v>
          </cell>
        </row>
        <row r="145">
          <cell r="AE145">
            <v>50526</v>
          </cell>
          <cell r="AF145">
            <v>141</v>
          </cell>
          <cell r="AG145">
            <v>39102809.670472287</v>
          </cell>
          <cell r="AH145">
            <v>-173177.21452648763</v>
          </cell>
          <cell r="AI145">
            <v>-160937.45499060804</v>
          </cell>
          <cell r="AJ145">
            <v>334114.66951709567</v>
          </cell>
          <cell r="AK145">
            <v>38929632.455945797</v>
          </cell>
          <cell r="AT145">
            <v>54179</v>
          </cell>
          <cell r="AU145">
            <v>141</v>
          </cell>
          <cell r="AV145">
            <v>0</v>
          </cell>
        </row>
        <row r="146">
          <cell r="AE146">
            <v>50557</v>
          </cell>
          <cell r="AF146">
            <v>142</v>
          </cell>
          <cell r="AG146">
            <v>38929632.455945797</v>
          </cell>
          <cell r="AH146">
            <v>-173889.96893986937</v>
          </cell>
          <cell r="AI146">
            <v>-160224.70057722629</v>
          </cell>
          <cell r="AJ146">
            <v>334114.66951709567</v>
          </cell>
          <cell r="AK146">
            <v>38755742.487005927</v>
          </cell>
          <cell r="AT146">
            <v>54210</v>
          </cell>
          <cell r="AU146">
            <v>142</v>
          </cell>
          <cell r="AV146">
            <v>0</v>
          </cell>
        </row>
        <row r="147">
          <cell r="AE147">
            <v>50587</v>
          </cell>
          <cell r="AF147">
            <v>143</v>
          </cell>
          <cell r="AG147">
            <v>38755742.487005927</v>
          </cell>
          <cell r="AH147">
            <v>-174605.65687343266</v>
          </cell>
          <cell r="AI147">
            <v>-159509.01264366301</v>
          </cell>
          <cell r="AJ147">
            <v>334114.66951709567</v>
          </cell>
          <cell r="AK147">
            <v>38581136.830132492</v>
          </cell>
          <cell r="AT147">
            <v>54240</v>
          </cell>
          <cell r="AU147">
            <v>143</v>
          </cell>
          <cell r="AV147">
            <v>0</v>
          </cell>
        </row>
        <row r="148">
          <cell r="AE148">
            <v>50618</v>
          </cell>
          <cell r="AF148">
            <v>144</v>
          </cell>
          <cell r="AG148">
            <v>38581136.830132492</v>
          </cell>
          <cell r="AH148">
            <v>-175324.29040081814</v>
          </cell>
          <cell r="AI148">
            <v>-158790.37911627753</v>
          </cell>
          <cell r="AJ148">
            <v>334114.66951709567</v>
          </cell>
          <cell r="AK148">
            <v>38405812.539731674</v>
          </cell>
          <cell r="AT148">
            <v>54271</v>
          </cell>
          <cell r="AU148">
            <v>144</v>
          </cell>
          <cell r="AV148">
            <v>0</v>
          </cell>
        </row>
        <row r="149">
          <cell r="AE149">
            <v>50649</v>
          </cell>
          <cell r="AF149">
            <v>145</v>
          </cell>
          <cell r="AG149">
            <v>38405812.539731674</v>
          </cell>
          <cell r="AH149">
            <v>-176045.88164535846</v>
          </cell>
          <cell r="AI149">
            <v>-158068.78787173721</v>
          </cell>
          <cell r="AJ149">
            <v>334114.66951709567</v>
          </cell>
          <cell r="AK149">
            <v>38229766.658086315</v>
          </cell>
          <cell r="AT149">
            <v>54302</v>
          </cell>
          <cell r="AU149">
            <v>145</v>
          </cell>
          <cell r="AV149">
            <v>0</v>
          </cell>
        </row>
        <row r="150">
          <cell r="AE150">
            <v>50679</v>
          </cell>
          <cell r="AF150">
            <v>146</v>
          </cell>
          <cell r="AG150">
            <v>38229766.658086315</v>
          </cell>
          <cell r="AH150">
            <v>-176770.44278028319</v>
          </cell>
          <cell r="AI150">
            <v>-157344.22673681247</v>
          </cell>
          <cell r="AJ150">
            <v>334114.66951709567</v>
          </cell>
          <cell r="AK150">
            <v>38052996.215306029</v>
          </cell>
          <cell r="AT150">
            <v>54332</v>
          </cell>
          <cell r="AU150">
            <v>146</v>
          </cell>
          <cell r="AV150">
            <v>0</v>
          </cell>
        </row>
        <row r="151">
          <cell r="AE151">
            <v>50710</v>
          </cell>
          <cell r="AF151">
            <v>147</v>
          </cell>
          <cell r="AG151">
            <v>38052996.215306029</v>
          </cell>
          <cell r="AH151">
            <v>-177497.98602892354</v>
          </cell>
          <cell r="AI151">
            <v>-156616.68348817213</v>
          </cell>
          <cell r="AJ151">
            <v>334114.66951709567</v>
          </cell>
          <cell r="AK151">
            <v>37875498.229277104</v>
          </cell>
          <cell r="AT151">
            <v>54363</v>
          </cell>
          <cell r="AU151">
            <v>147</v>
          </cell>
          <cell r="AV151">
            <v>0</v>
          </cell>
        </row>
        <row r="152">
          <cell r="AE152">
            <v>50740</v>
          </cell>
          <cell r="AF152">
            <v>148</v>
          </cell>
          <cell r="AG152">
            <v>37875498.229277104</v>
          </cell>
          <cell r="AH152">
            <v>-178228.52366491919</v>
          </cell>
          <cell r="AI152">
            <v>-155886.14585217647</v>
          </cell>
          <cell r="AJ152">
            <v>334114.66951709567</v>
          </cell>
          <cell r="AK152">
            <v>37697269.705612183</v>
          </cell>
          <cell r="AT152">
            <v>54393</v>
          </cell>
          <cell r="AU152">
            <v>148</v>
          </cell>
          <cell r="AV152">
            <v>0</v>
          </cell>
        </row>
        <row r="153">
          <cell r="AE153">
            <v>50771</v>
          </cell>
          <cell r="AF153">
            <v>149</v>
          </cell>
          <cell r="AG153">
            <v>37697269.705612183</v>
          </cell>
          <cell r="AH153">
            <v>-178962.06801242489</v>
          </cell>
          <cell r="AI153">
            <v>-155152.60150467078</v>
          </cell>
          <cell r="AJ153">
            <v>334114.66951709567</v>
          </cell>
          <cell r="AK153">
            <v>37518307.637599759</v>
          </cell>
          <cell r="AT153">
            <v>54424</v>
          </cell>
          <cell r="AU153">
            <v>149</v>
          </cell>
          <cell r="AV153">
            <v>0</v>
          </cell>
        </row>
        <row r="154">
          <cell r="AE154">
            <v>50802</v>
          </cell>
          <cell r="AF154">
            <v>150</v>
          </cell>
          <cell r="AG154">
            <v>37518307.637599759</v>
          </cell>
          <cell r="AH154">
            <v>-179698.63144631858</v>
          </cell>
          <cell r="AI154">
            <v>-154416.03807077708</v>
          </cell>
          <cell r="AJ154">
            <v>334114.66951709567</v>
          </cell>
          <cell r="AK154">
            <v>37338609.006153442</v>
          </cell>
          <cell r="AT154">
            <v>54455</v>
          </cell>
          <cell r="AU154">
            <v>150</v>
          </cell>
          <cell r="AV154">
            <v>0</v>
          </cell>
        </row>
        <row r="155">
          <cell r="AE155">
            <v>50830</v>
          </cell>
          <cell r="AF155">
            <v>151</v>
          </cell>
          <cell r="AG155">
            <v>37338609.006153442</v>
          </cell>
          <cell r="AH155">
            <v>-180438.22639241026</v>
          </cell>
          <cell r="AI155">
            <v>-153676.44312468541</v>
          </cell>
          <cell r="AJ155">
            <v>334114.66951709567</v>
          </cell>
          <cell r="AK155">
            <v>37158170.779761031</v>
          </cell>
          <cell r="AT155">
            <v>54483</v>
          </cell>
          <cell r="AU155">
            <v>151</v>
          </cell>
          <cell r="AV155">
            <v>0</v>
          </cell>
        </row>
        <row r="156">
          <cell r="AE156">
            <v>50861</v>
          </cell>
          <cell r="AF156">
            <v>152</v>
          </cell>
          <cell r="AG156">
            <v>37158170.779761031</v>
          </cell>
          <cell r="AH156">
            <v>-181180.86532765135</v>
          </cell>
          <cell r="AI156">
            <v>-152933.80418944432</v>
          </cell>
          <cell r="AJ156">
            <v>334114.66951709567</v>
          </cell>
          <cell r="AK156">
            <v>36976989.914433382</v>
          </cell>
          <cell r="AT156">
            <v>54514</v>
          </cell>
          <cell r="AU156">
            <v>152</v>
          </cell>
          <cell r="AV156">
            <v>0</v>
          </cell>
        </row>
        <row r="157">
          <cell r="AE157">
            <v>50891</v>
          </cell>
          <cell r="AF157">
            <v>153</v>
          </cell>
          <cell r="AG157">
            <v>36976989.914433382</v>
          </cell>
          <cell r="AH157">
            <v>-181926.56078034532</v>
          </cell>
          <cell r="AI157">
            <v>-152188.10873675035</v>
          </cell>
          <cell r="AJ157">
            <v>334114.66951709567</v>
          </cell>
          <cell r="AK157">
            <v>36795063.353653036</v>
          </cell>
          <cell r="AT157">
            <v>54544</v>
          </cell>
          <cell r="AU157">
            <v>153</v>
          </cell>
          <cell r="AV157">
            <v>0</v>
          </cell>
        </row>
        <row r="158">
          <cell r="AE158">
            <v>50922</v>
          </cell>
          <cell r="AF158">
            <v>154</v>
          </cell>
          <cell r="AG158">
            <v>36795063.353653036</v>
          </cell>
          <cell r="AH158">
            <v>-182675.32533035899</v>
          </cell>
          <cell r="AI158">
            <v>-151439.34418673668</v>
          </cell>
          <cell r="AJ158">
            <v>334114.66951709567</v>
          </cell>
          <cell r="AK158">
            <v>36612388.028322674</v>
          </cell>
          <cell r="AT158">
            <v>54575</v>
          </cell>
          <cell r="AU158">
            <v>154</v>
          </cell>
          <cell r="AV158">
            <v>0</v>
          </cell>
        </row>
        <row r="159">
          <cell r="AE159">
            <v>50952</v>
          </cell>
          <cell r="AF159">
            <v>155</v>
          </cell>
          <cell r="AG159">
            <v>36612388.028322674</v>
          </cell>
          <cell r="AH159">
            <v>-183427.17160933494</v>
          </cell>
          <cell r="AI159">
            <v>-150687.49790776073</v>
          </cell>
          <cell r="AJ159">
            <v>334114.66951709567</v>
          </cell>
          <cell r="AK159">
            <v>36428960.85671334</v>
          </cell>
          <cell r="AT159">
            <v>54605</v>
          </cell>
          <cell r="AU159">
            <v>155</v>
          </cell>
          <cell r="AV159">
            <v>0</v>
          </cell>
        </row>
        <row r="160">
          <cell r="AE160">
            <v>50983</v>
          </cell>
          <cell r="AF160">
            <v>156</v>
          </cell>
          <cell r="AG160">
            <v>36428960.85671334</v>
          </cell>
          <cell r="AH160">
            <v>-184182.11230090429</v>
          </cell>
          <cell r="AI160">
            <v>-149932.55721619137</v>
          </cell>
          <cell r="AJ160">
            <v>334114.66951709567</v>
          </cell>
          <cell r="AK160">
            <v>36244778.744412437</v>
          </cell>
          <cell r="AT160">
            <v>54636</v>
          </cell>
          <cell r="AU160">
            <v>156</v>
          </cell>
          <cell r="AV160">
            <v>0</v>
          </cell>
        </row>
        <row r="161">
          <cell r="AE161">
            <v>51014</v>
          </cell>
          <cell r="AF161">
            <v>157</v>
          </cell>
          <cell r="AG161">
            <v>36244778.744412437</v>
          </cell>
          <cell r="AH161">
            <v>-184940.16014090099</v>
          </cell>
          <cell r="AI161">
            <v>-149174.50937619468</v>
          </cell>
          <cell r="AJ161">
            <v>334114.66951709567</v>
          </cell>
          <cell r="AK161">
            <v>36059838.584271535</v>
          </cell>
          <cell r="AT161">
            <v>54667</v>
          </cell>
          <cell r="AU161">
            <v>157</v>
          </cell>
          <cell r="AV161">
            <v>0</v>
          </cell>
        </row>
        <row r="162">
          <cell r="AE162">
            <v>51044</v>
          </cell>
          <cell r="AF162">
            <v>158</v>
          </cell>
          <cell r="AG162">
            <v>36059838.584271535</v>
          </cell>
          <cell r="AH162">
            <v>-185701.32791757627</v>
          </cell>
          <cell r="AI162">
            <v>-148413.34159951939</v>
          </cell>
          <cell r="AJ162">
            <v>334114.66951709567</v>
          </cell>
          <cell r="AK162">
            <v>35874137.256353959</v>
          </cell>
          <cell r="AT162">
            <v>54697</v>
          </cell>
          <cell r="AU162">
            <v>158</v>
          </cell>
          <cell r="AV162">
            <v>0</v>
          </cell>
        </row>
        <row r="163">
          <cell r="AE163">
            <v>51075</v>
          </cell>
          <cell r="AF163">
            <v>159</v>
          </cell>
          <cell r="AG163">
            <v>35874137.256353959</v>
          </cell>
          <cell r="AH163">
            <v>-186465.62847181497</v>
          </cell>
          <cell r="AI163">
            <v>-147649.0410452807</v>
          </cell>
          <cell r="AJ163">
            <v>334114.66951709567</v>
          </cell>
          <cell r="AK163">
            <v>35687671.627882145</v>
          </cell>
          <cell r="AT163">
            <v>54728</v>
          </cell>
          <cell r="AU163">
            <v>159</v>
          </cell>
          <cell r="AV163">
            <v>0</v>
          </cell>
        </row>
        <row r="164">
          <cell r="AE164">
            <v>51105</v>
          </cell>
          <cell r="AF164">
            <v>160</v>
          </cell>
          <cell r="AG164">
            <v>35687671.627882145</v>
          </cell>
          <cell r="AH164">
            <v>-187233.07469735152</v>
          </cell>
          <cell r="AI164">
            <v>-146881.59481974415</v>
          </cell>
          <cell r="AJ164">
            <v>334114.66951709567</v>
          </cell>
          <cell r="AK164">
            <v>35500438.553184792</v>
          </cell>
          <cell r="AT164">
            <v>54758</v>
          </cell>
          <cell r="AU164">
            <v>160</v>
          </cell>
          <cell r="AV164">
            <v>0</v>
          </cell>
        </row>
        <row r="165">
          <cell r="AE165">
            <v>51136</v>
          </cell>
          <cell r="AF165">
            <v>161</v>
          </cell>
          <cell r="AG165">
            <v>35500438.553184792</v>
          </cell>
          <cell r="AH165">
            <v>-188003.67954098791</v>
          </cell>
          <cell r="AI165">
            <v>-146110.98997610775</v>
          </cell>
          <cell r="AJ165">
            <v>334114.66951709567</v>
          </cell>
          <cell r="AK165">
            <v>35312434.873643808</v>
          </cell>
          <cell r="AT165">
            <v>54789</v>
          </cell>
          <cell r="AU165">
            <v>161</v>
          </cell>
          <cell r="AV165">
            <v>0</v>
          </cell>
        </row>
        <row r="166">
          <cell r="AE166">
            <v>51167</v>
          </cell>
          <cell r="AF166">
            <v>162</v>
          </cell>
          <cell r="AG166">
            <v>35312434.873643808</v>
          </cell>
          <cell r="AH166">
            <v>-188777.45600281196</v>
          </cell>
          <cell r="AI166">
            <v>-145337.21351428371</v>
          </cell>
          <cell r="AJ166">
            <v>334114.66951709567</v>
          </cell>
          <cell r="AK166">
            <v>35123657.417640999</v>
          </cell>
          <cell r="AT166">
            <v>54820</v>
          </cell>
          <cell r="AU166">
            <v>162</v>
          </cell>
          <cell r="AV166">
            <v>0</v>
          </cell>
        </row>
        <row r="167">
          <cell r="AE167">
            <v>51196</v>
          </cell>
          <cell r="AF167">
            <v>163</v>
          </cell>
          <cell r="AG167">
            <v>35123657.417640999</v>
          </cell>
          <cell r="AH167">
            <v>-189554.41713641654</v>
          </cell>
          <cell r="AI167">
            <v>-144560.25238067913</v>
          </cell>
          <cell r="AJ167">
            <v>334114.66951709567</v>
          </cell>
          <cell r="AK167">
            <v>34934103.000504583</v>
          </cell>
          <cell r="AT167">
            <v>54848</v>
          </cell>
          <cell r="AU167">
            <v>163</v>
          </cell>
          <cell r="AV167">
            <v>0</v>
          </cell>
        </row>
        <row r="168">
          <cell r="AE168">
            <v>51227</v>
          </cell>
          <cell r="AF168">
            <v>164</v>
          </cell>
          <cell r="AG168">
            <v>34934103.000504583</v>
          </cell>
          <cell r="AH168">
            <v>-190334.57604911987</v>
          </cell>
          <cell r="AI168">
            <v>-143780.09346797579</v>
          </cell>
          <cell r="AJ168">
            <v>334114.66951709567</v>
          </cell>
          <cell r="AK168">
            <v>34743768.424455464</v>
          </cell>
          <cell r="AT168">
            <v>54879</v>
          </cell>
          <cell r="AU168">
            <v>164</v>
          </cell>
          <cell r="AV168">
            <v>0</v>
          </cell>
        </row>
        <row r="169">
          <cell r="AE169">
            <v>51257</v>
          </cell>
          <cell r="AF169">
            <v>165</v>
          </cell>
          <cell r="AG169">
            <v>34743768.424455464</v>
          </cell>
          <cell r="AH169">
            <v>-191117.94590218682</v>
          </cell>
          <cell r="AI169">
            <v>-142996.72361490884</v>
          </cell>
          <cell r="AJ169">
            <v>334114.66951709567</v>
          </cell>
          <cell r="AK169">
            <v>34552650.47855328</v>
          </cell>
          <cell r="AT169">
            <v>54909</v>
          </cell>
          <cell r="AU169">
            <v>165</v>
          </cell>
          <cell r="AV169">
            <v>0</v>
          </cell>
        </row>
        <row r="170">
          <cell r="AE170">
            <v>51288</v>
          </cell>
          <cell r="AF170">
            <v>166</v>
          </cell>
          <cell r="AG170">
            <v>34552650.47855328</v>
          </cell>
          <cell r="AH170">
            <v>-191904.53991105052</v>
          </cell>
          <cell r="AI170">
            <v>-142210.12960604514</v>
          </cell>
          <cell r="AJ170">
            <v>334114.66951709567</v>
          </cell>
          <cell r="AK170">
            <v>34360745.938642226</v>
          </cell>
          <cell r="AT170">
            <v>54940</v>
          </cell>
          <cell r="AU170">
            <v>166</v>
          </cell>
          <cell r="AV170">
            <v>0</v>
          </cell>
        </row>
        <row r="171">
          <cell r="AE171">
            <v>51318</v>
          </cell>
          <cell r="AF171">
            <v>167</v>
          </cell>
          <cell r="AG171">
            <v>34360745.938642226</v>
          </cell>
          <cell r="AH171">
            <v>-192694.37134553562</v>
          </cell>
          <cell r="AI171">
            <v>-141420.29817156005</v>
          </cell>
          <cell r="AJ171">
            <v>334114.66951709567</v>
          </cell>
          <cell r="AK171">
            <v>34168051.567296691</v>
          </cell>
          <cell r="AT171">
            <v>54970</v>
          </cell>
          <cell r="AU171">
            <v>167</v>
          </cell>
          <cell r="AV171">
            <v>0</v>
          </cell>
        </row>
        <row r="172">
          <cell r="AE172">
            <v>51349</v>
          </cell>
          <cell r="AF172">
            <v>168</v>
          </cell>
          <cell r="AG172">
            <v>34168051.567296691</v>
          </cell>
          <cell r="AH172">
            <v>-193487.45353008219</v>
          </cell>
          <cell r="AI172">
            <v>-140627.21598701348</v>
          </cell>
          <cell r="AJ172">
            <v>334114.66951709567</v>
          </cell>
          <cell r="AK172">
            <v>33974564.113766611</v>
          </cell>
          <cell r="AT172">
            <v>55001</v>
          </cell>
          <cell r="AU172">
            <v>168</v>
          </cell>
          <cell r="AV172">
            <v>0</v>
          </cell>
        </row>
        <row r="173">
          <cell r="AE173">
            <v>51380</v>
          </cell>
          <cell r="AF173">
            <v>169</v>
          </cell>
          <cell r="AG173">
            <v>33974564.113766611</v>
          </cell>
          <cell r="AH173">
            <v>-194283.79984397019</v>
          </cell>
          <cell r="AI173">
            <v>-139830.86967312547</v>
          </cell>
          <cell r="AJ173">
            <v>334114.66951709567</v>
          </cell>
          <cell r="AK173">
            <v>33780280.313922644</v>
          </cell>
          <cell r="AT173">
            <v>55032</v>
          </cell>
          <cell r="AU173">
            <v>169</v>
          </cell>
          <cell r="AV173">
            <v>0</v>
          </cell>
        </row>
        <row r="174">
          <cell r="AE174">
            <v>51410</v>
          </cell>
          <cell r="AF174">
            <v>170</v>
          </cell>
          <cell r="AG174">
            <v>33780280.313922644</v>
          </cell>
          <cell r="AH174">
            <v>-195083.42372154552</v>
          </cell>
          <cell r="AI174">
            <v>-139031.24579555014</v>
          </cell>
          <cell r="AJ174">
            <v>334114.66951709567</v>
          </cell>
          <cell r="AK174">
            <v>33585196.890201099</v>
          </cell>
          <cell r="AT174">
            <v>55062</v>
          </cell>
          <cell r="AU174">
            <v>170</v>
          </cell>
          <cell r="AV174">
            <v>0</v>
          </cell>
        </row>
        <row r="175">
          <cell r="AE175">
            <v>51441</v>
          </cell>
          <cell r="AF175">
            <v>171</v>
          </cell>
          <cell r="AG175">
            <v>33585196.890201099</v>
          </cell>
          <cell r="AH175">
            <v>-195886.33865244646</v>
          </cell>
          <cell r="AI175">
            <v>-138228.33086464921</v>
          </cell>
          <cell r="AJ175">
            <v>334114.66951709567</v>
          </cell>
          <cell r="AK175">
            <v>33389310.551548652</v>
          </cell>
          <cell r="AT175">
            <v>55093</v>
          </cell>
          <cell r="AU175">
            <v>171</v>
          </cell>
          <cell r="AV175">
            <v>0</v>
          </cell>
        </row>
        <row r="176">
          <cell r="AE176">
            <v>51471</v>
          </cell>
          <cell r="AF176">
            <v>172</v>
          </cell>
          <cell r="AG176">
            <v>33389310.551548652</v>
          </cell>
          <cell r="AH176">
            <v>-196692.55818183129</v>
          </cell>
          <cell r="AI176">
            <v>-137422.11133526437</v>
          </cell>
          <cell r="AJ176">
            <v>334114.66951709567</v>
          </cell>
          <cell r="AK176">
            <v>33192617.993366823</v>
          </cell>
          <cell r="AT176">
            <v>55123</v>
          </cell>
          <cell r="AU176">
            <v>172</v>
          </cell>
          <cell r="AV176">
            <v>0</v>
          </cell>
        </row>
        <row r="177">
          <cell r="AE177">
            <v>51502</v>
          </cell>
          <cell r="AF177">
            <v>173</v>
          </cell>
          <cell r="AG177">
            <v>33192617.993366823</v>
          </cell>
          <cell r="AH177">
            <v>-197502.09591060685</v>
          </cell>
          <cell r="AI177">
            <v>-136612.57360648882</v>
          </cell>
          <cell r="AJ177">
            <v>334114.66951709567</v>
          </cell>
          <cell r="AK177">
            <v>32995115.897456218</v>
          </cell>
          <cell r="AT177">
            <v>55154</v>
          </cell>
          <cell r="AU177">
            <v>173</v>
          </cell>
          <cell r="AV177">
            <v>0</v>
          </cell>
        </row>
        <row r="178">
          <cell r="AE178">
            <v>51533</v>
          </cell>
          <cell r="AF178">
            <v>174</v>
          </cell>
          <cell r="AG178">
            <v>32995115.897456218</v>
          </cell>
          <cell r="AH178">
            <v>-198314.96549565782</v>
          </cell>
          <cell r="AI178">
            <v>-135799.70402143785</v>
          </cell>
          <cell r="AJ178">
            <v>334114.66951709567</v>
          </cell>
          <cell r="AK178">
            <v>32796800.93196056</v>
          </cell>
          <cell r="AT178">
            <v>55185</v>
          </cell>
          <cell r="AU178">
            <v>174</v>
          </cell>
          <cell r="AV178">
            <v>0</v>
          </cell>
        </row>
        <row r="179">
          <cell r="AE179">
            <v>51561</v>
          </cell>
          <cell r="AF179">
            <v>175</v>
          </cell>
          <cell r="AG179">
            <v>32796800.93196056</v>
          </cell>
          <cell r="AH179">
            <v>-199131.18065007732</v>
          </cell>
          <cell r="AI179">
            <v>-134983.48886701834</v>
          </cell>
          <cell r="AJ179">
            <v>334114.66951709567</v>
          </cell>
          <cell r="AK179">
            <v>32597669.751310483</v>
          </cell>
          <cell r="AT179">
            <v>55213</v>
          </cell>
          <cell r="AU179">
            <v>175</v>
          </cell>
          <cell r="AV179">
            <v>0</v>
          </cell>
        </row>
        <row r="180">
          <cell r="AE180">
            <v>51592</v>
          </cell>
          <cell r="AF180">
            <v>176</v>
          </cell>
          <cell r="AG180">
            <v>32597669.751310483</v>
          </cell>
          <cell r="AH180">
            <v>-199950.75514339816</v>
          </cell>
          <cell r="AI180">
            <v>-134163.91437369751</v>
          </cell>
          <cell r="AJ180">
            <v>334114.66951709567</v>
          </cell>
          <cell r="AK180">
            <v>32397718.996167086</v>
          </cell>
          <cell r="AT180">
            <v>55244</v>
          </cell>
          <cell r="AU180">
            <v>176</v>
          </cell>
          <cell r="AV180">
            <v>0</v>
          </cell>
        </row>
        <row r="181">
          <cell r="AE181">
            <v>51622</v>
          </cell>
          <cell r="AF181">
            <v>177</v>
          </cell>
          <cell r="AG181">
            <v>32397718.996167086</v>
          </cell>
          <cell r="AH181">
            <v>-200773.7028018251</v>
          </cell>
          <cell r="AI181">
            <v>-133340.96671527057</v>
          </cell>
          <cell r="AJ181">
            <v>334114.66951709567</v>
          </cell>
          <cell r="AK181">
            <v>32196945.293365262</v>
          </cell>
          <cell r="AT181">
            <v>55274</v>
          </cell>
          <cell r="AU181">
            <v>177</v>
          </cell>
          <cell r="AV181">
            <v>0</v>
          </cell>
        </row>
        <row r="182">
          <cell r="AE182">
            <v>51653</v>
          </cell>
          <cell r="AF182">
            <v>178</v>
          </cell>
          <cell r="AG182">
            <v>32196945.293365262</v>
          </cell>
          <cell r="AH182">
            <v>-201600.03750846806</v>
          </cell>
          <cell r="AI182">
            <v>-132514.63200862761</v>
          </cell>
          <cell r="AJ182">
            <v>334114.66951709567</v>
          </cell>
          <cell r="AK182">
            <v>31995345.255856793</v>
          </cell>
          <cell r="AT182">
            <v>55305</v>
          </cell>
          <cell r="AU182">
            <v>178</v>
          </cell>
          <cell r="AV182">
            <v>0</v>
          </cell>
        </row>
        <row r="183">
          <cell r="AE183">
            <v>51683</v>
          </cell>
          <cell r="AF183">
            <v>179</v>
          </cell>
          <cell r="AG183">
            <v>31995345.255856793</v>
          </cell>
          <cell r="AH183">
            <v>-202429.77320357657</v>
          </cell>
          <cell r="AI183">
            <v>-131684.8963135191</v>
          </cell>
          <cell r="AJ183">
            <v>334114.66951709567</v>
          </cell>
          <cell r="AK183">
            <v>31792915.482653216</v>
          </cell>
          <cell r="AT183">
            <v>55335</v>
          </cell>
          <cell r="AU183">
            <v>179</v>
          </cell>
          <cell r="AV183">
            <v>0</v>
          </cell>
        </row>
        <row r="184">
          <cell r="AE184">
            <v>51714</v>
          </cell>
          <cell r="AF184">
            <v>180</v>
          </cell>
          <cell r="AG184">
            <v>31792915.482653216</v>
          </cell>
          <cell r="AH184">
            <v>-203262.92388477456</v>
          </cell>
          <cell r="AI184">
            <v>-130851.74563232111</v>
          </cell>
          <cell r="AJ184">
            <v>334114.66951709567</v>
          </cell>
          <cell r="AK184">
            <v>31589652.55876844</v>
          </cell>
          <cell r="AT184">
            <v>55366</v>
          </cell>
          <cell r="AU184">
            <v>180</v>
          </cell>
          <cell r="AV184">
            <v>0</v>
          </cell>
        </row>
        <row r="185">
          <cell r="AE185">
            <v>51745</v>
          </cell>
          <cell r="AF185">
            <v>181</v>
          </cell>
          <cell r="AG185">
            <v>31589652.55876844</v>
          </cell>
          <cell r="AH185">
            <v>-204099.50360729685</v>
          </cell>
          <cell r="AI185">
            <v>-130015.16590979883</v>
          </cell>
          <cell r="AJ185">
            <v>334114.66951709567</v>
          </cell>
          <cell r="AK185">
            <v>31385553.055161145</v>
          </cell>
          <cell r="AT185">
            <v>55397</v>
          </cell>
          <cell r="AU185">
            <v>181</v>
          </cell>
          <cell r="AV185">
            <v>0</v>
          </cell>
        </row>
        <row r="186">
          <cell r="AE186">
            <v>51775</v>
          </cell>
          <cell r="AF186">
            <v>182</v>
          </cell>
          <cell r="AG186">
            <v>31385553.055161145</v>
          </cell>
          <cell r="AH186">
            <v>-204939.52648422605</v>
          </cell>
          <cell r="AI186">
            <v>-129175.14303286963</v>
          </cell>
          <cell r="AJ186">
            <v>334114.66951709567</v>
          </cell>
          <cell r="AK186">
            <v>31180613.52867692</v>
          </cell>
          <cell r="AT186">
            <v>55427</v>
          </cell>
          <cell r="AU186">
            <v>182</v>
          </cell>
          <cell r="AV186">
            <v>0</v>
          </cell>
        </row>
        <row r="187">
          <cell r="AE187">
            <v>51806</v>
          </cell>
          <cell r="AF187">
            <v>183</v>
          </cell>
          <cell r="AG187">
            <v>31180613.52867692</v>
          </cell>
          <cell r="AH187">
            <v>-205783.00668673072</v>
          </cell>
          <cell r="AI187">
            <v>-128331.66283036496</v>
          </cell>
          <cell r="AJ187">
            <v>334114.66951709567</v>
          </cell>
          <cell r="AK187">
            <v>30974830.521990187</v>
          </cell>
          <cell r="AT187">
            <v>55458</v>
          </cell>
          <cell r="AU187">
            <v>183</v>
          </cell>
          <cell r="AV187">
            <v>0</v>
          </cell>
        </row>
        <row r="188">
          <cell r="AE188">
            <v>51836</v>
          </cell>
          <cell r="AF188">
            <v>184</v>
          </cell>
          <cell r="AG188">
            <v>30974830.521990187</v>
          </cell>
          <cell r="AH188">
            <v>-206629.95844430442</v>
          </cell>
          <cell r="AI188">
            <v>-127484.71107279124</v>
          </cell>
          <cell r="AJ188">
            <v>334114.66951709567</v>
          </cell>
          <cell r="AK188">
            <v>30768200.563545883</v>
          </cell>
          <cell r="AT188">
            <v>55488</v>
          </cell>
          <cell r="AU188">
            <v>184</v>
          </cell>
          <cell r="AV188">
            <v>0</v>
          </cell>
        </row>
        <row r="189">
          <cell r="AE189">
            <v>51867</v>
          </cell>
          <cell r="AF189">
            <v>185</v>
          </cell>
          <cell r="AG189">
            <v>30768200.563545883</v>
          </cell>
          <cell r="AH189">
            <v>-207480.39604500588</v>
          </cell>
          <cell r="AI189">
            <v>-126634.2734720898</v>
          </cell>
          <cell r="AJ189">
            <v>334114.66951709567</v>
          </cell>
          <cell r="AK189">
            <v>30560720.167500876</v>
          </cell>
          <cell r="AT189">
            <v>55519</v>
          </cell>
          <cell r="AU189">
            <v>185</v>
          </cell>
          <cell r="AV189">
            <v>0</v>
          </cell>
        </row>
        <row r="190">
          <cell r="AE190">
            <v>51898</v>
          </cell>
          <cell r="AF190">
            <v>186</v>
          </cell>
          <cell r="AG190">
            <v>30560720.167500876</v>
          </cell>
          <cell r="AH190">
            <v>-208334.33383569977</v>
          </cell>
          <cell r="AI190">
            <v>-125780.3356813959</v>
          </cell>
          <cell r="AJ190">
            <v>334114.66951709567</v>
          </cell>
          <cell r="AK190">
            <v>30352385.833665177</v>
          </cell>
          <cell r="AT190">
            <v>55550</v>
          </cell>
          <cell r="AU190">
            <v>186</v>
          </cell>
          <cell r="AV190">
            <v>0</v>
          </cell>
        </row>
        <row r="191">
          <cell r="AE191">
            <v>51926</v>
          </cell>
          <cell r="AF191">
            <v>187</v>
          </cell>
          <cell r="AG191">
            <v>30352385.833665177</v>
          </cell>
          <cell r="AH191">
            <v>-209191.78622229898</v>
          </cell>
          <cell r="AI191">
            <v>-124922.8832947967</v>
          </cell>
          <cell r="AJ191">
            <v>334114.66951709567</v>
          </cell>
          <cell r="AK191">
            <v>30143194.04744288</v>
          </cell>
          <cell r="AT191">
            <v>55579</v>
          </cell>
          <cell r="AU191">
            <v>187</v>
          </cell>
          <cell r="AV191">
            <v>0</v>
          </cell>
        </row>
        <row r="192">
          <cell r="AE192">
            <v>51957</v>
          </cell>
          <cell r="AF192">
            <v>188</v>
          </cell>
          <cell r="AG192">
            <v>30143194.04744288</v>
          </cell>
          <cell r="AH192">
            <v>-210052.76767000754</v>
          </cell>
          <cell r="AI192">
            <v>-124061.90184708811</v>
          </cell>
          <cell r="AJ192">
            <v>334114.66951709567</v>
          </cell>
          <cell r="AK192">
            <v>29933141.27977287</v>
          </cell>
          <cell r="AT192">
            <v>55610</v>
          </cell>
          <cell r="AU192">
            <v>188</v>
          </cell>
          <cell r="AV192">
            <v>0</v>
          </cell>
        </row>
        <row r="193">
          <cell r="AE193">
            <v>51987</v>
          </cell>
          <cell r="AF193">
            <v>189</v>
          </cell>
          <cell r="AG193">
            <v>29933141.27977287</v>
          </cell>
          <cell r="AH193">
            <v>-210917.29270356469</v>
          </cell>
          <cell r="AI193">
            <v>-123197.37681353097</v>
          </cell>
          <cell r="AJ193">
            <v>334114.66951709567</v>
          </cell>
          <cell r="AK193">
            <v>29722223.987069305</v>
          </cell>
          <cell r="AT193">
            <v>55640</v>
          </cell>
          <cell r="AU193">
            <v>189</v>
          </cell>
          <cell r="AV193">
            <v>0</v>
          </cell>
        </row>
        <row r="194">
          <cell r="AE194">
            <v>52018</v>
          </cell>
          <cell r="AF194">
            <v>190</v>
          </cell>
          <cell r="AG194">
            <v>29722223.987069305</v>
          </cell>
          <cell r="AH194">
            <v>-211785.37590748991</v>
          </cell>
          <cell r="AI194">
            <v>-122329.29360960575</v>
          </cell>
          <cell r="AJ194">
            <v>334114.66951709567</v>
          </cell>
          <cell r="AK194">
            <v>29510438.611161817</v>
          </cell>
          <cell r="AT194">
            <v>55671</v>
          </cell>
          <cell r="AU194">
            <v>190</v>
          </cell>
          <cell r="AV194">
            <v>0</v>
          </cell>
        </row>
        <row r="195">
          <cell r="AE195">
            <v>52048</v>
          </cell>
          <cell r="AF195">
            <v>191</v>
          </cell>
          <cell r="AG195">
            <v>29510438.611161817</v>
          </cell>
          <cell r="AH195">
            <v>-212657.03192632887</v>
          </cell>
          <cell r="AI195">
            <v>-121457.6375907668</v>
          </cell>
          <cell r="AJ195">
            <v>334114.66951709567</v>
          </cell>
          <cell r="AK195">
            <v>29297781.579235487</v>
          </cell>
          <cell r="AT195">
            <v>55701</v>
          </cell>
          <cell r="AU195">
            <v>191</v>
          </cell>
          <cell r="AV195">
            <v>0</v>
          </cell>
        </row>
        <row r="196">
          <cell r="AE196">
            <v>52079</v>
          </cell>
          <cell r="AF196">
            <v>192</v>
          </cell>
          <cell r="AG196">
            <v>29297781.579235487</v>
          </cell>
          <cell r="AH196">
            <v>-213532.27546490054</v>
          </cell>
          <cell r="AI196">
            <v>-120582.39405219512</v>
          </cell>
          <cell r="AJ196">
            <v>334114.66951709567</v>
          </cell>
          <cell r="AK196">
            <v>29084249.303770587</v>
          </cell>
          <cell r="AT196">
            <v>55732</v>
          </cell>
          <cell r="AU196">
            <v>192</v>
          </cell>
          <cell r="AV196">
            <v>0</v>
          </cell>
        </row>
        <row r="197">
          <cell r="AE197">
            <v>52110</v>
          </cell>
          <cell r="AF197">
            <v>193</v>
          </cell>
          <cell r="AG197">
            <v>29084249.303770587</v>
          </cell>
          <cell r="AH197">
            <v>-214411.12128854543</v>
          </cell>
          <cell r="AI197">
            <v>-119703.54822855022</v>
          </cell>
          <cell r="AJ197">
            <v>334114.66951709567</v>
          </cell>
          <cell r="AK197">
            <v>28869838.182482041</v>
          </cell>
          <cell r="AT197">
            <v>55763</v>
          </cell>
          <cell r="AU197">
            <v>193</v>
          </cell>
          <cell r="AV197">
            <v>0</v>
          </cell>
        </row>
        <row r="198">
          <cell r="AE198">
            <v>52140</v>
          </cell>
          <cell r="AF198">
            <v>194</v>
          </cell>
          <cell r="AG198">
            <v>28869838.182482041</v>
          </cell>
          <cell r="AH198">
            <v>-215293.58422337432</v>
          </cell>
          <cell r="AI198">
            <v>-118821.08529372135</v>
          </cell>
          <cell r="AJ198">
            <v>334114.66951709567</v>
          </cell>
          <cell r="AK198">
            <v>28654544.598258667</v>
          </cell>
          <cell r="AT198">
            <v>55793</v>
          </cell>
          <cell r="AU198">
            <v>194</v>
          </cell>
          <cell r="AV198">
            <v>0</v>
          </cell>
        </row>
        <row r="199">
          <cell r="AE199">
            <v>52171</v>
          </cell>
          <cell r="AF199">
            <v>195</v>
          </cell>
          <cell r="AG199">
            <v>28654544.598258667</v>
          </cell>
          <cell r="AH199">
            <v>-216179.67915651872</v>
          </cell>
          <cell r="AI199">
            <v>-117934.99036057694</v>
          </cell>
          <cell r="AJ199">
            <v>334114.66951709567</v>
          </cell>
          <cell r="AK199">
            <v>28438364.919102147</v>
          </cell>
          <cell r="AT199">
            <v>55824</v>
          </cell>
          <cell r="AU199">
            <v>195</v>
          </cell>
          <cell r="AV199">
            <v>0</v>
          </cell>
        </row>
        <row r="200">
          <cell r="AE200">
            <v>52201</v>
          </cell>
          <cell r="AF200">
            <v>196</v>
          </cell>
          <cell r="AG200">
            <v>28438364.919102147</v>
          </cell>
          <cell r="AH200">
            <v>-217069.42103638186</v>
          </cell>
          <cell r="AI200">
            <v>-117045.2484807138</v>
          </cell>
          <cell r="AJ200">
            <v>334114.66951709567</v>
          </cell>
          <cell r="AK200">
            <v>28221295.498065766</v>
          </cell>
          <cell r="AT200">
            <v>55854</v>
          </cell>
          <cell r="AU200">
            <v>196</v>
          </cell>
          <cell r="AV200">
            <v>0</v>
          </cell>
        </row>
        <row r="201">
          <cell r="AE201">
            <v>52232</v>
          </cell>
          <cell r="AF201">
            <v>197</v>
          </cell>
          <cell r="AG201">
            <v>28221295.498065766</v>
          </cell>
          <cell r="AH201">
            <v>-217962.82487289084</v>
          </cell>
          <cell r="AI201">
            <v>-116151.84464420482</v>
          </cell>
          <cell r="AJ201">
            <v>334114.66951709567</v>
          </cell>
          <cell r="AK201">
            <v>28003332.673192874</v>
          </cell>
          <cell r="AT201">
            <v>55885</v>
          </cell>
          <cell r="AU201">
            <v>197</v>
          </cell>
          <cell r="AV201">
            <v>0</v>
          </cell>
        </row>
        <row r="202">
          <cell r="AE202">
            <v>52263</v>
          </cell>
          <cell r="AF202">
            <v>198</v>
          </cell>
          <cell r="AG202">
            <v>28003332.673192874</v>
          </cell>
          <cell r="AH202">
            <v>-218859.90573774988</v>
          </cell>
          <cell r="AI202">
            <v>-115254.76377934577</v>
          </cell>
          <cell r="AJ202">
            <v>334114.66951709567</v>
          </cell>
          <cell r="AK202">
            <v>27784472.767455123</v>
          </cell>
          <cell r="AT202">
            <v>55916</v>
          </cell>
          <cell r="AU202">
            <v>198</v>
          </cell>
          <cell r="AV202">
            <v>0</v>
          </cell>
        </row>
        <row r="203">
          <cell r="AE203">
            <v>52291</v>
          </cell>
          <cell r="AF203">
            <v>199</v>
          </cell>
          <cell r="AG203">
            <v>27784472.767455123</v>
          </cell>
          <cell r="AH203">
            <v>-219760.67876469472</v>
          </cell>
          <cell r="AI203">
            <v>-114353.99075240096</v>
          </cell>
          <cell r="AJ203">
            <v>334114.66951709567</v>
          </cell>
          <cell r="AK203">
            <v>27564712.08869043</v>
          </cell>
          <cell r="AT203">
            <v>55944</v>
          </cell>
          <cell r="AU203">
            <v>199</v>
          </cell>
          <cell r="AV203">
            <v>0</v>
          </cell>
        </row>
        <row r="204">
          <cell r="AE204">
            <v>52322</v>
          </cell>
          <cell r="AF204">
            <v>200</v>
          </cell>
          <cell r="AG204">
            <v>27564712.08869043</v>
          </cell>
          <cell r="AH204">
            <v>-220665.1591497476</v>
          </cell>
          <cell r="AI204">
            <v>-113449.51036734806</v>
          </cell>
          <cell r="AJ204">
            <v>334114.66951709567</v>
          </cell>
          <cell r="AK204">
            <v>27344046.929540683</v>
          </cell>
          <cell r="AT204">
            <v>55975</v>
          </cell>
          <cell r="AU204">
            <v>200</v>
          </cell>
          <cell r="AV204">
            <v>0</v>
          </cell>
        </row>
        <row r="205">
          <cell r="AE205">
            <v>52352</v>
          </cell>
          <cell r="AF205">
            <v>201</v>
          </cell>
          <cell r="AG205">
            <v>27344046.929540683</v>
          </cell>
          <cell r="AH205">
            <v>-221573.36215147399</v>
          </cell>
          <cell r="AI205">
            <v>-112541.30736562169</v>
          </cell>
          <cell r="AJ205">
            <v>334114.66951709567</v>
          </cell>
          <cell r="AK205">
            <v>27122473.567389209</v>
          </cell>
          <cell r="AT205">
            <v>56005</v>
          </cell>
          <cell r="AU205">
            <v>201</v>
          </cell>
          <cell r="AV205">
            <v>0</v>
          </cell>
        </row>
        <row r="206">
          <cell r="AE206">
            <v>52383</v>
          </cell>
          <cell r="AF206">
            <v>202</v>
          </cell>
          <cell r="AG206">
            <v>27122473.567389209</v>
          </cell>
          <cell r="AH206">
            <v>-222485.30309123965</v>
          </cell>
          <cell r="AI206">
            <v>-111629.366425856</v>
          </cell>
          <cell r="AJ206">
            <v>334114.66951709567</v>
          </cell>
          <cell r="AK206">
            <v>26899988.26429797</v>
          </cell>
          <cell r="AT206">
            <v>56036</v>
          </cell>
          <cell r="AU206">
            <v>202</v>
          </cell>
          <cell r="AV206">
            <v>0</v>
          </cell>
        </row>
        <row r="207">
          <cell r="AE207">
            <v>52413</v>
          </cell>
          <cell r="AF207">
            <v>203</v>
          </cell>
          <cell r="AG207">
            <v>26899988.26429797</v>
          </cell>
          <cell r="AH207">
            <v>-223400.99735346955</v>
          </cell>
          <cell r="AI207">
            <v>-110713.67216362612</v>
          </cell>
          <cell r="AJ207">
            <v>334114.66951709567</v>
          </cell>
          <cell r="AK207">
            <v>26676587.266944502</v>
          </cell>
          <cell r="AT207">
            <v>56066</v>
          </cell>
          <cell r="AU207">
            <v>203</v>
          </cell>
          <cell r="AV207">
            <v>0</v>
          </cell>
        </row>
        <row r="208">
          <cell r="AE208">
            <v>52444</v>
          </cell>
          <cell r="AF208">
            <v>204</v>
          </cell>
          <cell r="AG208">
            <v>26676587.266944502</v>
          </cell>
          <cell r="AH208">
            <v>-224320.46038590686</v>
          </cell>
          <cell r="AI208">
            <v>-109794.20913118881</v>
          </cell>
          <cell r="AJ208">
            <v>334114.66951709567</v>
          </cell>
          <cell r="AK208">
            <v>26452266.806558594</v>
          </cell>
          <cell r="AT208">
            <v>56097</v>
          </cell>
          <cell r="AU208">
            <v>204</v>
          </cell>
          <cell r="AV208">
            <v>0</v>
          </cell>
        </row>
        <row r="209">
          <cell r="AE209">
            <v>52475</v>
          </cell>
          <cell r="AF209">
            <v>205</v>
          </cell>
          <cell r="AG209">
            <v>26452266.806558594</v>
          </cell>
          <cell r="AH209">
            <v>-225243.70769987395</v>
          </cell>
          <cell r="AI209">
            <v>-108870.96181722173</v>
          </cell>
          <cell r="AJ209">
            <v>334114.66951709567</v>
          </cell>
          <cell r="AK209">
            <v>26227023.098858722</v>
          </cell>
          <cell r="AT209">
            <v>56128</v>
          </cell>
          <cell r="AU209">
            <v>205</v>
          </cell>
          <cell r="AV209">
            <v>0</v>
          </cell>
        </row>
        <row r="210">
          <cell r="AE210">
            <v>52505</v>
          </cell>
          <cell r="AF210">
            <v>206</v>
          </cell>
          <cell r="AG210">
            <v>26227023.098858722</v>
          </cell>
          <cell r="AH210">
            <v>-226170.75487053388</v>
          </cell>
          <cell r="AI210">
            <v>-107943.91464656178</v>
          </cell>
          <cell r="AJ210">
            <v>334114.66951709567</v>
          </cell>
          <cell r="AK210">
            <v>26000852.343988188</v>
          </cell>
          <cell r="AT210">
            <v>56158</v>
          </cell>
          <cell r="AU210">
            <v>206</v>
          </cell>
          <cell r="AV210">
            <v>0</v>
          </cell>
        </row>
        <row r="211">
          <cell r="AE211">
            <v>52536</v>
          </cell>
          <cell r="AF211">
            <v>207</v>
          </cell>
          <cell r="AG211">
            <v>26000852.343988188</v>
          </cell>
          <cell r="AH211">
            <v>-227101.61753715333</v>
          </cell>
          <cell r="AI211">
            <v>-107013.05197994233</v>
          </cell>
          <cell r="AJ211">
            <v>334114.66951709567</v>
          </cell>
          <cell r="AK211">
            <v>25773750.726451036</v>
          </cell>
          <cell r="AT211">
            <v>56189</v>
          </cell>
          <cell r="AU211">
            <v>207</v>
          </cell>
          <cell r="AV211">
            <v>0</v>
          </cell>
        </row>
        <row r="212">
          <cell r="AE212">
            <v>52566</v>
          </cell>
          <cell r="AF212">
            <v>208</v>
          </cell>
          <cell r="AG212">
            <v>25773750.726451036</v>
          </cell>
          <cell r="AH212">
            <v>-228036.31140336621</v>
          </cell>
          <cell r="AI212">
            <v>-106078.35811372945</v>
          </cell>
          <cell r="AJ212">
            <v>334114.66951709567</v>
          </cell>
          <cell r="AK212">
            <v>25545714.415047668</v>
          </cell>
          <cell r="AT212">
            <v>56219</v>
          </cell>
          <cell r="AU212">
            <v>208</v>
          </cell>
          <cell r="AV212">
            <v>0</v>
          </cell>
        </row>
        <row r="213">
          <cell r="AE213">
            <v>52597</v>
          </cell>
          <cell r="AF213">
            <v>209</v>
          </cell>
          <cell r="AG213">
            <v>25545714.415047668</v>
          </cell>
          <cell r="AH213">
            <v>-228974.85223743872</v>
          </cell>
          <cell r="AI213">
            <v>-105139.81727965696</v>
          </cell>
          <cell r="AJ213">
            <v>334114.66951709567</v>
          </cell>
          <cell r="AK213">
            <v>25316739.562810231</v>
          </cell>
          <cell r="AT213">
            <v>56250</v>
          </cell>
          <cell r="AU213">
            <v>209</v>
          </cell>
          <cell r="AV213">
            <v>0</v>
          </cell>
        </row>
        <row r="214">
          <cell r="AE214">
            <v>52628</v>
          </cell>
          <cell r="AF214">
            <v>210</v>
          </cell>
          <cell r="AG214">
            <v>25316739.562810231</v>
          </cell>
          <cell r="AH214">
            <v>-229917.25587253532</v>
          </cell>
          <cell r="AI214">
            <v>-104197.41364456035</v>
          </cell>
          <cell r="AJ214">
            <v>334114.66951709567</v>
          </cell>
          <cell r="AK214">
            <v>25086822.306937695</v>
          </cell>
          <cell r="AT214">
            <v>56281</v>
          </cell>
          <cell r="AU214">
            <v>210</v>
          </cell>
          <cell r="AV214">
            <v>0</v>
          </cell>
        </row>
        <row r="215">
          <cell r="AE215">
            <v>52657</v>
          </cell>
          <cell r="AF215">
            <v>211</v>
          </cell>
          <cell r="AG215">
            <v>25086822.306937695</v>
          </cell>
          <cell r="AH215">
            <v>-230863.53820698586</v>
          </cell>
          <cell r="AI215">
            <v>-103251.13131010979</v>
          </cell>
          <cell r="AJ215">
            <v>334114.66951709567</v>
          </cell>
          <cell r="AK215">
            <v>24855958.768730707</v>
          </cell>
          <cell r="AT215">
            <v>56309</v>
          </cell>
          <cell r="AU215">
            <v>211</v>
          </cell>
          <cell r="AV215">
            <v>0</v>
          </cell>
        </row>
        <row r="216">
          <cell r="AE216">
            <v>52688</v>
          </cell>
          <cell r="AF216">
            <v>212</v>
          </cell>
          <cell r="AG216">
            <v>24855958.768730707</v>
          </cell>
          <cell r="AH216">
            <v>-231813.7152045538</v>
          </cell>
          <cell r="AI216">
            <v>-102300.95431254186</v>
          </cell>
          <cell r="AJ216">
            <v>334114.66951709567</v>
          </cell>
          <cell r="AK216">
            <v>24624145.053526152</v>
          </cell>
          <cell r="AT216">
            <v>56340</v>
          </cell>
          <cell r="AU216">
            <v>212</v>
          </cell>
          <cell r="AV216">
            <v>0</v>
          </cell>
        </row>
        <row r="217">
          <cell r="AE217">
            <v>52718</v>
          </cell>
          <cell r="AF217">
            <v>213</v>
          </cell>
          <cell r="AG217">
            <v>24624145.053526152</v>
          </cell>
          <cell r="AH217">
            <v>-232767.80289470538</v>
          </cell>
          <cell r="AI217">
            <v>-101346.86662239027</v>
          </cell>
          <cell r="AJ217">
            <v>334114.66951709567</v>
          </cell>
          <cell r="AK217">
            <v>24391377.250631448</v>
          </cell>
          <cell r="AT217">
            <v>56370</v>
          </cell>
          <cell r="AU217">
            <v>213</v>
          </cell>
          <cell r="AV217">
            <v>0</v>
          </cell>
        </row>
        <row r="218">
          <cell r="AE218">
            <v>52749</v>
          </cell>
          <cell r="AF218">
            <v>214</v>
          </cell>
          <cell r="AG218">
            <v>24391377.250631448</v>
          </cell>
          <cell r="AH218">
            <v>-233725.81737288029</v>
          </cell>
          <cell r="AI218">
            <v>-100388.85214421537</v>
          </cell>
          <cell r="AJ218">
            <v>334114.66951709567</v>
          </cell>
          <cell r="AK218">
            <v>24157651.433258567</v>
          </cell>
          <cell r="AT218">
            <v>56401</v>
          </cell>
          <cell r="AU218">
            <v>214</v>
          </cell>
          <cell r="AV218">
            <v>0</v>
          </cell>
        </row>
        <row r="219">
          <cell r="AE219">
            <v>52779</v>
          </cell>
          <cell r="AF219">
            <v>215</v>
          </cell>
          <cell r="AG219">
            <v>24157651.433258567</v>
          </cell>
          <cell r="AH219">
            <v>-234687.77480076291</v>
          </cell>
          <cell r="AI219">
            <v>-99426.894716332754</v>
          </cell>
          <cell r="AJ219">
            <v>334114.66951709567</v>
          </cell>
          <cell r="AK219">
            <v>23922963.658457804</v>
          </cell>
          <cell r="AT219">
            <v>56431</v>
          </cell>
          <cell r="AU219">
            <v>215</v>
          </cell>
          <cell r="AV219">
            <v>0</v>
          </cell>
        </row>
        <row r="220">
          <cell r="AE220">
            <v>52810</v>
          </cell>
          <cell r="AF220">
            <v>216</v>
          </cell>
          <cell r="AG220">
            <v>23922963.658457804</v>
          </cell>
          <cell r="AH220">
            <v>-235653.69140655518</v>
          </cell>
          <cell r="AI220">
            <v>-98460.978110540498</v>
          </cell>
          <cell r="AJ220">
            <v>334114.66951709567</v>
          </cell>
          <cell r="AK220">
            <v>23687309.967051249</v>
          </cell>
          <cell r="AT220">
            <v>56462</v>
          </cell>
          <cell r="AU220">
            <v>216</v>
          </cell>
          <cell r="AV220">
            <v>0</v>
          </cell>
        </row>
        <row r="221">
          <cell r="AE221">
            <v>52841</v>
          </cell>
          <cell r="AF221">
            <v>217</v>
          </cell>
          <cell r="AG221">
            <v>23687309.967051249</v>
          </cell>
          <cell r="AH221">
            <v>-236623.58348525024</v>
          </cell>
          <cell r="AI221">
            <v>-97491.086031845407</v>
          </cell>
          <cell r="AJ221">
            <v>334114.66951709567</v>
          </cell>
          <cell r="AK221">
            <v>23450686.383566</v>
          </cell>
          <cell r="AT221">
            <v>56493</v>
          </cell>
          <cell r="AU221">
            <v>217</v>
          </cell>
          <cell r="AV221">
            <v>0</v>
          </cell>
        </row>
        <row r="222">
          <cell r="AE222">
            <v>52871</v>
          </cell>
          <cell r="AF222">
            <v>218</v>
          </cell>
          <cell r="AG222">
            <v>23450686.383566</v>
          </cell>
          <cell r="AH222">
            <v>-237597.46739890752</v>
          </cell>
          <cell r="AI222">
            <v>-96517.202118188157</v>
          </cell>
          <cell r="AJ222">
            <v>334114.66951709567</v>
          </cell>
          <cell r="AK222">
            <v>23213088.916167092</v>
          </cell>
          <cell r="AT222">
            <v>56523</v>
          </cell>
          <cell r="AU222">
            <v>218</v>
          </cell>
          <cell r="AV222">
            <v>0</v>
          </cell>
        </row>
        <row r="223">
          <cell r="AE223">
            <v>52902</v>
          </cell>
          <cell r="AF223">
            <v>219</v>
          </cell>
          <cell r="AG223">
            <v>23213088.916167092</v>
          </cell>
          <cell r="AH223">
            <v>-238575.35957692837</v>
          </cell>
          <cell r="AI223">
            <v>-95539.309940167281</v>
          </cell>
          <cell r="AJ223">
            <v>334114.66951709567</v>
          </cell>
          <cell r="AK223">
            <v>22974513.556590162</v>
          </cell>
          <cell r="AT223">
            <v>56554</v>
          </cell>
          <cell r="AU223">
            <v>219</v>
          </cell>
          <cell r="AV223">
            <v>0</v>
          </cell>
        </row>
        <row r="224">
          <cell r="AE224">
            <v>52932</v>
          </cell>
          <cell r="AF224">
            <v>220</v>
          </cell>
          <cell r="AG224">
            <v>22974513.556590162</v>
          </cell>
          <cell r="AH224">
            <v>-239557.27651633375</v>
          </cell>
          <cell r="AI224">
            <v>-94557.393000761935</v>
          </cell>
          <cell r="AJ224">
            <v>334114.66951709567</v>
          </cell>
          <cell r="AK224">
            <v>22734956.280073829</v>
          </cell>
          <cell r="AT224">
            <v>56584</v>
          </cell>
          <cell r="AU224">
            <v>220</v>
          </cell>
          <cell r="AV224">
            <v>0</v>
          </cell>
        </row>
        <row r="225">
          <cell r="AE225">
            <v>52963</v>
          </cell>
          <cell r="AF225">
            <v>221</v>
          </cell>
          <cell r="AG225">
            <v>22734956.280073829</v>
          </cell>
          <cell r="AH225">
            <v>-240543.23478204204</v>
          </cell>
          <cell r="AI225">
            <v>-93571.434735053641</v>
          </cell>
          <cell r="AJ225">
            <v>334114.66951709567</v>
          </cell>
          <cell r="AK225">
            <v>22494413.045291785</v>
          </cell>
          <cell r="AT225">
            <v>56615</v>
          </cell>
          <cell r="AU225">
            <v>221</v>
          </cell>
          <cell r="AV225">
            <v>0</v>
          </cell>
        </row>
        <row r="226">
          <cell r="AE226">
            <v>52994</v>
          </cell>
          <cell r="AF226">
            <v>222</v>
          </cell>
          <cell r="AG226">
            <v>22494413.045291785</v>
          </cell>
          <cell r="AH226">
            <v>-241533.25100714882</v>
          </cell>
          <cell r="AI226">
            <v>-92581.418509946845</v>
          </cell>
          <cell r="AJ226">
            <v>334114.66951709567</v>
          </cell>
          <cell r="AK226">
            <v>22252879.794284638</v>
          </cell>
          <cell r="AT226">
            <v>56646</v>
          </cell>
          <cell r="AU226">
            <v>222</v>
          </cell>
          <cell r="AV226">
            <v>0</v>
          </cell>
        </row>
        <row r="227">
          <cell r="AE227">
            <v>53022</v>
          </cell>
          <cell r="AF227">
            <v>223</v>
          </cell>
          <cell r="AG227">
            <v>22252879.794284638</v>
          </cell>
          <cell r="AH227">
            <v>-242527.34189320734</v>
          </cell>
          <cell r="AI227">
            <v>-91587.327623888312</v>
          </cell>
          <cell r="AJ227">
            <v>334114.66951709567</v>
          </cell>
          <cell r="AK227">
            <v>22010352.452391431</v>
          </cell>
          <cell r="AT227">
            <v>56674</v>
          </cell>
          <cell r="AU227">
            <v>223</v>
          </cell>
          <cell r="AV227">
            <v>0</v>
          </cell>
        </row>
        <row r="228">
          <cell r="AE228">
            <v>53053</v>
          </cell>
          <cell r="AF228">
            <v>224</v>
          </cell>
          <cell r="AG228">
            <v>22010352.452391431</v>
          </cell>
          <cell r="AH228">
            <v>-243525.52421051034</v>
          </cell>
          <cell r="AI228">
            <v>-90589.145306585327</v>
          </cell>
          <cell r="AJ228">
            <v>334114.66951709567</v>
          </cell>
          <cell r="AK228">
            <v>21766826.928180922</v>
          </cell>
          <cell r="AT228">
            <v>56705</v>
          </cell>
          <cell r="AU228">
            <v>224</v>
          </cell>
          <cell r="AV228">
            <v>0</v>
          </cell>
        </row>
        <row r="229">
          <cell r="AE229">
            <v>53083</v>
          </cell>
          <cell r="AF229">
            <v>225</v>
          </cell>
          <cell r="AG229">
            <v>21766826.928180922</v>
          </cell>
          <cell r="AH229">
            <v>-244527.81479837286</v>
          </cell>
          <cell r="AI229">
            <v>-89586.854718722796</v>
          </cell>
          <cell r="AJ229">
            <v>334114.66951709567</v>
          </cell>
          <cell r="AK229">
            <v>21522299.113382548</v>
          </cell>
          <cell r="AT229">
            <v>56735</v>
          </cell>
          <cell r="AU229">
            <v>225</v>
          </cell>
          <cell r="AV229">
            <v>0</v>
          </cell>
        </row>
        <row r="230">
          <cell r="AE230">
            <v>53114</v>
          </cell>
          <cell r="AF230">
            <v>226</v>
          </cell>
          <cell r="AG230">
            <v>21522299.113382548</v>
          </cell>
          <cell r="AH230">
            <v>-245534.23056541634</v>
          </cell>
          <cell r="AI230">
            <v>-88580.438951679316</v>
          </cell>
          <cell r="AJ230">
            <v>334114.66951709567</v>
          </cell>
          <cell r="AK230">
            <v>21276764.882817131</v>
          </cell>
          <cell r="AT230">
            <v>56766</v>
          </cell>
          <cell r="AU230">
            <v>226</v>
          </cell>
          <cell r="AV230">
            <v>0</v>
          </cell>
        </row>
        <row r="231">
          <cell r="AE231">
            <v>53144</v>
          </cell>
          <cell r="AF231">
            <v>227</v>
          </cell>
          <cell r="AG231">
            <v>21276764.882817131</v>
          </cell>
          <cell r="AH231">
            <v>-246544.78848985405</v>
          </cell>
          <cell r="AI231">
            <v>-87569.881027241616</v>
          </cell>
          <cell r="AJ231">
            <v>334114.66951709567</v>
          </cell>
          <cell r="AK231">
            <v>21030220.094327275</v>
          </cell>
          <cell r="AT231">
            <v>56796</v>
          </cell>
          <cell r="AU231">
            <v>227</v>
          </cell>
          <cell r="AV231">
            <v>0</v>
          </cell>
        </row>
        <row r="232">
          <cell r="AE232">
            <v>53175</v>
          </cell>
          <cell r="AF232">
            <v>228</v>
          </cell>
          <cell r="AG232">
            <v>21030220.094327275</v>
          </cell>
          <cell r="AH232">
            <v>-247559.50561977725</v>
          </cell>
          <cell r="AI232">
            <v>-86555.163897318402</v>
          </cell>
          <cell r="AJ232">
            <v>334114.66951709567</v>
          </cell>
          <cell r="AK232">
            <v>20782660.588707499</v>
          </cell>
          <cell r="AT232">
            <v>56827</v>
          </cell>
          <cell r="AU232">
            <v>228</v>
          </cell>
          <cell r="AV232">
            <v>0</v>
          </cell>
        </row>
        <row r="233">
          <cell r="AE233">
            <v>53206</v>
          </cell>
          <cell r="AF233">
            <v>229</v>
          </cell>
          <cell r="AG233">
            <v>20782660.588707499</v>
          </cell>
          <cell r="AH233">
            <v>-248578.39907344297</v>
          </cell>
          <cell r="AI233">
            <v>-85536.270443652698</v>
          </cell>
          <cell r="AJ233">
            <v>334114.66951709567</v>
          </cell>
          <cell r="AK233">
            <v>20534082.189634055</v>
          </cell>
          <cell r="AT233">
            <v>56858</v>
          </cell>
          <cell r="AU233">
            <v>229</v>
          </cell>
          <cell r="AV233">
            <v>0</v>
          </cell>
        </row>
        <row r="234">
          <cell r="AE234">
            <v>53236</v>
          </cell>
          <cell r="AF234">
            <v>230</v>
          </cell>
          <cell r="AG234">
            <v>20534082.189634055</v>
          </cell>
          <cell r="AH234">
            <v>-249601.48603956267</v>
          </cell>
          <cell r="AI234">
            <v>-84513.183477532992</v>
          </cell>
          <cell r="AJ234">
            <v>334114.66951709567</v>
          </cell>
          <cell r="AK234">
            <v>20284480.703594491</v>
          </cell>
          <cell r="AT234">
            <v>56888</v>
          </cell>
          <cell r="AU234">
            <v>230</v>
          </cell>
          <cell r="AV234">
            <v>0</v>
          </cell>
        </row>
        <row r="235">
          <cell r="AE235">
            <v>53267</v>
          </cell>
          <cell r="AF235">
            <v>231</v>
          </cell>
          <cell r="AG235">
            <v>20284480.703594491</v>
          </cell>
          <cell r="AH235">
            <v>-250628.78377759233</v>
          </cell>
          <cell r="AI235">
            <v>-83485.885739503341</v>
          </cell>
          <cell r="AJ235">
            <v>334114.66951709567</v>
          </cell>
          <cell r="AK235">
            <v>20033851.9198169</v>
          </cell>
          <cell r="AT235">
            <v>56919</v>
          </cell>
          <cell r="AU235">
            <v>231</v>
          </cell>
          <cell r="AV235">
            <v>0</v>
          </cell>
        </row>
        <row r="236">
          <cell r="AE236">
            <v>53297</v>
          </cell>
          <cell r="AF236">
            <v>232</v>
          </cell>
          <cell r="AG236">
            <v>20033851.9198169</v>
          </cell>
          <cell r="AH236">
            <v>-251660.3096180236</v>
          </cell>
          <cell r="AI236">
            <v>-82454.359899072064</v>
          </cell>
          <cell r="AJ236">
            <v>334114.66951709567</v>
          </cell>
          <cell r="AK236">
            <v>19782191.610198878</v>
          </cell>
          <cell r="AT236">
            <v>56949</v>
          </cell>
          <cell r="AU236">
            <v>232</v>
          </cell>
          <cell r="AV236">
            <v>0</v>
          </cell>
        </row>
        <row r="237">
          <cell r="AE237">
            <v>53328</v>
          </cell>
          <cell r="AF237">
            <v>233</v>
          </cell>
          <cell r="AG237">
            <v>19782191.610198878</v>
          </cell>
          <cell r="AH237">
            <v>-252696.08096267603</v>
          </cell>
          <cell r="AI237">
            <v>-81418.588554419621</v>
          </cell>
          <cell r="AJ237">
            <v>334114.66951709567</v>
          </cell>
          <cell r="AK237">
            <v>19529495.529236201</v>
          </cell>
          <cell r="AT237">
            <v>56980</v>
          </cell>
          <cell r="AU237">
            <v>233</v>
          </cell>
          <cell r="AV237">
            <v>0</v>
          </cell>
        </row>
        <row r="238">
          <cell r="AE238">
            <v>53359</v>
          </cell>
          <cell r="AF238">
            <v>234</v>
          </cell>
          <cell r="AG238">
            <v>19529495.529236201</v>
          </cell>
          <cell r="AH238">
            <v>-253736.11528499081</v>
          </cell>
          <cell r="AI238">
            <v>-80378.554232104842</v>
          </cell>
          <cell r="AJ238">
            <v>334114.66951709567</v>
          </cell>
          <cell r="AK238">
            <v>19275759.413951211</v>
          </cell>
          <cell r="AT238">
            <v>57011</v>
          </cell>
          <cell r="AU238">
            <v>234</v>
          </cell>
          <cell r="AV238">
            <v>0</v>
          </cell>
        </row>
        <row r="239">
          <cell r="AE239">
            <v>53387</v>
          </cell>
          <cell r="AF239">
            <v>235</v>
          </cell>
          <cell r="AG239">
            <v>19275759.413951211</v>
          </cell>
          <cell r="AH239">
            <v>-254780.43013032546</v>
          </cell>
          <cell r="AI239">
            <v>-79334.239386770205</v>
          </cell>
          <cell r="AJ239">
            <v>334114.66951709567</v>
          </cell>
          <cell r="AK239">
            <v>19020978.983820885</v>
          </cell>
          <cell r="AT239">
            <v>57040</v>
          </cell>
          <cell r="AU239">
            <v>235</v>
          </cell>
          <cell r="AV239">
            <v>0</v>
          </cell>
        </row>
        <row r="240">
          <cell r="AE240">
            <v>53418</v>
          </cell>
          <cell r="AF240">
            <v>236</v>
          </cell>
          <cell r="AG240">
            <v>19020978.983820885</v>
          </cell>
          <cell r="AH240">
            <v>-255829.04311624984</v>
          </cell>
          <cell r="AI240">
            <v>-78285.626400845809</v>
          </cell>
          <cell r="AJ240">
            <v>334114.66951709567</v>
          </cell>
          <cell r="AK240">
            <v>18765149.940704636</v>
          </cell>
          <cell r="AT240">
            <v>57071</v>
          </cell>
          <cell r="AU240">
            <v>236</v>
          </cell>
          <cell r="AV240">
            <v>0</v>
          </cell>
        </row>
        <row r="241">
          <cell r="AE241">
            <v>53448</v>
          </cell>
          <cell r="AF241">
            <v>237</v>
          </cell>
          <cell r="AG241">
            <v>18765149.940704636</v>
          </cell>
          <cell r="AH241">
            <v>-256881.97193284339</v>
          </cell>
          <cell r="AI241">
            <v>-77232.697584252295</v>
          </cell>
          <cell r="AJ241">
            <v>334114.66951709567</v>
          </cell>
          <cell r="AK241">
            <v>18508267.968771793</v>
          </cell>
          <cell r="AT241">
            <v>57101</v>
          </cell>
          <cell r="AU241">
            <v>237</v>
          </cell>
          <cell r="AV241">
            <v>0</v>
          </cell>
        </row>
        <row r="242">
          <cell r="AE242">
            <v>53479</v>
          </cell>
          <cell r="AF242">
            <v>238</v>
          </cell>
          <cell r="AG242">
            <v>18508267.968771793</v>
          </cell>
          <cell r="AH242">
            <v>-257939.23434299338</v>
          </cell>
          <cell r="AI242">
            <v>-76175.435174102284</v>
          </cell>
          <cell r="AJ242">
            <v>334114.66951709567</v>
          </cell>
          <cell r="AK242">
            <v>18250328.734428801</v>
          </cell>
          <cell r="AT242">
            <v>57132</v>
          </cell>
          <cell r="AU242">
            <v>238</v>
          </cell>
          <cell r="AV242">
            <v>0</v>
          </cell>
        </row>
        <row r="243">
          <cell r="AE243">
            <v>53509</v>
          </cell>
          <cell r="AF243">
            <v>239</v>
          </cell>
          <cell r="AG243">
            <v>18250328.734428801</v>
          </cell>
          <cell r="AH243">
            <v>-259000.8481826949</v>
          </cell>
          <cell r="AI243">
            <v>-75113.821334400767</v>
          </cell>
          <cell r="AJ243">
            <v>334114.66951709567</v>
          </cell>
          <cell r="AK243">
            <v>17991327.886246108</v>
          </cell>
          <cell r="AT243">
            <v>57162</v>
          </cell>
          <cell r="AU243">
            <v>239</v>
          </cell>
          <cell r="AV243">
            <v>0</v>
          </cell>
        </row>
        <row r="244">
          <cell r="AE244">
            <v>53540</v>
          </cell>
          <cell r="AF244">
            <v>240</v>
          </cell>
          <cell r="AG244">
            <v>17991327.886246108</v>
          </cell>
          <cell r="AH244">
            <v>-260066.83136135145</v>
          </cell>
          <cell r="AI244">
            <v>-74047.838155744219</v>
          </cell>
          <cell r="AJ244">
            <v>334114.66951709567</v>
          </cell>
          <cell r="AK244">
            <v>17731261.054884758</v>
          </cell>
          <cell r="AT244">
            <v>57193</v>
          </cell>
          <cell r="AU244">
            <v>240</v>
          </cell>
          <cell r="AV244">
            <v>0</v>
          </cell>
        </row>
        <row r="245">
          <cell r="AE245">
            <v>53571</v>
          </cell>
          <cell r="AF245">
            <v>241</v>
          </cell>
          <cell r="AG245">
            <v>17731261.054884758</v>
          </cell>
          <cell r="AH245">
            <v>-261137.2018620772</v>
          </cell>
          <cell r="AI245">
            <v>-72977.467655018467</v>
          </cell>
          <cell r="AJ245">
            <v>334114.66951709567</v>
          </cell>
          <cell r="AK245">
            <v>17470123.85302268</v>
          </cell>
          <cell r="AT245">
            <v>57224</v>
          </cell>
          <cell r="AU245">
            <v>241</v>
          </cell>
          <cell r="AV245">
            <v>0</v>
          </cell>
        </row>
        <row r="246">
          <cell r="AE246">
            <v>53601</v>
          </cell>
          <cell r="AF246">
            <v>242</v>
          </cell>
          <cell r="AG246">
            <v>17470123.85302268</v>
          </cell>
          <cell r="AH246">
            <v>-262211.97774200042</v>
          </cell>
          <cell r="AI246">
            <v>-71902.691775095256</v>
          </cell>
          <cell r="AJ246">
            <v>334114.66951709567</v>
          </cell>
          <cell r="AK246">
            <v>17207911.875280678</v>
          </cell>
          <cell r="AT246">
            <v>57254</v>
          </cell>
          <cell r="AU246">
            <v>242</v>
          </cell>
          <cell r="AV246">
            <v>0</v>
          </cell>
        </row>
        <row r="247">
          <cell r="AE247">
            <v>53632</v>
          </cell>
          <cell r="AF247">
            <v>243</v>
          </cell>
          <cell r="AG247">
            <v>17207911.875280678</v>
          </cell>
          <cell r="AH247">
            <v>-263291.17713256791</v>
          </cell>
          <cell r="AI247">
            <v>-70823.492384527737</v>
          </cell>
          <cell r="AJ247">
            <v>334114.66951709567</v>
          </cell>
          <cell r="AK247">
            <v>16944620.698148109</v>
          </cell>
          <cell r="AT247">
            <v>57285</v>
          </cell>
          <cell r="AU247">
            <v>243</v>
          </cell>
          <cell r="AV247">
            <v>0</v>
          </cell>
        </row>
        <row r="248">
          <cell r="AE248">
            <v>53662</v>
          </cell>
          <cell r="AF248">
            <v>244</v>
          </cell>
          <cell r="AG248">
            <v>16944620.698148109</v>
          </cell>
          <cell r="AH248">
            <v>-264374.81823985116</v>
          </cell>
          <cell r="AI248">
            <v>-69739.851277244481</v>
          </cell>
          <cell r="AJ248">
            <v>334114.66951709567</v>
          </cell>
          <cell r="AK248">
            <v>16680245.879908258</v>
          </cell>
          <cell r="AT248">
            <v>57315</v>
          </cell>
          <cell r="AU248">
            <v>244</v>
          </cell>
          <cell r="AV248">
            <v>0</v>
          </cell>
        </row>
        <row r="249">
          <cell r="AE249">
            <v>53693</v>
          </cell>
          <cell r="AF249">
            <v>245</v>
          </cell>
          <cell r="AG249">
            <v>16680245.879908258</v>
          </cell>
          <cell r="AH249">
            <v>-265462.91934485326</v>
          </cell>
          <cell r="AI249">
            <v>-68651.750172242435</v>
          </cell>
          <cell r="AJ249">
            <v>334114.66951709567</v>
          </cell>
          <cell r="AK249">
            <v>16414782.960563404</v>
          </cell>
          <cell r="AT249">
            <v>57346</v>
          </cell>
          <cell r="AU249">
            <v>245</v>
          </cell>
          <cell r="AV249">
            <v>0</v>
          </cell>
        </row>
        <row r="250">
          <cell r="AE250">
            <v>53724</v>
          </cell>
          <cell r="AF250">
            <v>246</v>
          </cell>
          <cell r="AG250">
            <v>16414782.960563404</v>
          </cell>
          <cell r="AH250">
            <v>-266555.49880381726</v>
          </cell>
          <cell r="AI250">
            <v>-67559.170713278407</v>
          </cell>
          <cell r="AJ250">
            <v>334114.66951709567</v>
          </cell>
          <cell r="AK250">
            <v>16148227.461759588</v>
          </cell>
          <cell r="AT250">
            <v>57377</v>
          </cell>
          <cell r="AU250">
            <v>246</v>
          </cell>
          <cell r="AV250">
            <v>0</v>
          </cell>
        </row>
        <row r="251">
          <cell r="AE251">
            <v>53752</v>
          </cell>
          <cell r="AF251">
            <v>247</v>
          </cell>
          <cell r="AG251">
            <v>16148227.461759588</v>
          </cell>
          <cell r="AH251">
            <v>-267652.57504853612</v>
          </cell>
          <cell r="AI251">
            <v>-66462.094468559531</v>
          </cell>
          <cell r="AJ251">
            <v>334114.66951709567</v>
          </cell>
          <cell r="AK251">
            <v>15880574.886711052</v>
          </cell>
          <cell r="AT251">
            <v>57405</v>
          </cell>
          <cell r="AU251">
            <v>247</v>
          </cell>
          <cell r="AV251">
            <v>0</v>
          </cell>
        </row>
        <row r="252">
          <cell r="AE252">
            <v>53783</v>
          </cell>
          <cell r="AF252">
            <v>248</v>
          </cell>
          <cell r="AG252">
            <v>15880574.886711052</v>
          </cell>
          <cell r="AH252">
            <v>-268754.1665866634</v>
          </cell>
          <cell r="AI252">
            <v>-65360.502930432245</v>
          </cell>
          <cell r="AJ252">
            <v>334114.66951709567</v>
          </cell>
          <cell r="AK252">
            <v>15611820.720124388</v>
          </cell>
          <cell r="AT252">
            <v>57436</v>
          </cell>
          <cell r="AU252">
            <v>248</v>
          </cell>
          <cell r="AV252">
            <v>0</v>
          </cell>
        </row>
        <row r="253">
          <cell r="AE253">
            <v>53813</v>
          </cell>
          <cell r="AF253">
            <v>249</v>
          </cell>
          <cell r="AG253">
            <v>15611820.720124388</v>
          </cell>
          <cell r="AH253">
            <v>-269860.29200202558</v>
          </cell>
          <cell r="AI253">
            <v>-64254.37751507006</v>
          </cell>
          <cell r="AJ253">
            <v>334114.66951709567</v>
          </cell>
          <cell r="AK253">
            <v>15341960.428122362</v>
          </cell>
          <cell r="AT253">
            <v>57466</v>
          </cell>
          <cell r="AU253">
            <v>249</v>
          </cell>
          <cell r="AV253">
            <v>0</v>
          </cell>
        </row>
        <row r="254">
          <cell r="AE254">
            <v>53844</v>
          </cell>
          <cell r="AF254">
            <v>250</v>
          </cell>
          <cell r="AG254">
            <v>15341960.428122362</v>
          </cell>
          <cell r="AH254">
            <v>-270970.9699549356</v>
          </cell>
          <cell r="AI254">
            <v>-63143.699562160095</v>
          </cell>
          <cell r="AJ254">
            <v>334114.66951709567</v>
          </cell>
          <cell r="AK254">
            <v>15070989.458167426</v>
          </cell>
          <cell r="AT254">
            <v>57497</v>
          </cell>
          <cell r="AU254">
            <v>250</v>
          </cell>
          <cell r="AV254">
            <v>0</v>
          </cell>
        </row>
        <row r="255">
          <cell r="AE255">
            <v>53874</v>
          </cell>
          <cell r="AF255">
            <v>251</v>
          </cell>
          <cell r="AG255">
            <v>15070989.458167426</v>
          </cell>
          <cell r="AH255">
            <v>-272086.21918250743</v>
          </cell>
          <cell r="AI255">
            <v>-62028.450334588226</v>
          </cell>
          <cell r="AJ255">
            <v>334114.66951709567</v>
          </cell>
          <cell r="AK255">
            <v>14798903.238984918</v>
          </cell>
          <cell r="AT255">
            <v>57527</v>
          </cell>
          <cell r="AU255">
            <v>251</v>
          </cell>
          <cell r="AV255">
            <v>0</v>
          </cell>
        </row>
        <row r="256">
          <cell r="AE256">
            <v>53905</v>
          </cell>
          <cell r="AF256">
            <v>252</v>
          </cell>
          <cell r="AG256">
            <v>14798903.238984918</v>
          </cell>
          <cell r="AH256">
            <v>-273206.05849897262</v>
          </cell>
          <cell r="AI256">
            <v>-60908.611018123069</v>
          </cell>
          <cell r="AJ256">
            <v>334114.66951709567</v>
          </cell>
          <cell r="AK256">
            <v>14525697.180485945</v>
          </cell>
          <cell r="AT256">
            <v>57558</v>
          </cell>
          <cell r="AU256">
            <v>252</v>
          </cell>
          <cell r="AV256">
            <v>0</v>
          </cell>
        </row>
        <row r="257">
          <cell r="AE257">
            <v>53936</v>
          </cell>
          <cell r="AF257">
            <v>253</v>
          </cell>
          <cell r="AG257">
            <v>14525697.180485945</v>
          </cell>
          <cell r="AH257">
            <v>-274330.50679599721</v>
          </cell>
          <cell r="AI257">
            <v>-59784.162721098452</v>
          </cell>
          <cell r="AJ257">
            <v>334114.66951709567</v>
          </cell>
          <cell r="AK257">
            <v>14251366.673689948</v>
          </cell>
          <cell r="AT257">
            <v>57589</v>
          </cell>
          <cell r="AU257">
            <v>253</v>
          </cell>
          <cell r="AV257">
            <v>0</v>
          </cell>
        </row>
        <row r="258">
          <cell r="AE258">
            <v>53966</v>
          </cell>
          <cell r="AF258">
            <v>254</v>
          </cell>
          <cell r="AG258">
            <v>14251366.673689948</v>
          </cell>
          <cell r="AH258">
            <v>-275459.58304300078</v>
          </cell>
          <cell r="AI258">
            <v>-58655.086474094882</v>
          </cell>
          <cell r="AJ258">
            <v>334114.66951709567</v>
          </cell>
          <cell r="AK258">
            <v>13975907.090646947</v>
          </cell>
          <cell r="AT258">
            <v>57619</v>
          </cell>
          <cell r="AU258">
            <v>254</v>
          </cell>
          <cell r="AV258">
            <v>0</v>
          </cell>
        </row>
        <row r="259">
          <cell r="AE259">
            <v>53997</v>
          </cell>
          <cell r="AF259">
            <v>255</v>
          </cell>
          <cell r="AG259">
            <v>13975907.090646947</v>
          </cell>
          <cell r="AH259">
            <v>-276593.30628747621</v>
          </cell>
          <cell r="AI259">
            <v>-57521.363229619426</v>
          </cell>
          <cell r="AJ259">
            <v>334114.66951709567</v>
          </cell>
          <cell r="AK259">
            <v>13699313.78435947</v>
          </cell>
          <cell r="AT259">
            <v>57650</v>
          </cell>
          <cell r="AU259">
            <v>255</v>
          </cell>
          <cell r="AV259">
            <v>0</v>
          </cell>
        </row>
        <row r="260">
          <cell r="AE260">
            <v>54027</v>
          </cell>
          <cell r="AF260">
            <v>256</v>
          </cell>
          <cell r="AG260">
            <v>13699313.78435947</v>
          </cell>
          <cell r="AH260">
            <v>-277731.69565531134</v>
          </cell>
          <cell r="AI260">
            <v>-56382.97386178434</v>
          </cell>
          <cell r="AJ260">
            <v>334114.66951709567</v>
          </cell>
          <cell r="AK260">
            <v>13421582.088704159</v>
          </cell>
          <cell r="AT260">
            <v>57680</v>
          </cell>
          <cell r="AU260">
            <v>256</v>
          </cell>
          <cell r="AV260">
            <v>0</v>
          </cell>
        </row>
        <row r="261">
          <cell r="AE261">
            <v>54058</v>
          </cell>
          <cell r="AF261">
            <v>257</v>
          </cell>
          <cell r="AG261">
            <v>13421582.088704159</v>
          </cell>
          <cell r="AH261">
            <v>-278874.77035111107</v>
          </cell>
          <cell r="AI261">
            <v>-55239.899165984571</v>
          </cell>
          <cell r="AJ261">
            <v>334114.66951709567</v>
          </cell>
          <cell r="AK261">
            <v>13142707.318353048</v>
          </cell>
          <cell r="AT261">
            <v>57711</v>
          </cell>
          <cell r="AU261">
            <v>257</v>
          </cell>
          <cell r="AV261">
            <v>0</v>
          </cell>
        </row>
        <row r="262">
          <cell r="AE262">
            <v>54089</v>
          </cell>
          <cell r="AF262">
            <v>258</v>
          </cell>
          <cell r="AG262">
            <v>13142707.318353048</v>
          </cell>
          <cell r="AH262">
            <v>-280022.54965852207</v>
          </cell>
          <cell r="AI262">
            <v>-54092.119858573576</v>
          </cell>
          <cell r="AJ262">
            <v>334114.66951709567</v>
          </cell>
          <cell r="AK262">
            <v>12862684.768694526</v>
          </cell>
          <cell r="AT262">
            <v>57742</v>
          </cell>
          <cell r="AU262">
            <v>258</v>
          </cell>
          <cell r="AV262">
            <v>0</v>
          </cell>
        </row>
        <row r="263">
          <cell r="AE263">
            <v>54118</v>
          </cell>
          <cell r="AF263">
            <v>259</v>
          </cell>
          <cell r="AG263">
            <v>12862684.768694526</v>
          </cell>
          <cell r="AH263">
            <v>-281175.05294055748</v>
          </cell>
          <cell r="AI263">
            <v>-52939.61657653821</v>
          </cell>
          <cell r="AJ263">
            <v>334114.66951709567</v>
          </cell>
          <cell r="AK263">
            <v>12581509.715753969</v>
          </cell>
          <cell r="AT263">
            <v>57770</v>
          </cell>
          <cell r="AU263">
            <v>259</v>
          </cell>
          <cell r="AV263">
            <v>0</v>
          </cell>
        </row>
        <row r="264">
          <cell r="AE264">
            <v>54149</v>
          </cell>
          <cell r="AF264">
            <v>260</v>
          </cell>
          <cell r="AG264">
            <v>12581509.715753969</v>
          </cell>
          <cell r="AH264">
            <v>-282332.29963992373</v>
          </cell>
          <cell r="AI264">
            <v>-51782.369877171906</v>
          </cell>
          <cell r="AJ264">
            <v>334114.66951709567</v>
          </cell>
          <cell r="AK264">
            <v>12299177.416114045</v>
          </cell>
          <cell r="AT264">
            <v>57801</v>
          </cell>
          <cell r="AU264">
            <v>260</v>
          </cell>
          <cell r="AV264">
            <v>0</v>
          </cell>
        </row>
        <row r="265">
          <cell r="AE265">
            <v>54179</v>
          </cell>
          <cell r="AF265">
            <v>261</v>
          </cell>
          <cell r="AG265">
            <v>12299177.416114045</v>
          </cell>
          <cell r="AH265">
            <v>-283494.30927934888</v>
          </cell>
          <cell r="AI265">
            <v>-50620.360237746776</v>
          </cell>
          <cell r="AJ265">
            <v>334114.66951709567</v>
          </cell>
          <cell r="AK265">
            <v>12015683.106834697</v>
          </cell>
          <cell r="AT265">
            <v>57831</v>
          </cell>
          <cell r="AU265">
            <v>261</v>
          </cell>
          <cell r="AV265">
            <v>0</v>
          </cell>
        </row>
        <row r="266">
          <cell r="AE266">
            <v>54210</v>
          </cell>
          <cell r="AF266">
            <v>262</v>
          </cell>
          <cell r="AG266">
            <v>12015683.106834697</v>
          </cell>
          <cell r="AH266">
            <v>-284661.10146191146</v>
          </cell>
          <cell r="AI266">
            <v>-49453.568055184209</v>
          </cell>
          <cell r="AJ266">
            <v>334114.66951709567</v>
          </cell>
          <cell r="AK266">
            <v>11731022.005372785</v>
          </cell>
          <cell r="AT266">
            <v>57862</v>
          </cell>
          <cell r="AU266">
            <v>262</v>
          </cell>
          <cell r="AV266">
            <v>0</v>
          </cell>
        </row>
        <row r="267">
          <cell r="AE267">
            <v>54240</v>
          </cell>
          <cell r="AF267">
            <v>263</v>
          </cell>
          <cell r="AG267">
            <v>11731022.005372785</v>
          </cell>
          <cell r="AH267">
            <v>-285832.69587137143</v>
          </cell>
          <cell r="AI267">
            <v>-48281.973645724225</v>
          </cell>
          <cell r="AJ267">
            <v>334114.66951709567</v>
          </cell>
          <cell r="AK267">
            <v>11445189.309501413</v>
          </cell>
          <cell r="AT267">
            <v>57892</v>
          </cell>
          <cell r="AU267">
            <v>263</v>
          </cell>
          <cell r="AV267">
            <v>0</v>
          </cell>
        </row>
        <row r="268">
          <cell r="AE268">
            <v>54271</v>
          </cell>
          <cell r="AF268">
            <v>264</v>
          </cell>
          <cell r="AG268">
            <v>11445189.309501413</v>
          </cell>
          <cell r="AH268">
            <v>-287009.11227250233</v>
          </cell>
          <cell r="AI268">
            <v>-47105.557244593336</v>
          </cell>
          <cell r="AJ268">
            <v>334114.66951709567</v>
          </cell>
          <cell r="AK268">
            <v>11158180.19722891</v>
          </cell>
          <cell r="AT268">
            <v>57923</v>
          </cell>
          <cell r="AU268">
            <v>264</v>
          </cell>
          <cell r="AV268">
            <v>0</v>
          </cell>
        </row>
        <row r="269">
          <cell r="AE269">
            <v>54302</v>
          </cell>
          <cell r="AF269">
            <v>265</v>
          </cell>
          <cell r="AG269">
            <v>11158180.19722891</v>
          </cell>
          <cell r="AH269">
            <v>-288190.37051142449</v>
          </cell>
          <cell r="AI269">
            <v>-45924.299005671186</v>
          </cell>
          <cell r="AJ269">
            <v>334114.66951709567</v>
          </cell>
          <cell r="AK269">
            <v>10869989.826717487</v>
          </cell>
          <cell r="AT269">
            <v>57954</v>
          </cell>
          <cell r="AU269">
            <v>265</v>
          </cell>
          <cell r="AV269">
            <v>0</v>
          </cell>
        </row>
        <row r="270">
          <cell r="AE270">
            <v>54332</v>
          </cell>
          <cell r="AF270">
            <v>266</v>
          </cell>
          <cell r="AG270">
            <v>10869989.826717487</v>
          </cell>
          <cell r="AH270">
            <v>-289376.49051593995</v>
          </cell>
          <cell r="AI270">
            <v>-44738.179001155695</v>
          </cell>
          <cell r="AJ270">
            <v>334114.66951709567</v>
          </cell>
          <cell r="AK270">
            <v>10580613.336201547</v>
          </cell>
          <cell r="AT270">
            <v>57984</v>
          </cell>
          <cell r="AU270">
            <v>266</v>
          </cell>
          <cell r="AV270">
            <v>0</v>
          </cell>
        </row>
        <row r="271">
          <cell r="AE271">
            <v>54363</v>
          </cell>
          <cell r="AF271">
            <v>267</v>
          </cell>
          <cell r="AG271">
            <v>10580613.336201547</v>
          </cell>
          <cell r="AH271">
            <v>-290567.49229586875</v>
          </cell>
          <cell r="AI271">
            <v>-43547.177221226906</v>
          </cell>
          <cell r="AJ271">
            <v>334114.66951709567</v>
          </cell>
          <cell r="AK271">
            <v>10290045.843905678</v>
          </cell>
          <cell r="AT271">
            <v>58015</v>
          </cell>
          <cell r="AU271">
            <v>267</v>
          </cell>
          <cell r="AV271">
            <v>0</v>
          </cell>
        </row>
        <row r="272">
          <cell r="AE272">
            <v>54393</v>
          </cell>
          <cell r="AF272">
            <v>268</v>
          </cell>
          <cell r="AG272">
            <v>10290045.843905678</v>
          </cell>
          <cell r="AH272">
            <v>-291763.39594338625</v>
          </cell>
          <cell r="AI272">
            <v>-42351.273573709412</v>
          </cell>
          <cell r="AJ272">
            <v>334114.66951709567</v>
          </cell>
          <cell r="AK272">
            <v>9998282.4479622915</v>
          </cell>
          <cell r="AT272">
            <v>58045</v>
          </cell>
          <cell r="AU272">
            <v>268</v>
          </cell>
          <cell r="AV272">
            <v>0</v>
          </cell>
        </row>
        <row r="273">
          <cell r="AE273">
            <v>54424</v>
          </cell>
          <cell r="AF273">
            <v>269</v>
          </cell>
          <cell r="AG273">
            <v>9998282.4479622915</v>
          </cell>
          <cell r="AH273">
            <v>-292964.22163336229</v>
          </cell>
          <cell r="AI273">
            <v>-41150.447883733395</v>
          </cell>
          <cell r="AJ273">
            <v>334114.66951709567</v>
          </cell>
          <cell r="AK273">
            <v>9705318.2263289299</v>
          </cell>
          <cell r="AT273">
            <v>58076</v>
          </cell>
          <cell r="AU273">
            <v>269</v>
          </cell>
          <cell r="AV273">
            <v>0</v>
          </cell>
        </row>
        <row r="274">
          <cell r="AE274">
            <v>54455</v>
          </cell>
          <cell r="AF274">
            <v>270</v>
          </cell>
          <cell r="AG274">
            <v>9705318.2263289299</v>
          </cell>
          <cell r="AH274">
            <v>-294169.98962370137</v>
          </cell>
          <cell r="AI274">
            <v>-39944.679893394292</v>
          </cell>
          <cell r="AJ274">
            <v>334114.66951709567</v>
          </cell>
          <cell r="AK274">
            <v>9411148.2367052287</v>
          </cell>
          <cell r="AT274">
            <v>58107</v>
          </cell>
          <cell r="AU274">
            <v>270</v>
          </cell>
          <cell r="AV274">
            <v>0</v>
          </cell>
        </row>
        <row r="275">
          <cell r="AE275">
            <v>54483</v>
          </cell>
          <cell r="AF275">
            <v>271</v>
          </cell>
          <cell r="AG275">
            <v>9411148.2367052287</v>
          </cell>
          <cell r="AH275">
            <v>-295380.72025568463</v>
          </cell>
          <cell r="AI275">
            <v>-38733.949261411028</v>
          </cell>
          <cell r="AJ275">
            <v>334114.66951709567</v>
          </cell>
          <cell r="AK275">
            <v>9115767.5164495446</v>
          </cell>
          <cell r="AT275">
            <v>58135</v>
          </cell>
          <cell r="AU275">
            <v>271</v>
          </cell>
          <cell r="AV275">
            <v>0</v>
          </cell>
        </row>
        <row r="276">
          <cell r="AE276">
            <v>54514</v>
          </cell>
          <cell r="AF276">
            <v>272</v>
          </cell>
          <cell r="AG276">
            <v>9115767.5164495446</v>
          </cell>
          <cell r="AH276">
            <v>-296596.43395431282</v>
          </cell>
          <cell r="AI276">
            <v>-37518.23556278288</v>
          </cell>
          <cell r="AJ276">
            <v>334114.66951709567</v>
          </cell>
          <cell r="AK276">
            <v>8819171.0824952312</v>
          </cell>
          <cell r="AT276">
            <v>58166</v>
          </cell>
          <cell r="AU276">
            <v>272</v>
          </cell>
          <cell r="AV276">
            <v>0</v>
          </cell>
        </row>
        <row r="277">
          <cell r="AE277">
            <v>54544</v>
          </cell>
          <cell r="AF277">
            <v>273</v>
          </cell>
          <cell r="AG277">
            <v>8819171.0824952312</v>
          </cell>
          <cell r="AH277">
            <v>-297817.15122865082</v>
          </cell>
          <cell r="AI277">
            <v>-36297.518288444859</v>
          </cell>
          <cell r="AJ277">
            <v>334114.66951709567</v>
          </cell>
          <cell r="AK277">
            <v>8521353.9312665798</v>
          </cell>
          <cell r="AT277">
            <v>58196</v>
          </cell>
          <cell r="AU277">
            <v>273</v>
          </cell>
          <cell r="AV277">
            <v>0</v>
          </cell>
        </row>
        <row r="278">
          <cell r="AE278">
            <v>54575</v>
          </cell>
          <cell r="AF278">
            <v>274</v>
          </cell>
          <cell r="AG278">
            <v>8521353.9312665798</v>
          </cell>
          <cell r="AH278">
            <v>-299042.89267217385</v>
          </cell>
          <cell r="AI278">
            <v>-35071.776844921798</v>
          </cell>
          <cell r="AJ278">
            <v>334114.66951709567</v>
          </cell>
          <cell r="AK278">
            <v>8222311.0385944061</v>
          </cell>
          <cell r="AT278">
            <v>58227</v>
          </cell>
          <cell r="AU278">
            <v>274</v>
          </cell>
          <cell r="AV278">
            <v>0</v>
          </cell>
        </row>
        <row r="279">
          <cell r="AE279">
            <v>54605</v>
          </cell>
          <cell r="AF279">
            <v>275</v>
          </cell>
          <cell r="AG279">
            <v>8222311.0385944061</v>
          </cell>
          <cell r="AH279">
            <v>-300273.6789631148</v>
          </cell>
          <cell r="AI279">
            <v>-33840.990553980882</v>
          </cell>
          <cell r="AJ279">
            <v>334114.66951709567</v>
          </cell>
          <cell r="AK279">
            <v>7922037.3596312916</v>
          </cell>
          <cell r="AT279">
            <v>58257</v>
          </cell>
          <cell r="AU279">
            <v>275</v>
          </cell>
          <cell r="AV279">
            <v>0</v>
          </cell>
        </row>
        <row r="280">
          <cell r="AE280">
            <v>54636</v>
          </cell>
          <cell r="AF280">
            <v>276</v>
          </cell>
          <cell r="AG280">
            <v>7922037.3596312916</v>
          </cell>
          <cell r="AH280">
            <v>-301509.53086481284</v>
          </cell>
          <cell r="AI280">
            <v>-32605.138652282822</v>
          </cell>
          <cell r="AJ280">
            <v>334114.66951709567</v>
          </cell>
          <cell r="AK280">
            <v>7620527.8287664792</v>
          </cell>
          <cell r="AT280">
            <v>58288</v>
          </cell>
          <cell r="AU280">
            <v>276</v>
          </cell>
          <cell r="AV280">
            <v>0</v>
          </cell>
        </row>
        <row r="281">
          <cell r="AE281">
            <v>54667</v>
          </cell>
          <cell r="AF281">
            <v>277</v>
          </cell>
          <cell r="AG281">
            <v>7620527.8287664792</v>
          </cell>
          <cell r="AH281">
            <v>-302750.4692260641</v>
          </cell>
          <cell r="AI281">
            <v>-31364.200291031586</v>
          </cell>
          <cell r="AJ281">
            <v>334114.66951709567</v>
          </cell>
          <cell r="AK281">
            <v>7317777.359540415</v>
          </cell>
          <cell r="AT281">
            <v>58319</v>
          </cell>
          <cell r="AU281">
            <v>277</v>
          </cell>
          <cell r="AV281">
            <v>0</v>
          </cell>
        </row>
        <row r="282">
          <cell r="AE282">
            <v>54697</v>
          </cell>
          <cell r="AF282">
            <v>278</v>
          </cell>
          <cell r="AG282">
            <v>7317777.359540415</v>
          </cell>
          <cell r="AH282">
            <v>-303996.51498147304</v>
          </cell>
          <cell r="AI282">
            <v>-30118.154535622652</v>
          </cell>
          <cell r="AJ282">
            <v>334114.66951709567</v>
          </cell>
          <cell r="AK282">
            <v>7013780.8445589421</v>
          </cell>
          <cell r="AT282">
            <v>58349</v>
          </cell>
          <cell r="AU282">
            <v>278</v>
          </cell>
          <cell r="AV282">
            <v>0</v>
          </cell>
        </row>
        <row r="283">
          <cell r="AE283">
            <v>54728</v>
          </cell>
          <cell r="AF283">
            <v>279</v>
          </cell>
          <cell r="AG283">
            <v>7013780.8445589421</v>
          </cell>
          <cell r="AH283">
            <v>-305247.68915180577</v>
          </cell>
          <cell r="AI283">
            <v>-28866.98036528991</v>
          </cell>
          <cell r="AJ283">
            <v>334114.66951709567</v>
          </cell>
          <cell r="AK283">
            <v>6708533.1554071363</v>
          </cell>
          <cell r="AT283">
            <v>58380</v>
          </cell>
          <cell r="AU283">
            <v>279</v>
          </cell>
          <cell r="AV283">
            <v>0</v>
          </cell>
        </row>
        <row r="284">
          <cell r="AE284">
            <v>54758</v>
          </cell>
          <cell r="AF284">
            <v>280</v>
          </cell>
          <cell r="AG284">
            <v>6708533.1554071363</v>
          </cell>
          <cell r="AH284">
            <v>-306504.01284434472</v>
          </cell>
          <cell r="AI284">
            <v>-27610.656672750949</v>
          </cell>
          <cell r="AJ284">
            <v>334114.66951709567</v>
          </cell>
          <cell r="AK284">
            <v>6402029.1425627917</v>
          </cell>
          <cell r="AT284">
            <v>58410</v>
          </cell>
          <cell r="AU284">
            <v>280</v>
          </cell>
          <cell r="AV284">
            <v>0</v>
          </cell>
        </row>
        <row r="285">
          <cell r="AE285">
            <v>54789</v>
          </cell>
          <cell r="AF285">
            <v>281</v>
          </cell>
          <cell r="AG285">
            <v>6402029.1425627917</v>
          </cell>
          <cell r="AH285">
            <v>-307765.50725324464</v>
          </cell>
          <cell r="AI285">
            <v>-26349.162263851049</v>
          </cell>
          <cell r="AJ285">
            <v>334114.66951709567</v>
          </cell>
          <cell r="AK285">
            <v>6094263.6353095472</v>
          </cell>
          <cell r="AT285">
            <v>58441</v>
          </cell>
          <cell r="AU285">
            <v>281</v>
          </cell>
          <cell r="AV285">
            <v>0</v>
          </cell>
        </row>
        <row r="286">
          <cell r="AE286">
            <v>54820</v>
          </cell>
          <cell r="AF286">
            <v>282</v>
          </cell>
          <cell r="AG286">
            <v>6094263.6353095472</v>
          </cell>
          <cell r="AH286">
            <v>-309032.19365989004</v>
          </cell>
          <cell r="AI286">
            <v>-25082.475857205623</v>
          </cell>
          <cell r="AJ286">
            <v>334114.66951709567</v>
          </cell>
          <cell r="AK286">
            <v>5785231.4416496567</v>
          </cell>
          <cell r="AT286">
            <v>58472</v>
          </cell>
          <cell r="AU286">
            <v>282</v>
          </cell>
          <cell r="AV286">
            <v>0</v>
          </cell>
        </row>
        <row r="287">
          <cell r="AE287">
            <v>54848</v>
          </cell>
          <cell r="AF287">
            <v>283</v>
          </cell>
          <cell r="AG287">
            <v>5785231.4416496567</v>
          </cell>
          <cell r="AH287">
            <v>-310304.09343325451</v>
          </cell>
          <cell r="AI287">
            <v>-23810.576083841159</v>
          </cell>
          <cell r="AJ287">
            <v>334114.66951709567</v>
          </cell>
          <cell r="AK287">
            <v>5474927.3482164023</v>
          </cell>
          <cell r="AT287">
            <v>58501</v>
          </cell>
          <cell r="AU287">
            <v>283</v>
          </cell>
          <cell r="AV287">
            <v>0</v>
          </cell>
        </row>
        <row r="288">
          <cell r="AE288">
            <v>54879</v>
          </cell>
          <cell r="AF288">
            <v>284</v>
          </cell>
          <cell r="AG288">
            <v>5474927.3482164023</v>
          </cell>
          <cell r="AH288">
            <v>-311581.22803026089</v>
          </cell>
          <cell r="AI288">
            <v>-22533.441486834781</v>
          </cell>
          <cell r="AJ288">
            <v>334114.66951709567</v>
          </cell>
          <cell r="AK288">
            <v>5163346.1201861417</v>
          </cell>
          <cell r="AT288">
            <v>58532</v>
          </cell>
          <cell r="AU288">
            <v>284</v>
          </cell>
          <cell r="AV288">
            <v>0</v>
          </cell>
        </row>
        <row r="289">
          <cell r="AE289">
            <v>54909</v>
          </cell>
          <cell r="AF289">
            <v>285</v>
          </cell>
          <cell r="AG289">
            <v>5163346.1201861417</v>
          </cell>
          <cell r="AH289">
            <v>-312863.61899614346</v>
          </cell>
          <cell r="AI289">
            <v>-21251.050520952231</v>
          </cell>
          <cell r="AJ289">
            <v>334114.66951709567</v>
          </cell>
          <cell r="AK289">
            <v>4850482.5011899984</v>
          </cell>
          <cell r="AT289">
            <v>58562</v>
          </cell>
          <cell r="AU289">
            <v>285</v>
          </cell>
          <cell r="AV289">
            <v>0</v>
          </cell>
        </row>
        <row r="290">
          <cell r="AE290">
            <v>54940</v>
          </cell>
          <cell r="AF290">
            <v>286</v>
          </cell>
          <cell r="AG290">
            <v>4850482.5011899984</v>
          </cell>
          <cell r="AH290">
            <v>-314151.28796481126</v>
          </cell>
          <cell r="AI290">
            <v>-19963.381552284423</v>
          </cell>
          <cell r="AJ290">
            <v>334114.66951709567</v>
          </cell>
          <cell r="AK290">
            <v>4536331.2132251868</v>
          </cell>
          <cell r="AT290">
            <v>58593</v>
          </cell>
          <cell r="AU290">
            <v>286</v>
          </cell>
          <cell r="AV290">
            <v>0</v>
          </cell>
        </row>
        <row r="291">
          <cell r="AE291">
            <v>54970</v>
          </cell>
          <cell r="AF291">
            <v>287</v>
          </cell>
          <cell r="AG291">
            <v>4536331.2132251868</v>
          </cell>
          <cell r="AH291">
            <v>-315444.25665921316</v>
          </cell>
          <cell r="AI291">
            <v>-18670.412857882482</v>
          </cell>
          <cell r="AJ291">
            <v>334114.66951709567</v>
          </cell>
          <cell r="AK291">
            <v>4220886.9565659733</v>
          </cell>
          <cell r="AT291">
            <v>58623</v>
          </cell>
          <cell r="AU291">
            <v>287</v>
          </cell>
          <cell r="AV291">
            <v>0</v>
          </cell>
        </row>
        <row r="292">
          <cell r="AE292">
            <v>55001</v>
          </cell>
          <cell r="AF292">
            <v>288</v>
          </cell>
          <cell r="AG292">
            <v>4220886.9565659733</v>
          </cell>
          <cell r="AH292">
            <v>-316742.54689170443</v>
          </cell>
          <cell r="AI292">
            <v>-17372.122625391243</v>
          </cell>
          <cell r="AJ292">
            <v>334114.66951709567</v>
          </cell>
          <cell r="AK292">
            <v>3904144.4096742691</v>
          </cell>
          <cell r="AT292">
            <v>58654</v>
          </cell>
          <cell r="AU292">
            <v>288</v>
          </cell>
          <cell r="AV292">
            <v>0</v>
          </cell>
        </row>
        <row r="293">
          <cell r="AE293">
            <v>55032</v>
          </cell>
          <cell r="AF293">
            <v>289</v>
          </cell>
          <cell r="AG293">
            <v>3904144.4096742691</v>
          </cell>
          <cell r="AH293">
            <v>-318046.1805644143</v>
          </cell>
          <cell r="AI293">
            <v>-16068.488952681339</v>
          </cell>
          <cell r="AJ293">
            <v>334114.66951709567</v>
          </cell>
          <cell r="AK293">
            <v>3586098.2291098549</v>
          </cell>
          <cell r="AT293">
            <v>58685</v>
          </cell>
          <cell r="AU293">
            <v>289</v>
          </cell>
          <cell r="AV293">
            <v>0</v>
          </cell>
        </row>
        <row r="294">
          <cell r="AE294">
            <v>55062</v>
          </cell>
          <cell r="AF294">
            <v>290</v>
          </cell>
          <cell r="AG294">
            <v>3586098.2291098549</v>
          </cell>
          <cell r="AH294">
            <v>-319355.17966961605</v>
          </cell>
          <cell r="AI294">
            <v>-14759.489847479648</v>
          </cell>
          <cell r="AJ294">
            <v>334114.66951709567</v>
          </cell>
          <cell r="AK294">
            <v>3266743.0494402386</v>
          </cell>
          <cell r="AT294">
            <v>58715</v>
          </cell>
          <cell r="AU294">
            <v>290</v>
          </cell>
          <cell r="AV294">
            <v>0</v>
          </cell>
        </row>
        <row r="295">
          <cell r="AE295">
            <v>55093</v>
          </cell>
          <cell r="AF295">
            <v>291</v>
          </cell>
          <cell r="AG295">
            <v>3266743.0494402386</v>
          </cell>
          <cell r="AH295">
            <v>-320669.56629009737</v>
          </cell>
          <cell r="AI295">
            <v>-13445.103226998322</v>
          </cell>
          <cell r="AJ295">
            <v>334114.66951709567</v>
          </cell>
          <cell r="AK295">
            <v>2946073.4831501413</v>
          </cell>
          <cell r="AT295">
            <v>58746</v>
          </cell>
          <cell r="AU295">
            <v>291</v>
          </cell>
          <cell r="AV295">
            <v>0</v>
          </cell>
        </row>
        <row r="296">
          <cell r="AE296">
            <v>55123</v>
          </cell>
          <cell r="AF296">
            <v>292</v>
          </cell>
          <cell r="AG296">
            <v>2946073.4831501413</v>
          </cell>
          <cell r="AH296">
            <v>-321989.3625995334</v>
          </cell>
          <cell r="AI296">
            <v>-12125.306917562257</v>
          </cell>
          <cell r="AJ296">
            <v>334114.66951709567</v>
          </cell>
          <cell r="AK296">
            <v>2624084.1205506078</v>
          </cell>
          <cell r="AT296">
            <v>58776</v>
          </cell>
          <cell r="AU296">
            <v>292</v>
          </cell>
          <cell r="AV296">
            <v>0</v>
          </cell>
        </row>
        <row r="297">
          <cell r="AE297">
            <v>55154</v>
          </cell>
          <cell r="AF297">
            <v>293</v>
          </cell>
          <cell r="AG297">
            <v>2624084.1205506078</v>
          </cell>
          <cell r="AH297">
            <v>-323314.59086286067</v>
          </cell>
          <cell r="AI297">
            <v>-10800.07865423498</v>
          </cell>
          <cell r="AJ297">
            <v>334114.66951709567</v>
          </cell>
          <cell r="AK297">
            <v>2300769.5296877474</v>
          </cell>
          <cell r="AT297">
            <v>58807</v>
          </cell>
          <cell r="AU297">
            <v>293</v>
          </cell>
          <cell r="AV297">
            <v>0</v>
          </cell>
        </row>
        <row r="298">
          <cell r="AE298">
            <v>55185</v>
          </cell>
          <cell r="AF298">
            <v>294</v>
          </cell>
          <cell r="AG298">
            <v>2300769.5296877474</v>
          </cell>
          <cell r="AH298">
            <v>-324645.27343665255</v>
          </cell>
          <cell r="AI298">
            <v>-9469.3960804430899</v>
          </cell>
          <cell r="AJ298">
            <v>334114.66951709567</v>
          </cell>
          <cell r="AK298">
            <v>1976124.2562510949</v>
          </cell>
          <cell r="AT298">
            <v>58838</v>
          </cell>
          <cell r="AU298">
            <v>294</v>
          </cell>
          <cell r="AV298">
            <v>0</v>
          </cell>
        </row>
        <row r="299">
          <cell r="AE299">
            <v>55213</v>
          </cell>
          <cell r="AF299">
            <v>295</v>
          </cell>
          <cell r="AG299">
            <v>1976124.2562510949</v>
          </cell>
          <cell r="AH299">
            <v>-325981.43276949658</v>
          </cell>
          <cell r="AI299">
            <v>-8133.2367475990714</v>
          </cell>
          <cell r="AJ299">
            <v>334114.66951709567</v>
          </cell>
          <cell r="AK299">
            <v>1650142.8234815984</v>
          </cell>
          <cell r="AT299">
            <v>58866</v>
          </cell>
          <cell r="AU299">
            <v>295</v>
          </cell>
          <cell r="AV299">
            <v>0</v>
          </cell>
        </row>
        <row r="300">
          <cell r="AE300">
            <v>55244</v>
          </cell>
          <cell r="AF300">
            <v>296</v>
          </cell>
          <cell r="AG300">
            <v>1650142.8234815984</v>
          </cell>
          <cell r="AH300">
            <v>-327323.09140237304</v>
          </cell>
          <cell r="AI300">
            <v>-6791.5781147225971</v>
          </cell>
          <cell r="AJ300">
            <v>334114.66951709567</v>
          </cell>
          <cell r="AK300">
            <v>1322819.7320792254</v>
          </cell>
          <cell r="AT300">
            <v>58897</v>
          </cell>
          <cell r="AU300">
            <v>296</v>
          </cell>
          <cell r="AV300">
            <v>0</v>
          </cell>
        </row>
        <row r="301">
          <cell r="AE301">
            <v>55274</v>
          </cell>
          <cell r="AF301">
            <v>297</v>
          </cell>
          <cell r="AG301">
            <v>1322819.7320792254</v>
          </cell>
          <cell r="AH301">
            <v>-328670.27196903538</v>
          </cell>
          <cell r="AI301">
            <v>-5444.3975480602676</v>
          </cell>
          <cell r="AJ301">
            <v>334114.66951709567</v>
          </cell>
          <cell r="AK301">
            <v>994149.46011018998</v>
          </cell>
          <cell r="AT301">
            <v>58927</v>
          </cell>
          <cell r="AU301">
            <v>297</v>
          </cell>
          <cell r="AV301">
            <v>0</v>
          </cell>
        </row>
        <row r="302">
          <cell r="AE302">
            <v>55305</v>
          </cell>
          <cell r="AF302">
            <v>298</v>
          </cell>
          <cell r="AG302">
            <v>994149.46011018998</v>
          </cell>
          <cell r="AH302">
            <v>-330022.99719639192</v>
          </cell>
          <cell r="AI302">
            <v>-4091.6723207037689</v>
          </cell>
          <cell r="AJ302">
            <v>334114.66951709567</v>
          </cell>
          <cell r="AK302">
            <v>664126.46291379805</v>
          </cell>
          <cell r="AT302">
            <v>58958</v>
          </cell>
          <cell r="AU302">
            <v>298</v>
          </cell>
          <cell r="AV302">
            <v>0</v>
          </cell>
        </row>
        <row r="303">
          <cell r="AE303">
            <v>55335</v>
          </cell>
          <cell r="AF303">
            <v>299</v>
          </cell>
          <cell r="AG303">
            <v>664126.46291379805</v>
          </cell>
          <cell r="AH303">
            <v>-331381.28990488918</v>
          </cell>
          <cell r="AI303">
            <v>-2733.3796122064764</v>
          </cell>
          <cell r="AJ303">
            <v>334114.66951709567</v>
          </cell>
          <cell r="AK303">
            <v>332745.17300890887</v>
          </cell>
          <cell r="AT303">
            <v>58988</v>
          </cell>
          <cell r="AU303">
            <v>299</v>
          </cell>
          <cell r="AV303">
            <v>0</v>
          </cell>
        </row>
        <row r="304">
          <cell r="AE304">
            <v>55366</v>
          </cell>
          <cell r="AF304">
            <v>300</v>
          </cell>
          <cell r="AG304">
            <v>332745.17300890887</v>
          </cell>
          <cell r="AH304">
            <v>-332745.17300889717</v>
          </cell>
          <cell r="AI304">
            <v>-1369.4965081984781</v>
          </cell>
          <cell r="AJ304">
            <v>334114.66951709567</v>
          </cell>
          <cell r="AK304">
            <v>1.1699739843606949E-8</v>
          </cell>
          <cell r="AT304">
            <v>59019</v>
          </cell>
          <cell r="AU304">
            <v>300</v>
          </cell>
          <cell r="AV304">
            <v>0</v>
          </cell>
        </row>
      </sheetData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gus Rent Roll"/>
      <sheetName val="Summary"/>
      <sheetName val="StackingPlan"/>
      <sheetName val="RentRoll"/>
      <sheetName val="NRA"/>
      <sheetName val="Rent"/>
      <sheetName val="WAVG"/>
      <sheetName val="Expi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A7" t="str">
            <v xml:space="preserve"> Prairie North Health  </v>
          </cell>
          <cell r="B7" t="str">
            <v xml:space="preserve">Expans </v>
          </cell>
          <cell r="C7">
            <v>20800</v>
          </cell>
          <cell r="D7">
            <v>38534</v>
          </cell>
          <cell r="E7">
            <v>40359</v>
          </cell>
          <cell r="F7">
            <v>13</v>
          </cell>
          <cell r="G7">
            <v>0.6910900228682354</v>
          </cell>
          <cell r="H7">
            <v>8.9841702972870596</v>
          </cell>
          <cell r="I7">
            <v>29.930184804928132</v>
          </cell>
          <cell r="J7">
            <v>20.684452101288294</v>
          </cell>
        </row>
        <row r="8">
          <cell r="A8" t="str">
            <v xml:space="preserve">Prairie North has net free rent on 5 850 Sf until July 31  2010. Tenant pays pro rata share of tax only.            </v>
          </cell>
          <cell r="B8">
            <v>3</v>
          </cell>
          <cell r="C8">
            <v>0</v>
          </cell>
          <cell r="D8">
            <v>38534</v>
          </cell>
          <cell r="E8">
            <v>40359</v>
          </cell>
          <cell r="F8">
            <v>0</v>
          </cell>
          <cell r="G8">
            <v>0</v>
          </cell>
          <cell r="H8">
            <v>0</v>
          </cell>
          <cell r="I8">
            <v>29.930184804928132</v>
          </cell>
          <cell r="J8">
            <v>0</v>
          </cell>
        </row>
        <row r="9">
          <cell r="A9" t="str">
            <v xml:space="preserve"> Regional              </v>
          </cell>
          <cell r="B9">
            <v>42</v>
          </cell>
          <cell r="C9">
            <v>1.41E-2</v>
          </cell>
          <cell r="D9">
            <v>36923</v>
          </cell>
          <cell r="E9">
            <v>44227</v>
          </cell>
          <cell r="F9"/>
          <cell r="G9">
            <v>4.6847929434817877E-7</v>
          </cell>
          <cell r="H9" t="e">
            <v>#VALUE!</v>
          </cell>
          <cell r="I9">
            <v>157.01026694045174</v>
          </cell>
          <cell r="J9">
            <v>7.3556059061682017E-5</v>
          </cell>
        </row>
        <row r="10">
          <cell r="A10" t="str">
            <v xml:space="preserve"> Nationals  Suite: 03  </v>
          </cell>
          <cell r="C10">
            <v>0.16020000000000001</v>
          </cell>
          <cell r="D10">
            <v>39264</v>
          </cell>
          <cell r="E10">
            <v>44742</v>
          </cell>
          <cell r="F10">
            <v>0</v>
          </cell>
          <cell r="G10">
            <v>5.3227221953601593E-6</v>
          </cell>
          <cell r="H10">
            <v>0</v>
          </cell>
          <cell r="I10">
            <v>173.93018480492813</v>
          </cell>
          <cell r="J10">
            <v>9.2578205510428528E-4</v>
          </cell>
        </row>
        <row r="11">
          <cell r="A11" t="str">
            <v xml:space="preserve"> Nationals  Suite: 03  </v>
          </cell>
          <cell r="B11">
            <v>37</v>
          </cell>
          <cell r="C11">
            <v>0.18140000000000001</v>
          </cell>
          <cell r="D11">
            <v>38534</v>
          </cell>
          <cell r="E11">
            <v>44043</v>
          </cell>
          <cell r="F11">
            <v>103604</v>
          </cell>
          <cell r="G11">
            <v>6.0271024109758602E-6</v>
          </cell>
          <cell r="H11">
            <v>0.62443191818674304</v>
          </cell>
          <cell r="I11">
            <v>150.96509240246405</v>
          </cell>
          <cell r="J11">
            <v>9.0988207239208461E-4</v>
          </cell>
        </row>
        <row r="12">
          <cell r="A12" t="str">
            <v xml:space="preserve"> 180 Months            </v>
          </cell>
          <cell r="B12">
            <v>12</v>
          </cell>
          <cell r="C12"/>
          <cell r="D12">
            <v>39083</v>
          </cell>
          <cell r="E12">
            <v>44561</v>
          </cell>
          <cell r="F12">
            <v>0</v>
          </cell>
          <cell r="G12" t="e">
            <v>#VALUE!</v>
          </cell>
          <cell r="H12" t="e">
            <v>#VALUE!</v>
          </cell>
          <cell r="I12">
            <v>167.98357289527721</v>
          </cell>
          <cell r="J12" t="e">
            <v>#VALUE!</v>
          </cell>
        </row>
        <row r="13">
          <cell r="A13" t="str">
            <v xml:space="preserve"> Ricki's / Bootlegger  </v>
          </cell>
          <cell r="B13">
            <v>28</v>
          </cell>
          <cell r="C13">
            <v>4788</v>
          </cell>
          <cell r="D13">
            <v>38991</v>
          </cell>
          <cell r="E13">
            <v>40209</v>
          </cell>
          <cell r="F13">
            <v>0</v>
          </cell>
          <cell r="G13">
            <v>0.1590836071871688</v>
          </cell>
          <cell r="H13">
            <v>0</v>
          </cell>
          <cell r="I13">
            <v>25.002053388090349</v>
          </cell>
          <cell r="J13">
            <v>3.9774168400635879</v>
          </cell>
        </row>
        <row r="14">
          <cell r="A14"/>
          <cell r="B14">
            <v>34</v>
          </cell>
          <cell r="C14">
            <v>0</v>
          </cell>
          <cell r="D14">
            <v>37865</v>
          </cell>
          <cell r="E14">
            <v>43343</v>
          </cell>
          <cell r="F14"/>
          <cell r="G14">
            <v>0</v>
          </cell>
          <cell r="H14" t="e">
            <v>#VALUE!</v>
          </cell>
          <cell r="I14">
            <v>127.96714579055441</v>
          </cell>
          <cell r="J14">
            <v>0</v>
          </cell>
        </row>
        <row r="15">
          <cell r="A15" t="str">
            <v xml:space="preserve"> Local  Suite: 18      </v>
          </cell>
          <cell r="B15">
            <v>13</v>
          </cell>
          <cell r="C15">
            <v>1.9E-3</v>
          </cell>
          <cell r="D15">
            <v>38991</v>
          </cell>
          <cell r="E15">
            <v>39478</v>
          </cell>
          <cell r="F15">
            <v>0</v>
          </cell>
          <cell r="G15">
            <v>6.3128415550463807E-8</v>
          </cell>
          <cell r="H15">
            <v>0</v>
          </cell>
          <cell r="I15">
            <v>0.98562628336755642</v>
          </cell>
          <cell r="J15">
            <v>6.2221025593886295E-8</v>
          </cell>
        </row>
        <row r="16">
          <cell r="A16">
            <v>0</v>
          </cell>
          <cell r="B16">
            <v>13</v>
          </cell>
          <cell r="C16"/>
          <cell r="D16">
            <v>39508</v>
          </cell>
          <cell r="E16">
            <v>41333</v>
          </cell>
          <cell r="F16">
            <v>0</v>
          </cell>
          <cell r="G16" t="e">
            <v>#VALUE!</v>
          </cell>
          <cell r="H16" t="e">
            <v>#VALUE!</v>
          </cell>
          <cell r="I16">
            <v>61.930184804928132</v>
          </cell>
          <cell r="J16" t="e">
            <v>#VALUE!</v>
          </cell>
        </row>
        <row r="17">
          <cell r="A17"/>
          <cell r="B17">
            <v>30</v>
          </cell>
          <cell r="C17">
            <v>0</v>
          </cell>
          <cell r="D17">
            <v>38718</v>
          </cell>
          <cell r="E17">
            <v>39994</v>
          </cell>
          <cell r="F17"/>
          <cell r="G17">
            <v>0</v>
          </cell>
          <cell r="H17" t="e">
            <v>#VALUE!</v>
          </cell>
          <cell r="I17">
            <v>17.938398357289529</v>
          </cell>
          <cell r="J17">
            <v>0</v>
          </cell>
        </row>
        <row r="18">
          <cell r="A18" t="str">
            <v xml:space="preserve"> Craigs Apparel        </v>
          </cell>
          <cell r="B18">
            <v>30</v>
          </cell>
          <cell r="C18">
            <v>3250</v>
          </cell>
          <cell r="D18">
            <v>40026</v>
          </cell>
          <cell r="E18">
            <v>41851</v>
          </cell>
          <cell r="F18">
            <v>0</v>
          </cell>
          <cell r="G18">
            <v>0.10798281607316178</v>
          </cell>
          <cell r="H18">
            <v>0</v>
          </cell>
          <cell r="I18">
            <v>78.948665297741272</v>
          </cell>
          <cell r="J18">
            <v>8.5250992040676064</v>
          </cell>
        </row>
        <row r="19">
          <cell r="A19" t="str">
            <v xml:space="preserve">1x5 year renewal option. Tenant will pay percentage rent to the LL on a yearly basis of 5.5% on gross sales over $600.000.            </v>
          </cell>
          <cell r="B19">
            <v>9</v>
          </cell>
          <cell r="C19">
            <v>0</v>
          </cell>
          <cell r="D19">
            <v>38047</v>
          </cell>
          <cell r="E19">
            <v>39872</v>
          </cell>
          <cell r="F19">
            <v>0</v>
          </cell>
          <cell r="G19">
            <v>0</v>
          </cell>
          <cell r="H19">
            <v>0</v>
          </cell>
          <cell r="I19">
            <v>13.930184804928132</v>
          </cell>
          <cell r="J19">
            <v>0</v>
          </cell>
        </row>
        <row r="20">
          <cell r="A20">
            <v>0</v>
          </cell>
          <cell r="B20" t="str">
            <v xml:space="preserve">P1 </v>
          </cell>
          <cell r="C20"/>
          <cell r="D20">
            <v>37347</v>
          </cell>
          <cell r="E20">
            <v>44651</v>
          </cell>
          <cell r="F20">
            <v>0</v>
          </cell>
          <cell r="G20" t="e">
            <v>#VALUE!</v>
          </cell>
          <cell r="H20" t="e">
            <v>#VALUE!</v>
          </cell>
          <cell r="I20">
            <v>170.94045174537987</v>
          </cell>
          <cell r="J20" t="e">
            <v>#VALUE!</v>
          </cell>
        </row>
        <row r="21">
          <cell r="A21" t="str">
            <v xml:space="preserve"> Bentley               </v>
          </cell>
          <cell r="B21">
            <v>23</v>
          </cell>
          <cell r="C21">
            <v>1259</v>
          </cell>
          <cell r="D21">
            <v>38596</v>
          </cell>
          <cell r="E21">
            <v>39691</v>
          </cell>
          <cell r="F21">
            <v>0</v>
          </cell>
          <cell r="G21">
            <v>4.1830881672649436E-2</v>
          </cell>
          <cell r="H21">
            <v>0</v>
          </cell>
          <cell r="I21">
            <v>7.9835728952772076</v>
          </cell>
          <cell r="J21">
            <v>0.33395989310731217</v>
          </cell>
        </row>
        <row r="22">
          <cell r="A22"/>
          <cell r="B22">
            <v>23</v>
          </cell>
          <cell r="C22">
            <v>0</v>
          </cell>
          <cell r="D22">
            <v>40087</v>
          </cell>
          <cell r="E22">
            <v>41912</v>
          </cell>
          <cell r="F22">
            <v>0</v>
          </cell>
          <cell r="G22">
            <v>0</v>
          </cell>
          <cell r="H22">
            <v>0</v>
          </cell>
          <cell r="I22">
            <v>80.952772073921977</v>
          </cell>
          <cell r="J22">
            <v>0</v>
          </cell>
        </row>
        <row r="23">
          <cell r="A23"/>
          <cell r="C23"/>
          <cell r="D23">
            <v>39022</v>
          </cell>
          <cell r="E23">
            <v>40939</v>
          </cell>
          <cell r="F23">
            <v>0</v>
          </cell>
          <cell r="G23" t="e">
            <v>#VALUE!</v>
          </cell>
          <cell r="H23" t="e">
            <v>#VALUE!</v>
          </cell>
          <cell r="I23">
            <v>48.985626283367559</v>
          </cell>
          <cell r="J23" t="e">
            <v>#VALUE!</v>
          </cell>
        </row>
        <row r="24">
          <cell r="A24">
            <v>0</v>
          </cell>
          <cell r="B24" t="str">
            <v xml:space="preserve">P2 </v>
          </cell>
          <cell r="C24"/>
          <cell r="D24">
            <v>38991</v>
          </cell>
          <cell r="E24">
            <v>40086</v>
          </cell>
          <cell r="F24">
            <v>0</v>
          </cell>
          <cell r="G24" t="e">
            <v>#VALUE!</v>
          </cell>
          <cell r="H24" t="e">
            <v>#VALUE!</v>
          </cell>
          <cell r="I24">
            <v>20.960985626283367</v>
          </cell>
          <cell r="J24" t="e">
            <v>#VALUE!</v>
          </cell>
        </row>
        <row r="25">
          <cell r="A25">
            <v>0</v>
          </cell>
          <cell r="B25">
            <v>25</v>
          </cell>
          <cell r="C25"/>
          <cell r="D25">
            <v>39203</v>
          </cell>
          <cell r="E25">
            <v>39752</v>
          </cell>
          <cell r="F25">
            <v>0</v>
          </cell>
          <cell r="G25" t="e">
            <v>#VALUE!</v>
          </cell>
          <cell r="H25" t="e">
            <v>#VALUE!</v>
          </cell>
          <cell r="I25">
            <v>9.9876796714579061</v>
          </cell>
          <cell r="J25" t="e">
            <v>#VALUE!</v>
          </cell>
        </row>
        <row r="26">
          <cell r="A26"/>
          <cell r="B26">
            <v>22</v>
          </cell>
          <cell r="C26">
            <v>0</v>
          </cell>
          <cell r="D26">
            <v>38749</v>
          </cell>
          <cell r="E26">
            <v>40574</v>
          </cell>
          <cell r="F26">
            <v>0</v>
          </cell>
          <cell r="G26">
            <v>0</v>
          </cell>
          <cell r="H26">
            <v>0</v>
          </cell>
          <cell r="I26">
            <v>36.993839835728956</v>
          </cell>
          <cell r="J26">
            <v>0</v>
          </cell>
        </row>
        <row r="27">
          <cell r="A27" t="str">
            <v xml:space="preserve"> Local  Suite: 30A     </v>
          </cell>
          <cell r="B27">
            <v>19</v>
          </cell>
          <cell r="C27">
            <v>7.4999999999999997E-3</v>
          </cell>
          <cell r="D27">
            <v>38443</v>
          </cell>
          <cell r="E27">
            <v>40268</v>
          </cell>
          <cell r="F27">
            <v>9300</v>
          </cell>
          <cell r="G27">
            <v>2.4919111401498871E-7</v>
          </cell>
          <cell r="H27">
            <v>2.3174773603393951E-3</v>
          </cell>
          <cell r="I27">
            <v>26.940451745379878</v>
          </cell>
          <cell r="J27">
            <v>6.7133211824982592E-6</v>
          </cell>
        </row>
        <row r="28">
          <cell r="A28"/>
          <cell r="B28">
            <v>24</v>
          </cell>
          <cell r="C28">
            <v>0</v>
          </cell>
          <cell r="D28">
            <v>38169</v>
          </cell>
          <cell r="E28">
            <v>39994</v>
          </cell>
          <cell r="F28"/>
          <cell r="G28">
            <v>0</v>
          </cell>
          <cell r="H28" t="e">
            <v>#VALUE!</v>
          </cell>
          <cell r="I28">
            <v>17.938398357289529</v>
          </cell>
          <cell r="J28">
            <v>0</v>
          </cell>
        </row>
        <row r="29">
          <cell r="A29"/>
          <cell r="B29" t="str">
            <v>30A</v>
          </cell>
          <cell r="C29"/>
          <cell r="D29">
            <v>38961</v>
          </cell>
          <cell r="E29">
            <v>40602</v>
          </cell>
          <cell r="F29">
            <v>0</v>
          </cell>
          <cell r="G29" t="e">
            <v>#VALUE!</v>
          </cell>
          <cell r="H29" t="e">
            <v>#VALUE!</v>
          </cell>
          <cell r="I29">
            <v>37.913757700205338</v>
          </cell>
          <cell r="J29" t="e">
            <v>#VALUE!</v>
          </cell>
        </row>
        <row r="30">
          <cell r="A30">
            <v>0</v>
          </cell>
          <cell r="B30">
            <v>26</v>
          </cell>
          <cell r="C30"/>
          <cell r="D30">
            <v>38991</v>
          </cell>
          <cell r="E30">
            <v>39782</v>
          </cell>
          <cell r="F30">
            <v>0</v>
          </cell>
          <cell r="G30" t="e">
            <v>#VALUE!</v>
          </cell>
          <cell r="H30" t="e">
            <v>#VALUE!</v>
          </cell>
          <cell r="I30">
            <v>10.973305954825461</v>
          </cell>
          <cell r="J30" t="e">
            <v>#VALUE!</v>
          </cell>
        </row>
        <row r="31">
          <cell r="A31" t="str">
            <v xml:space="preserve">CAM is capped at $1.00 +cpi.                                                                                                                                              </v>
          </cell>
          <cell r="B31">
            <v>26</v>
          </cell>
          <cell r="C31"/>
          <cell r="D31">
            <v>39814</v>
          </cell>
          <cell r="E31">
            <v>41639</v>
          </cell>
          <cell r="F31">
            <v>0</v>
          </cell>
          <cell r="G31" t="e">
            <v>#VALUE!</v>
          </cell>
          <cell r="H31" t="e">
            <v>#VALUE!</v>
          </cell>
          <cell r="I31">
            <v>71.983572895277206</v>
          </cell>
          <cell r="J31" t="e">
            <v>#VALUE!</v>
          </cell>
        </row>
        <row r="32">
          <cell r="A32" t="str">
            <v xml:space="preserve"> 240 Months            </v>
          </cell>
          <cell r="B32">
            <v>17</v>
          </cell>
          <cell r="C32"/>
          <cell r="D32">
            <v>38961</v>
          </cell>
          <cell r="E32">
            <v>40056</v>
          </cell>
          <cell r="F32">
            <v>0</v>
          </cell>
          <cell r="G32" t="e">
            <v>#VALUE!</v>
          </cell>
          <cell r="H32" t="e">
            <v>#VALUE!</v>
          </cell>
          <cell r="I32">
            <v>19.975359342915812</v>
          </cell>
          <cell r="J32" t="e">
            <v>#VALUE!</v>
          </cell>
        </row>
        <row r="33">
          <cell r="A33" t="str">
            <v xml:space="preserve"> 60 Months             </v>
          </cell>
          <cell r="B33">
            <v>7</v>
          </cell>
          <cell r="C33"/>
          <cell r="D33">
            <v>39295</v>
          </cell>
          <cell r="E33">
            <v>41121</v>
          </cell>
          <cell r="F33">
            <v>0</v>
          </cell>
          <cell r="G33" t="e">
            <v>#VALUE!</v>
          </cell>
          <cell r="H33" t="e">
            <v>#VALUE!</v>
          </cell>
          <cell r="I33">
            <v>54.965092402464066</v>
          </cell>
          <cell r="J33" t="e">
            <v>#VALUE!</v>
          </cell>
        </row>
        <row r="34">
          <cell r="A34" t="str">
            <v xml:space="preserve"> Regional  Suite: 9    </v>
          </cell>
          <cell r="B34">
            <v>18</v>
          </cell>
          <cell r="C34">
            <v>1.6299999999999999E-2</v>
          </cell>
          <cell r="D34">
            <v>38991</v>
          </cell>
          <cell r="E34">
            <v>39721</v>
          </cell>
          <cell r="F34">
            <v>0</v>
          </cell>
          <cell r="G34">
            <v>5.4157535445924209E-7</v>
          </cell>
          <cell r="H34">
            <v>0</v>
          </cell>
          <cell r="I34">
            <v>8.9691991786447645</v>
          </cell>
          <cell r="J34">
            <v>4.8574972243900813E-6</v>
          </cell>
        </row>
        <row r="35">
          <cell r="A35"/>
          <cell r="B35" t="str">
            <v xml:space="preserve">K3 </v>
          </cell>
          <cell r="C35">
            <v>0</v>
          </cell>
          <cell r="D35">
            <v>38991</v>
          </cell>
          <cell r="E35">
            <v>39721</v>
          </cell>
          <cell r="F35">
            <v>0</v>
          </cell>
          <cell r="G35">
            <v>0</v>
          </cell>
          <cell r="H35">
            <v>0</v>
          </cell>
          <cell r="I35">
            <v>8.9691991786447645</v>
          </cell>
          <cell r="J35">
            <v>0</v>
          </cell>
        </row>
        <row r="36">
          <cell r="A36"/>
          <cell r="B36" t="str">
            <v xml:space="preserve">K4 </v>
          </cell>
          <cell r="C36">
            <v>0</v>
          </cell>
          <cell r="D36">
            <v>38991</v>
          </cell>
          <cell r="E36">
            <v>39721</v>
          </cell>
          <cell r="F36">
            <v>0</v>
          </cell>
          <cell r="G36">
            <v>0</v>
          </cell>
          <cell r="H36">
            <v>0</v>
          </cell>
          <cell r="I36">
            <v>8.9691991786447645</v>
          </cell>
          <cell r="J36">
            <v>0</v>
          </cell>
        </row>
        <row r="37">
          <cell r="A37"/>
          <cell r="B37" t="str">
            <v xml:space="preserve">K2 </v>
          </cell>
          <cell r="C37">
            <v>0</v>
          </cell>
          <cell r="D37">
            <v>38991</v>
          </cell>
          <cell r="E37">
            <v>39721</v>
          </cell>
          <cell r="F37">
            <v>0</v>
          </cell>
          <cell r="G37">
            <v>0</v>
          </cell>
          <cell r="H37">
            <v>0</v>
          </cell>
          <cell r="I37">
            <v>8.9691991786447645</v>
          </cell>
          <cell r="J37">
            <v>0</v>
          </cell>
        </row>
        <row r="38">
          <cell r="A38"/>
          <cell r="B38" t="str">
            <v xml:space="preserve">K1 </v>
          </cell>
          <cell r="C38">
            <v>0</v>
          </cell>
          <cell r="D38">
            <v>39083</v>
          </cell>
          <cell r="E38">
            <v>40908</v>
          </cell>
          <cell r="F38">
            <v>0</v>
          </cell>
          <cell r="G38">
            <v>0</v>
          </cell>
          <cell r="H38">
            <v>0</v>
          </cell>
          <cell r="I38">
            <v>47.967145790554412</v>
          </cell>
          <cell r="J38">
            <v>0</v>
          </cell>
        </row>
        <row r="39">
          <cell r="A39"/>
          <cell r="B39">
            <v>3</v>
          </cell>
          <cell r="C39">
            <v>0</v>
          </cell>
          <cell r="D39">
            <v>38534</v>
          </cell>
          <cell r="E39">
            <v>40359</v>
          </cell>
          <cell r="F39"/>
          <cell r="G39">
            <v>0</v>
          </cell>
          <cell r="H39" t="e">
            <v>#VALUE!</v>
          </cell>
          <cell r="I39">
            <v>29.930184804928132</v>
          </cell>
          <cell r="J39">
            <v>0</v>
          </cell>
        </row>
        <row r="40">
          <cell r="A40"/>
          <cell r="B40" t="str">
            <v>Mo 13</v>
          </cell>
          <cell r="C40"/>
          <cell r="D40">
            <v>39448</v>
          </cell>
          <cell r="E40">
            <v>41274</v>
          </cell>
          <cell r="G40" t="e">
            <v>#VALUE!</v>
          </cell>
          <cell r="H40" t="e">
            <v>#VALUE!</v>
          </cell>
          <cell r="I40">
            <v>59.991786447638603</v>
          </cell>
          <cell r="J40" t="e">
            <v>#VALUE!</v>
          </cell>
        </row>
        <row r="41">
          <cell r="A41"/>
          <cell r="B41" t="str">
            <v>Mo 13</v>
          </cell>
          <cell r="C41">
            <v>0</v>
          </cell>
          <cell r="D41">
            <v>39448</v>
          </cell>
          <cell r="E41">
            <v>41274</v>
          </cell>
          <cell r="G41">
            <v>0</v>
          </cell>
          <cell r="H41">
            <v>0</v>
          </cell>
          <cell r="I41">
            <v>59.991786447638603</v>
          </cell>
          <cell r="J41">
            <v>0</v>
          </cell>
        </row>
        <row r="42">
          <cell r="A42"/>
          <cell r="B42" t="str">
            <v>Mo 13</v>
          </cell>
          <cell r="C42"/>
          <cell r="D42">
            <v>39448</v>
          </cell>
          <cell r="E42">
            <v>41274</v>
          </cell>
          <cell r="G42" t="e">
            <v>#VALUE!</v>
          </cell>
          <cell r="H42" t="e">
            <v>#VALUE!</v>
          </cell>
          <cell r="I42">
            <v>59.991786447638603</v>
          </cell>
          <cell r="J42" t="e">
            <v>#VALUE!</v>
          </cell>
        </row>
      </sheetData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loba Ass'ns"/>
      <sheetName val="Portfolio DCF"/>
      <sheetName val="8"/>
      <sheetName val="9"/>
      <sheetName val="10"/>
      <sheetName val="11"/>
      <sheetName val="8.01"/>
      <sheetName val="8.02"/>
      <sheetName val="8.03"/>
      <sheetName val="8.04"/>
      <sheetName val="8.05"/>
      <sheetName val="8.06"/>
      <sheetName val="9.04"/>
      <sheetName val="9.05"/>
      <sheetName val="9.07"/>
      <sheetName val="9.10"/>
      <sheetName val="9.11"/>
      <sheetName val="10.01"/>
      <sheetName val="10.02"/>
      <sheetName val="10.04"/>
      <sheetName val="10.05"/>
      <sheetName val="10.11"/>
      <sheetName val="10.15"/>
      <sheetName val="10.17"/>
      <sheetName val="10.21"/>
      <sheetName val="10.22"/>
      <sheetName val="10.23"/>
      <sheetName val="11.10"/>
      <sheetName val="11.20"/>
      <sheetName val="11.40"/>
    </sheetNames>
    <sheetDataSet>
      <sheetData sheetId="0">
        <row r="8">
          <cell r="J8">
            <v>45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NKS"/>
      <sheetName val="Sched C (new)"/>
      <sheetName val="Sched C (old)"/>
      <sheetName val="Construction Detail"/>
      <sheetName val="SQL"/>
      <sheetName val="IB Update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99"/>
      <sheetName val="Template"/>
    </sheetNames>
    <sheetDataSet>
      <sheetData sheetId="0" refreshError="1"/>
      <sheetData sheetId="1" refreshError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minion - Revised Phasing"/>
      <sheetName val="Appraisal Revenue"/>
      <sheetName val="Construction"/>
    </sheetNames>
    <sheetDataSet>
      <sheetData sheetId="0"/>
      <sheetData sheetId="1"/>
      <sheetData sheetId="2">
        <row r="29">
          <cell r="C29">
            <v>137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/>
  </sheetPr>
  <dimension ref="B2:U118"/>
  <sheetViews>
    <sheetView showGridLines="0" tabSelected="1" zoomScale="93" zoomScaleNormal="80" workbookViewId="0"/>
  </sheetViews>
  <sheetFormatPr baseColWidth="10" defaultColWidth="7.83203125" defaultRowHeight="15" outlineLevelRow="1" outlineLevelCol="1"/>
  <cols>
    <col min="1" max="1" width="7.33203125" style="1" customWidth="1"/>
    <col min="2" max="2" width="27" style="1" customWidth="1"/>
    <col min="3" max="3" width="7.83203125" style="1" customWidth="1"/>
    <col min="4" max="4" width="8.1640625" style="1" bestFit="1" customWidth="1"/>
    <col min="5" max="5" width="6.1640625" style="1" bestFit="1" customWidth="1" outlineLevel="1"/>
    <col min="6" max="6" width="7.83203125" style="1" customWidth="1" outlineLevel="1"/>
    <col min="7" max="7" width="13.1640625" style="1" bestFit="1" customWidth="1" outlineLevel="1"/>
    <col min="8" max="8" width="14" style="1" bestFit="1" customWidth="1"/>
    <col min="9" max="9" width="7.83203125" style="1" customWidth="1"/>
    <col min="10" max="10" width="12.5" style="1" customWidth="1"/>
    <col min="11" max="11" width="11.5" style="1" bestFit="1" customWidth="1"/>
    <col min="12" max="12" width="7.83203125" style="1"/>
    <col min="13" max="13" width="11.6640625" style="1" bestFit="1" customWidth="1"/>
    <col min="14" max="14" width="17.83203125" style="42" customWidth="1"/>
    <col min="15" max="15" width="6.5" style="42" customWidth="1" outlineLevel="1"/>
    <col min="16" max="16" width="12.83203125" style="1" bestFit="1" customWidth="1"/>
    <col min="17" max="17" width="8.83203125" style="1" customWidth="1"/>
    <col min="18" max="18" width="16.6640625" style="1" customWidth="1"/>
    <col min="19" max="19" width="12.1640625" style="1" customWidth="1"/>
    <col min="20" max="20" width="14" style="1" customWidth="1"/>
    <col min="21" max="22" width="16.5" style="1" bestFit="1" customWidth="1"/>
    <col min="23" max="23" width="14.5" style="1" bestFit="1" customWidth="1"/>
    <col min="24" max="24" width="55.83203125" style="1" customWidth="1"/>
    <col min="25" max="16384" width="7.83203125" style="1"/>
  </cols>
  <sheetData>
    <row r="2" spans="2:20">
      <c r="B2" s="217" t="s">
        <v>14</v>
      </c>
      <c r="C2" s="218"/>
      <c r="D2" s="219"/>
      <c r="E2" s="219"/>
      <c r="F2" s="219"/>
      <c r="G2" s="220"/>
      <c r="H2" s="220"/>
      <c r="I2" s="220"/>
      <c r="J2" s="221"/>
      <c r="N2" s="252" t="s">
        <v>148</v>
      </c>
      <c r="O2" s="252"/>
    </row>
    <row r="3" spans="2:20">
      <c r="B3" s="2" t="s">
        <v>15</v>
      </c>
      <c r="C3" s="27">
        <v>5</v>
      </c>
      <c r="H3" s="1" t="s">
        <v>141</v>
      </c>
      <c r="J3" s="204" t="s">
        <v>142</v>
      </c>
      <c r="N3" s="286" t="s">
        <v>145</v>
      </c>
      <c r="O3" s="286"/>
      <c r="P3" s="286"/>
      <c r="Q3" s="286"/>
      <c r="R3" s="286"/>
      <c r="S3" s="286"/>
      <c r="T3" s="286"/>
    </row>
    <row r="4" spans="2:20">
      <c r="B4" s="2" t="s">
        <v>93</v>
      </c>
      <c r="C4" s="6">
        <f>D19</f>
        <v>58434</v>
      </c>
      <c r="F4" s="5"/>
      <c r="H4" s="1" t="s">
        <v>89</v>
      </c>
      <c r="J4" s="121">
        <v>1</v>
      </c>
      <c r="N4" s="287" t="s">
        <v>146</v>
      </c>
      <c r="O4" s="287"/>
      <c r="P4" s="287"/>
      <c r="Q4" s="241" t="s">
        <v>6</v>
      </c>
      <c r="R4" s="287" t="s">
        <v>147</v>
      </c>
      <c r="S4" s="287"/>
      <c r="T4" s="241" t="s">
        <v>6</v>
      </c>
    </row>
    <row r="5" spans="2:20">
      <c r="B5" s="2" t="s">
        <v>87</v>
      </c>
      <c r="C5" s="27">
        <f>(C4/43560)/C3</f>
        <v>0.26829201101928374</v>
      </c>
      <c r="F5" s="3"/>
      <c r="H5" s="1" t="s">
        <v>90</v>
      </c>
      <c r="J5" s="121">
        <v>1</v>
      </c>
      <c r="K5" s="3"/>
      <c r="L5" s="3"/>
      <c r="N5" s="242" t="str">
        <f>+B70</f>
        <v>First Mortgage</v>
      </c>
      <c r="O5" s="242" t="str">
        <f>+C70</f>
        <v>SMF</v>
      </c>
      <c r="P5" s="243">
        <f>+G70</f>
        <v>13000000</v>
      </c>
      <c r="Q5" s="244">
        <f>+P5/$P$12</f>
        <v>0.45740737660556385</v>
      </c>
      <c r="R5" s="253" t="s">
        <v>149</v>
      </c>
      <c r="S5" s="254">
        <v>0</v>
      </c>
      <c r="T5" s="244">
        <f>+S5/$S$12</f>
        <v>0</v>
      </c>
    </row>
    <row r="6" spans="2:20">
      <c r="B6" s="2" t="s">
        <v>91</v>
      </c>
      <c r="C6" s="6">
        <f>'Rent Roll'!B43</f>
        <v>24</v>
      </c>
      <c r="F6" s="3"/>
      <c r="H6" s="1" t="s">
        <v>88</v>
      </c>
      <c r="J6" s="121">
        <v>1</v>
      </c>
      <c r="K6" s="3"/>
      <c r="L6" s="3"/>
      <c r="N6" s="242" t="str">
        <f>+B71</f>
        <v>Second Mortgage</v>
      </c>
      <c r="O6" s="242" t="str">
        <f>+C71</f>
        <v>MLP</v>
      </c>
      <c r="P6" s="245">
        <f>+G71</f>
        <v>11000000</v>
      </c>
      <c r="Q6" s="244">
        <f>+P6/$P$12</f>
        <v>0.38703701097393861</v>
      </c>
      <c r="R6" s="253" t="s">
        <v>150</v>
      </c>
      <c r="S6" s="255">
        <v>0</v>
      </c>
      <c r="T6" s="244">
        <f>+S6/$S$12</f>
        <v>0</v>
      </c>
    </row>
    <row r="7" spans="2:20">
      <c r="B7" s="2" t="s">
        <v>92</v>
      </c>
      <c r="C7" s="6">
        <f>C4/C6</f>
        <v>2434.75</v>
      </c>
      <c r="F7" s="3"/>
      <c r="H7" s="1" t="s">
        <v>134</v>
      </c>
      <c r="J7" s="187">
        <f>IFERROR(1000*J6/C4,"N/A")</f>
        <v>1.7113324434404626E-2</v>
      </c>
      <c r="K7" s="3"/>
      <c r="L7" s="3"/>
      <c r="N7" s="262" t="str">
        <f>+B73</f>
        <v>Sub Debt</v>
      </c>
      <c r="O7" s="242"/>
      <c r="P7" s="245">
        <f>+G73</f>
        <v>0</v>
      </c>
      <c r="Q7" s="244">
        <f>+P7/$P$12</f>
        <v>0</v>
      </c>
      <c r="R7" s="253" t="s">
        <v>151</v>
      </c>
      <c r="S7" s="255">
        <v>0</v>
      </c>
      <c r="T7" s="244">
        <f>+S7/$S$12</f>
        <v>0</v>
      </c>
    </row>
    <row r="8" spans="2:20">
      <c r="B8" s="2" t="s">
        <v>144</v>
      </c>
      <c r="C8" s="215">
        <v>1900</v>
      </c>
      <c r="F8" s="3"/>
      <c r="H8" s="1" t="s">
        <v>135</v>
      </c>
      <c r="J8" s="214">
        <f ca="1">'Rent Roll'!H40</f>
        <v>1.6842441781209319E-2</v>
      </c>
      <c r="K8" s="3"/>
      <c r="L8" s="3"/>
      <c r="N8" s="253" t="s">
        <v>152</v>
      </c>
      <c r="O8" s="242"/>
      <c r="P8" s="245">
        <f>+G74</f>
        <v>4421054.5454545468</v>
      </c>
      <c r="Q8" s="244">
        <f>+P8/$P$12</f>
        <v>0.15555561242049751</v>
      </c>
      <c r="R8" s="253" t="s">
        <v>153</v>
      </c>
      <c r="S8" s="255">
        <v>0</v>
      </c>
      <c r="T8" s="244">
        <f>+S8/$S$12</f>
        <v>0</v>
      </c>
    </row>
    <row r="9" spans="2:20">
      <c r="B9" s="7"/>
      <c r="C9" s="7"/>
      <c r="D9" s="7"/>
      <c r="E9" s="7"/>
      <c r="F9" s="3"/>
      <c r="G9" s="8"/>
      <c r="H9" s="8"/>
      <c r="I9" s="8"/>
      <c r="J9" s="8"/>
      <c r="N9" s="242"/>
      <c r="O9" s="242"/>
      <c r="P9" s="245"/>
      <c r="Q9" s="244"/>
      <c r="R9" s="253" t="s">
        <v>154</v>
      </c>
      <c r="S9" s="255">
        <v>22488148</v>
      </c>
      <c r="T9" s="244">
        <f>+S9/$S$12</f>
        <v>1</v>
      </c>
    </row>
    <row r="10" spans="2:20">
      <c r="B10" s="217" t="s">
        <v>16</v>
      </c>
      <c r="C10" s="220" t="s">
        <v>6</v>
      </c>
      <c r="D10" s="264" t="s">
        <v>40</v>
      </c>
      <c r="E10" s="222"/>
      <c r="F10" s="223" t="s">
        <v>5</v>
      </c>
      <c r="G10" s="224" t="s">
        <v>106</v>
      </c>
      <c r="H10" s="224"/>
      <c r="I10" s="223" t="s">
        <v>5</v>
      </c>
      <c r="J10" s="224" t="s">
        <v>105</v>
      </c>
      <c r="K10" s="224" t="s">
        <v>167</v>
      </c>
      <c r="N10" s="209"/>
      <c r="O10" s="209"/>
      <c r="P10" s="247"/>
      <c r="Q10" s="248"/>
      <c r="R10" s="242"/>
      <c r="S10" s="246"/>
      <c r="T10" s="244"/>
    </row>
    <row r="11" spans="2:20">
      <c r="B11" s="9" t="s">
        <v>77</v>
      </c>
      <c r="C11" s="2"/>
      <c r="D11" s="2"/>
      <c r="E11" s="2"/>
      <c r="G11" s="3"/>
      <c r="H11" s="3"/>
      <c r="J11" s="3"/>
      <c r="N11" s="209"/>
      <c r="O11" s="209"/>
      <c r="P11" s="247"/>
      <c r="Q11" s="248"/>
      <c r="R11" s="242"/>
      <c r="S11" s="246"/>
      <c r="T11" s="244"/>
    </row>
    <row r="12" spans="2:20">
      <c r="B12" s="106" t="str">
        <f>'Rent Roll'!A46</f>
        <v>Royal Bank</v>
      </c>
      <c r="C12" s="115">
        <f>D12/$D$19</f>
        <v>0.1564157853304583</v>
      </c>
      <c r="D12" s="13">
        <f>'Rent Roll'!B46</f>
        <v>9140</v>
      </c>
      <c r="E12" s="13"/>
      <c r="F12" s="112">
        <f>'Rent Roll'!C46</f>
        <v>33</v>
      </c>
      <c r="G12" s="119">
        <f>IFERROR(D12*F12,"")</f>
        <v>301620</v>
      </c>
      <c r="H12" s="119"/>
      <c r="I12" s="112">
        <f>'Rent Roll'!C46</f>
        <v>33</v>
      </c>
      <c r="J12" s="119">
        <f>IFERROR(D12*I12,"")</f>
        <v>301620</v>
      </c>
      <c r="N12" s="249" t="s">
        <v>0</v>
      </c>
      <c r="O12" s="249"/>
      <c r="P12" s="250">
        <f>SUM(P5:P11)</f>
        <v>28421054.545454547</v>
      </c>
      <c r="Q12" s="251">
        <f>SUM(Q5:Q11)</f>
        <v>1</v>
      </c>
      <c r="R12" s="249" t="s">
        <v>0</v>
      </c>
      <c r="S12" s="250">
        <f>SUM(S5:S11)</f>
        <v>22488148</v>
      </c>
      <c r="T12" s="251">
        <f>SUM(T5:T11)</f>
        <v>1</v>
      </c>
    </row>
    <row r="13" spans="2:20">
      <c r="B13" s="106" t="str">
        <f>'Rent Roll'!A47</f>
        <v>Dollarama</v>
      </c>
      <c r="C13" s="115">
        <f t="shared" ref="C13:C19" si="0">D13/$D$19</f>
        <v>0.14970736215217167</v>
      </c>
      <c r="D13" s="13">
        <f>'Rent Roll'!B47</f>
        <v>8748</v>
      </c>
      <c r="E13" s="13"/>
      <c r="F13" s="112">
        <f>'Rent Roll'!C47</f>
        <v>15</v>
      </c>
      <c r="G13" s="119">
        <f t="shared" ref="G13:G18" si="1">IFERROR(D13*F13,"")</f>
        <v>131220</v>
      </c>
      <c r="H13" s="119"/>
      <c r="I13" s="112">
        <f>'Rent Roll'!C47</f>
        <v>15</v>
      </c>
      <c r="J13" s="119">
        <f t="shared" ref="J13:J18" si="2">IFERROR(D13*I13,"")</f>
        <v>131220</v>
      </c>
      <c r="N13"/>
      <c r="O13"/>
      <c r="P13"/>
      <c r="Q13"/>
      <c r="R13"/>
      <c r="S13"/>
      <c r="T13"/>
    </row>
    <row r="14" spans="2:20">
      <c r="B14" s="106" t="str">
        <f>'Rent Roll'!A48</f>
        <v>Reitmans</v>
      </c>
      <c r="C14" s="115">
        <f t="shared" si="0"/>
        <v>8.3187870075640893E-2</v>
      </c>
      <c r="D14" s="13">
        <f>'Rent Roll'!B48</f>
        <v>4861</v>
      </c>
      <c r="E14" s="13"/>
      <c r="F14" s="112">
        <f>'Rent Roll'!C48</f>
        <v>20</v>
      </c>
      <c r="G14" s="119">
        <f t="shared" si="1"/>
        <v>97220</v>
      </c>
      <c r="H14" s="119"/>
      <c r="I14" s="112">
        <f>'Rent Roll'!C48</f>
        <v>20</v>
      </c>
      <c r="J14" s="119">
        <f t="shared" si="2"/>
        <v>97220</v>
      </c>
      <c r="N14" s="252" t="s">
        <v>155</v>
      </c>
      <c r="O14" s="252"/>
    </row>
    <row r="15" spans="2:20">
      <c r="B15" s="106" t="str">
        <f>'Rent Roll'!A49</f>
        <v>Crown &amp; Tower Pub</v>
      </c>
      <c r="C15" s="115">
        <f t="shared" si="0"/>
        <v>7.0592463291919094E-2</v>
      </c>
      <c r="D15" s="13">
        <f>'Rent Roll'!B49</f>
        <v>4125</v>
      </c>
      <c r="E15" s="13"/>
      <c r="F15" s="112">
        <f>'Rent Roll'!C49</f>
        <v>26</v>
      </c>
      <c r="G15" s="119">
        <f t="shared" si="1"/>
        <v>107250</v>
      </c>
      <c r="H15" s="119"/>
      <c r="I15" s="112">
        <f>'Rent Roll'!C49</f>
        <v>26</v>
      </c>
      <c r="J15" s="119">
        <f t="shared" si="2"/>
        <v>107250</v>
      </c>
      <c r="N15" s="286" t="s">
        <v>145</v>
      </c>
      <c r="O15" s="286"/>
      <c r="P15" s="286"/>
      <c r="Q15" s="286"/>
      <c r="R15" s="286"/>
      <c r="S15" s="286"/>
      <c r="T15" s="286"/>
    </row>
    <row r="16" spans="2:20">
      <c r="B16" s="106" t="str">
        <f>'Rent Roll'!A50</f>
        <v>Orange Theory Fitness</v>
      </c>
      <c r="C16" s="115">
        <f t="shared" si="0"/>
        <v>4.8841427935790806E-2</v>
      </c>
      <c r="D16" s="13">
        <f>'Rent Roll'!B50</f>
        <v>2854</v>
      </c>
      <c r="E16" s="13"/>
      <c r="F16" s="112">
        <f>'Rent Roll'!C50</f>
        <v>35</v>
      </c>
      <c r="G16" s="119">
        <f t="shared" si="1"/>
        <v>99890</v>
      </c>
      <c r="H16" s="119"/>
      <c r="I16" s="112">
        <f>'Rent Roll'!C50</f>
        <v>35</v>
      </c>
      <c r="J16" s="119">
        <f t="shared" si="2"/>
        <v>99890</v>
      </c>
      <c r="N16" s="287" t="s">
        <v>146</v>
      </c>
      <c r="O16" s="287"/>
      <c r="P16" s="287"/>
      <c r="Q16" s="241" t="s">
        <v>6</v>
      </c>
      <c r="R16" s="287" t="s">
        <v>147</v>
      </c>
      <c r="S16" s="287"/>
      <c r="T16" s="241" t="s">
        <v>6</v>
      </c>
    </row>
    <row r="17" spans="2:20">
      <c r="B17" s="106" t="s">
        <v>72</v>
      </c>
      <c r="C17" s="115">
        <f t="shared" si="0"/>
        <v>0.42863743710853269</v>
      </c>
      <c r="D17" s="13">
        <f>'Rent Roll'!B51</f>
        <v>25047</v>
      </c>
      <c r="E17" s="13"/>
      <c r="F17" s="112">
        <f>'Rent Roll'!C51</f>
        <v>25.48173433944185</v>
      </c>
      <c r="G17" s="119">
        <f t="shared" si="1"/>
        <v>638241</v>
      </c>
      <c r="H17" s="119"/>
      <c r="I17" s="112">
        <f>'Rent Roll'!C51</f>
        <v>25.48173433944185</v>
      </c>
      <c r="J17" s="119">
        <f t="shared" si="2"/>
        <v>638241</v>
      </c>
      <c r="N17" s="242" t="str">
        <f>+B70</f>
        <v>First Mortgage</v>
      </c>
      <c r="O17" s="242" t="str">
        <f>+C70</f>
        <v>SMF</v>
      </c>
      <c r="P17" s="243">
        <f>+J70</f>
        <v>13000000</v>
      </c>
      <c r="Q17" s="244">
        <f>+P17/$P$24</f>
        <v>0.44498438427813836</v>
      </c>
      <c r="R17" s="253" t="s">
        <v>149</v>
      </c>
      <c r="S17" s="254">
        <v>0</v>
      </c>
      <c r="T17" s="244">
        <f t="shared" ref="T17:T22" si="3">+S17/$S$24</f>
        <v>0</v>
      </c>
    </row>
    <row r="18" spans="2:20">
      <c r="B18" s="106" t="s">
        <v>44</v>
      </c>
      <c r="C18" s="116">
        <f t="shared" si="0"/>
        <v>6.2617654105486531E-2</v>
      </c>
      <c r="D18" s="17">
        <f>'Rent Roll'!B52</f>
        <v>3659</v>
      </c>
      <c r="E18" s="17"/>
      <c r="F18" s="113">
        <v>0</v>
      </c>
      <c r="G18" s="120">
        <f t="shared" si="1"/>
        <v>0</v>
      </c>
      <c r="H18" s="120"/>
      <c r="I18" s="113">
        <v>20</v>
      </c>
      <c r="J18" s="120">
        <f t="shared" si="2"/>
        <v>73180</v>
      </c>
      <c r="N18" s="242" t="str">
        <f>+B71</f>
        <v>Second Mortgage</v>
      </c>
      <c r="O18" s="242" t="str">
        <f>+C71</f>
        <v>MLP</v>
      </c>
      <c r="P18" s="245">
        <f>+J71</f>
        <v>11000000</v>
      </c>
      <c r="Q18" s="244">
        <f>+P18/$P$24</f>
        <v>0.37652524823534783</v>
      </c>
      <c r="R18" s="253" t="s">
        <v>150</v>
      </c>
      <c r="S18" s="255">
        <v>0</v>
      </c>
      <c r="T18" s="244">
        <f t="shared" si="3"/>
        <v>0</v>
      </c>
    </row>
    <row r="19" spans="2:20">
      <c r="B19" s="9" t="s">
        <v>85</v>
      </c>
      <c r="C19" s="117">
        <f t="shared" si="0"/>
        <v>1</v>
      </c>
      <c r="D19" s="118">
        <f>SUM(D12:D18)</f>
        <v>58434</v>
      </c>
      <c r="E19" s="118"/>
      <c r="F19" s="114">
        <f>+SUMPRODUCT($D$12:$D$18,F12:F18)/$D$19</f>
        <v>23.538368073381935</v>
      </c>
      <c r="G19" s="10">
        <f>+D19*F19</f>
        <v>1375441</v>
      </c>
      <c r="H19" s="10"/>
      <c r="I19" s="114">
        <f>+SUMPRODUCT($D$12:$D$18,I12:I18)/$D$19</f>
        <v>24.790721155491667</v>
      </c>
      <c r="J19" s="10">
        <f>+D19*I19</f>
        <v>1448621</v>
      </c>
      <c r="N19" s="263" t="str">
        <f>+B73</f>
        <v>Sub Debt</v>
      </c>
      <c r="O19" s="242"/>
      <c r="P19" s="245">
        <f>+J73</f>
        <v>0</v>
      </c>
      <c r="Q19" s="244">
        <f>+P19/$P$24</f>
        <v>0</v>
      </c>
      <c r="R19" s="253" t="s">
        <v>151</v>
      </c>
      <c r="S19" s="255">
        <v>0</v>
      </c>
      <c r="T19" s="244">
        <f t="shared" si="3"/>
        <v>0</v>
      </c>
    </row>
    <row r="20" spans="2:20">
      <c r="B20" s="106" t="s">
        <v>80</v>
      </c>
      <c r="C20" s="24"/>
      <c r="D20" s="29"/>
      <c r="E20" s="29"/>
      <c r="F20" s="112">
        <f>G20/($D$19-$D$18)</f>
        <v>0.52943861250570512</v>
      </c>
      <c r="G20" s="23">
        <v>29000</v>
      </c>
      <c r="H20" s="23"/>
      <c r="I20" s="112">
        <f>J20/$D$19</f>
        <v>0.54762638190094803</v>
      </c>
      <c r="J20" s="23">
        <v>32000</v>
      </c>
      <c r="N20" s="253" t="s">
        <v>152</v>
      </c>
      <c r="O20" s="253"/>
      <c r="P20" s="245">
        <f>+J74</f>
        <v>5214508.3272727281</v>
      </c>
      <c r="Q20" s="244">
        <f>+P20/$P$24</f>
        <v>0.17849036748651384</v>
      </c>
      <c r="R20" s="253" t="s">
        <v>153</v>
      </c>
      <c r="S20" s="255">
        <v>0</v>
      </c>
      <c r="T20" s="244">
        <f t="shared" si="3"/>
        <v>0</v>
      </c>
    </row>
    <row r="21" spans="2:20">
      <c r="B21" s="106" t="s">
        <v>81</v>
      </c>
      <c r="C21" s="24"/>
      <c r="D21" s="29"/>
      <c r="E21" s="29"/>
      <c r="F21" s="112">
        <f t="shared" ref="F21:F23" si="4">G21/($D$19-$D$18)</f>
        <v>3.1948881789137382</v>
      </c>
      <c r="G21" s="36">
        <v>175000</v>
      </c>
      <c r="H21" s="36"/>
      <c r="I21" s="112">
        <f t="shared" ref="I21:I24" si="5">J21/$D$19</f>
        <v>3.6585378375603246</v>
      </c>
      <c r="J21" s="36">
        <v>213783</v>
      </c>
      <c r="N21" s="242"/>
      <c r="O21" s="242"/>
      <c r="P21" s="245"/>
      <c r="Q21" s="244"/>
      <c r="R21" s="253" t="s">
        <v>156</v>
      </c>
      <c r="S21" s="255">
        <v>0</v>
      </c>
      <c r="T21" s="244">
        <f t="shared" si="3"/>
        <v>0</v>
      </c>
    </row>
    <row r="22" spans="2:20">
      <c r="B22" s="106" t="s">
        <v>82</v>
      </c>
      <c r="C22" s="24"/>
      <c r="D22" s="29"/>
      <c r="E22" s="29"/>
      <c r="F22" s="112">
        <f t="shared" si="4"/>
        <v>2.5193975353719762</v>
      </c>
      <c r="G22" s="36">
        <v>138000</v>
      </c>
      <c r="H22" s="36"/>
      <c r="I22" s="112">
        <f t="shared" si="5"/>
        <v>2.6801519663209774</v>
      </c>
      <c r="J22" s="36">
        <v>156612</v>
      </c>
      <c r="N22" s="209"/>
      <c r="O22" s="209"/>
      <c r="P22" s="247"/>
      <c r="Q22" s="248"/>
      <c r="R22" s="253" t="s">
        <v>154</v>
      </c>
      <c r="S22" s="255">
        <v>23227426</v>
      </c>
      <c r="T22" s="244">
        <f t="shared" si="3"/>
        <v>1</v>
      </c>
    </row>
    <row r="23" spans="2:20">
      <c r="B23" s="106" t="s">
        <v>83</v>
      </c>
      <c r="C23" s="26"/>
      <c r="D23" s="24"/>
      <c r="E23" s="24"/>
      <c r="F23" s="112">
        <f t="shared" si="4"/>
        <v>0.82154267457781838</v>
      </c>
      <c r="G23" s="36">
        <v>45000</v>
      </c>
      <c r="H23" s="36"/>
      <c r="I23" s="123">
        <f t="shared" si="5"/>
        <v>1.4118492658383817</v>
      </c>
      <c r="J23" s="36">
        <v>82500</v>
      </c>
      <c r="N23" s="209"/>
      <c r="O23" s="209"/>
      <c r="P23" s="247"/>
      <c r="Q23" s="248"/>
      <c r="R23" s="242"/>
      <c r="S23" s="246"/>
      <c r="T23" s="244"/>
    </row>
    <row r="24" spans="2:20">
      <c r="B24" s="9" t="s">
        <v>86</v>
      </c>
      <c r="C24" s="9"/>
      <c r="D24" s="9"/>
      <c r="E24" s="9"/>
      <c r="F24" s="124">
        <f>G24/$D$19</f>
        <v>30.161224629496527</v>
      </c>
      <c r="G24" s="12">
        <f>SUM(G19:G23)</f>
        <v>1762441</v>
      </c>
      <c r="H24" s="12"/>
      <c r="I24" s="124">
        <f t="shared" si="5"/>
        <v>33.0888866071123</v>
      </c>
      <c r="J24" s="12">
        <f>SUM(J19:J23)</f>
        <v>1933516</v>
      </c>
      <c r="N24" s="249" t="s">
        <v>0</v>
      </c>
      <c r="O24" s="249"/>
      <c r="P24" s="250">
        <f>SUM(P17:P23)</f>
        <v>29214508.327272728</v>
      </c>
      <c r="Q24" s="251">
        <f>SUM(Q17:Q23)</f>
        <v>1</v>
      </c>
      <c r="R24" s="249" t="s">
        <v>0</v>
      </c>
      <c r="S24" s="250">
        <f>SUM(S17:S23)</f>
        <v>23227426</v>
      </c>
      <c r="T24" s="251">
        <f>SUM(T17:T23)</f>
        <v>1</v>
      </c>
    </row>
    <row r="25" spans="2:20">
      <c r="B25" s="2" t="s">
        <v>78</v>
      </c>
      <c r="C25" s="2"/>
      <c r="D25" s="2"/>
      <c r="E25" s="2"/>
      <c r="F25" s="25">
        <v>0</v>
      </c>
      <c r="G25" s="4">
        <f>-G24*F25</f>
        <v>0</v>
      </c>
      <c r="H25" s="4"/>
      <c r="I25" s="25">
        <v>0.05</v>
      </c>
      <c r="J25" s="4">
        <f>-J24*I25</f>
        <v>-96675.8</v>
      </c>
    </row>
    <row r="26" spans="2:20">
      <c r="B26" s="9" t="s">
        <v>79</v>
      </c>
      <c r="C26" s="9"/>
      <c r="D26" s="9"/>
      <c r="E26" s="9"/>
      <c r="F26" s="124">
        <f t="shared" ref="F26:F33" si="6">G26/$D$19</f>
        <v>30.161224629496527</v>
      </c>
      <c r="G26" s="12">
        <f>SUM(G24:G25)</f>
        <v>1762441</v>
      </c>
      <c r="H26" s="12"/>
      <c r="I26" s="124">
        <f>J26/$D$19</f>
        <v>31.43444227675668</v>
      </c>
      <c r="J26" s="12">
        <f>SUM(J24:J25)</f>
        <v>1836840.2</v>
      </c>
      <c r="N26" s="153"/>
      <c r="O26" s="153"/>
    </row>
    <row r="27" spans="2:20">
      <c r="B27" s="106" t="s">
        <v>18</v>
      </c>
      <c r="C27" s="2"/>
      <c r="D27" s="2"/>
      <c r="E27" s="2"/>
      <c r="F27" s="125">
        <f t="shared" si="6"/>
        <v>3.6585378375603246</v>
      </c>
      <c r="G27" s="23">
        <v>213783</v>
      </c>
      <c r="H27" s="23"/>
      <c r="I27" s="112">
        <f t="shared" ref="I27:I33" si="7">J27/$D$19</f>
        <v>3.6585378375603246</v>
      </c>
      <c r="J27" s="23">
        <v>213783</v>
      </c>
      <c r="N27" s="1"/>
      <c r="O27" s="1"/>
    </row>
    <row r="28" spans="2:20">
      <c r="B28" s="106" t="s">
        <v>19</v>
      </c>
      <c r="C28" s="2"/>
      <c r="D28" s="2"/>
      <c r="E28" s="2"/>
      <c r="F28" s="125">
        <f t="shared" si="6"/>
        <v>2.5498853407262896</v>
      </c>
      <c r="G28" s="36">
        <v>149000</v>
      </c>
      <c r="H28" s="36"/>
      <c r="I28" s="112">
        <f t="shared" si="7"/>
        <v>2.6801519663209774</v>
      </c>
      <c r="J28" s="36">
        <v>156612</v>
      </c>
    </row>
    <row r="29" spans="2:20">
      <c r="B29" s="106" t="s">
        <v>84</v>
      </c>
      <c r="C29" s="2"/>
      <c r="D29" s="2"/>
      <c r="E29" s="2"/>
      <c r="F29" s="125">
        <f t="shared" si="6"/>
        <v>1.0995310949104973</v>
      </c>
      <c r="G29" s="36">
        <v>64250</v>
      </c>
      <c r="H29" s="36"/>
      <c r="I29" s="112">
        <f t="shared" si="7"/>
        <v>1.287264263955916</v>
      </c>
      <c r="J29" s="36">
        <v>75220</v>
      </c>
    </row>
    <row r="30" spans="2:20">
      <c r="B30" s="106" t="s">
        <v>20</v>
      </c>
      <c r="C30" s="2"/>
      <c r="E30" s="290">
        <f>G30/G26</f>
        <v>3.688066721098749E-2</v>
      </c>
      <c r="F30" s="125">
        <f t="shared" si="6"/>
        <v>1.1123660882363007</v>
      </c>
      <c r="G30" s="36">
        <v>65000</v>
      </c>
      <c r="H30" s="290">
        <f>J30/J26</f>
        <v>3.5386856189231923E-2</v>
      </c>
      <c r="I30" s="125">
        <f t="shared" si="7"/>
        <v>1.1123660882363007</v>
      </c>
      <c r="J30" s="36">
        <v>65000</v>
      </c>
    </row>
    <row r="31" spans="2:20">
      <c r="B31" s="106" t="s">
        <v>21</v>
      </c>
      <c r="C31" s="2"/>
      <c r="E31" s="291">
        <f>G31/G26</f>
        <v>1.0213107843042689E-2</v>
      </c>
      <c r="F31" s="125">
        <f t="shared" si="6"/>
        <v>0.30803983981928329</v>
      </c>
      <c r="G31" s="289">
        <v>18000</v>
      </c>
      <c r="H31" s="292">
        <v>0.01</v>
      </c>
      <c r="I31" s="125">
        <f t="shared" si="7"/>
        <v>0.30803983981928329</v>
      </c>
      <c r="J31" s="289">
        <v>18000</v>
      </c>
    </row>
    <row r="32" spans="2:20">
      <c r="B32" s="2" t="s">
        <v>94</v>
      </c>
      <c r="C32" s="9"/>
      <c r="D32" s="9"/>
      <c r="E32" s="9"/>
      <c r="F32" s="126">
        <f t="shared" si="6"/>
        <v>8.7283602012526948</v>
      </c>
      <c r="G32" s="127">
        <f>SUM(G27:G31)</f>
        <v>510033</v>
      </c>
      <c r="H32" s="127"/>
      <c r="I32" s="126">
        <f t="shared" si="7"/>
        <v>9.0463599958928018</v>
      </c>
      <c r="J32" s="127">
        <f>SUM(J27:J31)</f>
        <v>528615</v>
      </c>
      <c r="N32" s="1"/>
      <c r="O32" s="1"/>
    </row>
    <row r="33" spans="2:14">
      <c r="B33" s="9" t="s">
        <v>30</v>
      </c>
      <c r="C33" s="2"/>
      <c r="D33" s="2"/>
      <c r="E33" s="2"/>
      <c r="F33" s="124">
        <f t="shared" si="6"/>
        <v>21.432864428243832</v>
      </c>
      <c r="G33" s="12">
        <f>G26-G32</f>
        <v>1252408</v>
      </c>
      <c r="H33" s="12"/>
      <c r="I33" s="124">
        <f t="shared" si="7"/>
        <v>22.38808228086388</v>
      </c>
      <c r="J33" s="12">
        <f>J26-J32</f>
        <v>1308225.2</v>
      </c>
    </row>
    <row r="34" spans="2:14">
      <c r="B34" s="9"/>
      <c r="C34" s="2"/>
      <c r="D34" s="2"/>
      <c r="E34" s="2"/>
      <c r="F34" s="3"/>
      <c r="G34" s="14"/>
      <c r="H34" s="14"/>
      <c r="I34" s="3"/>
      <c r="J34" s="14"/>
    </row>
    <row r="35" spans="2:14">
      <c r="B35" s="15" t="s">
        <v>96</v>
      </c>
      <c r="C35" s="152" t="s">
        <v>95</v>
      </c>
      <c r="D35" s="152"/>
      <c r="E35" s="28">
        <v>5.5E-2</v>
      </c>
      <c r="F35" s="137">
        <f>G35/$D$19</f>
        <v>389.68844414988786</v>
      </c>
      <c r="G35" s="12">
        <f>G33/E35</f>
        <v>22771054.545454547</v>
      </c>
      <c r="H35" s="28">
        <v>5.5E-2</v>
      </c>
      <c r="I35" s="137">
        <f>J35/$D$19</f>
        <v>407.05604147025235</v>
      </c>
      <c r="J35" s="274">
        <f>J33/H35</f>
        <v>23785912.727272727</v>
      </c>
    </row>
    <row r="36" spans="2:14">
      <c r="B36" s="13" t="s">
        <v>97</v>
      </c>
      <c r="C36" s="128" t="s">
        <v>102</v>
      </c>
      <c r="D36" s="36">
        <v>25</v>
      </c>
      <c r="E36" s="36"/>
      <c r="F36" s="140">
        <f>G36/$D$19</f>
        <v>0</v>
      </c>
      <c r="G36" s="140">
        <v>0</v>
      </c>
      <c r="H36" s="139"/>
      <c r="I36" s="140">
        <f>J36/$D$19</f>
        <v>1.5654413526371633</v>
      </c>
      <c r="J36" s="140">
        <f>D36*D18</f>
        <v>91475</v>
      </c>
    </row>
    <row r="37" spans="2:14">
      <c r="B37" s="128" t="s">
        <v>98</v>
      </c>
      <c r="C37" s="128" t="s">
        <v>5</v>
      </c>
      <c r="D37" s="25">
        <v>0.05</v>
      </c>
      <c r="E37" s="25"/>
      <c r="F37" s="140">
        <f t="shared" ref="F37:F39" si="8">G37/$D$19</f>
        <v>0</v>
      </c>
      <c r="G37" s="140">
        <v>0</v>
      </c>
      <c r="H37" s="139"/>
      <c r="I37" s="140">
        <f t="shared" ref="I37:I39" si="9">J37/$D$19</f>
        <v>0.31308827052743265</v>
      </c>
      <c r="J37" s="140">
        <f>D37*J18*5</f>
        <v>18295</v>
      </c>
    </row>
    <row r="38" spans="2:14">
      <c r="B38" s="128" t="s">
        <v>99</v>
      </c>
      <c r="C38" s="128" t="s">
        <v>103</v>
      </c>
      <c r="D38" s="36">
        <v>2</v>
      </c>
      <c r="E38" s="36"/>
      <c r="F38" s="140">
        <f t="shared" si="8"/>
        <v>0</v>
      </c>
      <c r="G38" s="140">
        <v>0</v>
      </c>
      <c r="H38" s="139"/>
      <c r="I38" s="140">
        <f t="shared" si="9"/>
        <v>1.9104357052400984</v>
      </c>
      <c r="J38" s="213">
        <f>IF((J33-G33)*D38&lt;0,0,(J33-G33)*D38)</f>
        <v>111634.39999999991</v>
      </c>
    </row>
    <row r="39" spans="2:14">
      <c r="B39" s="13" t="s">
        <v>100</v>
      </c>
      <c r="C39" s="128" t="s">
        <v>102</v>
      </c>
      <c r="D39" s="125">
        <f>J39/D19</f>
        <v>5.9896635520416197</v>
      </c>
      <c r="E39" s="125"/>
      <c r="F39" s="140">
        <f t="shared" si="8"/>
        <v>5.9896635520416197</v>
      </c>
      <c r="G39" s="36">
        <f>J39</f>
        <v>350000</v>
      </c>
      <c r="H39" s="8"/>
      <c r="I39" s="140">
        <f t="shared" si="9"/>
        <v>5.9896635520416197</v>
      </c>
      <c r="J39" s="36">
        <v>350000</v>
      </c>
    </row>
    <row r="40" spans="2:14">
      <c r="B40" s="15" t="s">
        <v>101</v>
      </c>
      <c r="C40" s="16"/>
      <c r="D40" s="28"/>
      <c r="E40" s="28"/>
      <c r="F40" s="137">
        <f>G40/$D$19</f>
        <v>383.69878059784622</v>
      </c>
      <c r="G40" s="12">
        <f>G35-SUM(G36:G39)</f>
        <v>22421054.545454547</v>
      </c>
      <c r="H40" s="28"/>
      <c r="I40" s="137">
        <f>J40/$D$19</f>
        <v>397.27741258980609</v>
      </c>
      <c r="J40" s="274">
        <f>J35-SUM(J36:J39)</f>
        <v>23214508.327272728</v>
      </c>
    </row>
    <row r="41" spans="2:14">
      <c r="B41" s="13" t="s">
        <v>159</v>
      </c>
      <c r="C41" s="129"/>
      <c r="D41" s="130"/>
      <c r="E41" s="130"/>
      <c r="F41" s="181"/>
      <c r="G41" s="276">
        <v>25000000</v>
      </c>
      <c r="H41" s="130"/>
      <c r="I41" s="181"/>
      <c r="J41" s="131"/>
    </row>
    <row r="42" spans="2:14">
      <c r="B42" s="2"/>
      <c r="C42" s="2"/>
      <c r="D42" s="2"/>
      <c r="E42" s="2"/>
      <c r="F42" s="25"/>
      <c r="G42" s="4"/>
      <c r="H42" s="4"/>
      <c r="I42" s="11"/>
      <c r="J42" s="3"/>
      <c r="N42" s="138"/>
    </row>
    <row r="43" spans="2:14" outlineLevel="1">
      <c r="B43" s="18" t="s">
        <v>12</v>
      </c>
      <c r="C43" s="19"/>
      <c r="D43" s="19"/>
      <c r="E43" s="19"/>
      <c r="F43" s="20">
        <f>G43/$D$19</f>
        <v>383.69878059784622</v>
      </c>
      <c r="G43" s="20">
        <f>G40</f>
        <v>22421054.545454547</v>
      </c>
      <c r="H43" s="20"/>
      <c r="I43" s="20">
        <f>J43/$D$19</f>
        <v>397.27741258980609</v>
      </c>
      <c r="J43" s="268">
        <f>J40</f>
        <v>23214508.327272728</v>
      </c>
    </row>
    <row r="44" spans="2:14" outlineLevel="1">
      <c r="B44" s="2" t="s">
        <v>127</v>
      </c>
      <c r="C44" s="2"/>
      <c r="D44" s="2"/>
      <c r="E44" s="2"/>
      <c r="F44" s="140">
        <f t="shared" ref="F44" si="10">G44/$D$19</f>
        <v>286.6481842762775</v>
      </c>
      <c r="G44" s="180">
        <f>G60</f>
        <v>16750000</v>
      </c>
      <c r="H44" s="4"/>
      <c r="I44" s="140">
        <f t="shared" ref="I44" si="11">J44/$D$19</f>
        <v>397.8847930999076</v>
      </c>
      <c r="J44" s="180">
        <f>J60</f>
        <v>23250000</v>
      </c>
    </row>
    <row r="45" spans="2:14" outlineLevel="1">
      <c r="B45" s="2" t="s">
        <v>128</v>
      </c>
      <c r="C45" s="2"/>
      <c r="D45" s="2"/>
      <c r="E45" s="2"/>
      <c r="F45" s="12">
        <f>G45/$D$19</f>
        <v>97.050596321568719</v>
      </c>
      <c r="G45" s="12">
        <f>G43-G44</f>
        <v>5671054.5454545468</v>
      </c>
      <c r="I45" s="12">
        <f>J45/$D$19</f>
        <v>-0.60738051010151473</v>
      </c>
      <c r="J45" s="12">
        <f>J43-J44</f>
        <v>-35491.672727271914</v>
      </c>
    </row>
    <row r="46" spans="2:14" outlineLevel="1">
      <c r="B46" s="2" t="s">
        <v>129</v>
      </c>
      <c r="C46" s="2"/>
      <c r="D46" s="2"/>
      <c r="E46" s="2"/>
      <c r="F46" s="181"/>
      <c r="G46" s="176">
        <f>G45/G44</f>
        <v>0.33857042062415205</v>
      </c>
      <c r="H46" s="176"/>
      <c r="I46" s="181"/>
      <c r="J46" s="176">
        <f>J45/J44</f>
        <v>-1.5265235581622329E-3</v>
      </c>
    </row>
    <row r="47" spans="2:14" outlineLevel="1">
      <c r="B47" s="2" t="s">
        <v>130</v>
      </c>
      <c r="C47" s="2"/>
      <c r="D47" s="2"/>
      <c r="E47" s="2"/>
      <c r="F47" s="11"/>
      <c r="G47" s="176">
        <f>G33/G44</f>
        <v>7.4770626865671638E-2</v>
      </c>
      <c r="H47" s="4"/>
      <c r="I47" s="11"/>
      <c r="J47" s="176">
        <f>J33/J44</f>
        <v>5.6267750537634408E-2</v>
      </c>
    </row>
    <row r="48" spans="2:14" outlineLevel="1">
      <c r="B48" s="2"/>
      <c r="C48" s="2"/>
      <c r="D48" s="2"/>
      <c r="E48" s="2"/>
      <c r="F48" s="25"/>
      <c r="G48" s="4"/>
      <c r="H48" s="4"/>
      <c r="I48" s="11"/>
      <c r="J48" s="3"/>
    </row>
    <row r="49" spans="2:21" outlineLevel="1">
      <c r="B49" s="225" t="s">
        <v>119</v>
      </c>
      <c r="C49" s="224"/>
      <c r="D49" s="224"/>
      <c r="E49" s="224"/>
      <c r="F49" s="224"/>
      <c r="G49" s="224" t="str">
        <f>G10</f>
        <v>In-Place</v>
      </c>
      <c r="H49" s="224"/>
      <c r="I49" s="224" t="s">
        <v>17</v>
      </c>
      <c r="J49" s="226" t="str">
        <f>J10</f>
        <v>Stabilized</v>
      </c>
    </row>
    <row r="50" spans="2:21" outlineLevel="1">
      <c r="B50" s="2" t="s">
        <v>120</v>
      </c>
      <c r="C50" s="2"/>
      <c r="D50" s="2"/>
      <c r="E50" s="2"/>
      <c r="F50" s="25"/>
      <c r="G50" s="4"/>
      <c r="H50" s="4"/>
      <c r="I50" s="11"/>
      <c r="J50" s="3"/>
    </row>
    <row r="51" spans="2:21" outlineLevel="1">
      <c r="B51" s="106" t="s">
        <v>121</v>
      </c>
      <c r="C51" s="44"/>
      <c r="D51" s="2"/>
      <c r="E51" s="4"/>
      <c r="F51" s="177">
        <f>G51/$D$19</f>
        <v>68.453297737618513</v>
      </c>
      <c r="G51" s="184">
        <v>4000000</v>
      </c>
      <c r="H51" s="4"/>
      <c r="I51" s="177">
        <f>J51/$D$19</f>
        <v>68.453297737618513</v>
      </c>
      <c r="J51" s="184">
        <v>4000000</v>
      </c>
    </row>
    <row r="52" spans="2:21" outlineLevel="1">
      <c r="B52" s="106" t="s">
        <v>24</v>
      </c>
      <c r="C52" s="45"/>
      <c r="D52" s="2"/>
      <c r="E52" s="4"/>
      <c r="F52" s="174">
        <f t="shared" ref="F52:F60" si="12">G52/$D$19</f>
        <v>25.669986651606941</v>
      </c>
      <c r="G52" s="174">
        <f>G53-G51</f>
        <v>1500000</v>
      </c>
      <c r="H52" s="4"/>
      <c r="I52" s="174">
        <f t="shared" ref="I52:I60" si="13">J52/$D$19</f>
        <v>25.669986651606941</v>
      </c>
      <c r="J52" s="174">
        <f>J53-J51</f>
        <v>1500000</v>
      </c>
    </row>
    <row r="53" spans="2:21" outlineLevel="1">
      <c r="B53" s="106" t="s">
        <v>122</v>
      </c>
      <c r="C53" s="45"/>
      <c r="D53" s="2"/>
      <c r="E53" s="4"/>
      <c r="F53" s="177">
        <f t="shared" si="12"/>
        <v>94.123284389225446</v>
      </c>
      <c r="G53" s="183">
        <v>5500000</v>
      </c>
      <c r="H53" s="4"/>
      <c r="I53" s="177">
        <f t="shared" si="13"/>
        <v>94.123284389225446</v>
      </c>
      <c r="J53" s="183">
        <v>5500000</v>
      </c>
    </row>
    <row r="54" spans="2:21" outlineLevel="1">
      <c r="B54" s="106" t="s">
        <v>27</v>
      </c>
      <c r="C54" s="45"/>
      <c r="D54" s="2"/>
      <c r="E54" s="4"/>
      <c r="F54" s="150">
        <f t="shared" si="12"/>
        <v>12.83499332580347</v>
      </c>
      <c r="G54" s="36">
        <v>750000</v>
      </c>
      <c r="H54" s="4"/>
      <c r="I54" s="150">
        <f t="shared" si="13"/>
        <v>12.83499332580347</v>
      </c>
      <c r="J54" s="36">
        <v>750000</v>
      </c>
    </row>
    <row r="55" spans="2:21" outlineLevel="1">
      <c r="B55" s="106" t="s">
        <v>25</v>
      </c>
      <c r="C55" s="45"/>
      <c r="D55" s="2"/>
      <c r="E55" s="4"/>
      <c r="F55" s="150">
        <f t="shared" si="12"/>
        <v>94.123284389225446</v>
      </c>
      <c r="G55" s="36">
        <v>5500000</v>
      </c>
      <c r="H55" s="4"/>
      <c r="I55" s="150">
        <f t="shared" si="13"/>
        <v>162.57658212684396</v>
      </c>
      <c r="J55" s="36">
        <v>9500000</v>
      </c>
    </row>
    <row r="56" spans="2:21" outlineLevel="1">
      <c r="B56" s="106" t="s">
        <v>124</v>
      </c>
      <c r="C56" s="45"/>
      <c r="D56" s="2"/>
      <c r="E56" s="176">
        <f>G56/G55</f>
        <v>3.6363636363636362E-2</v>
      </c>
      <c r="F56" s="150">
        <f t="shared" si="12"/>
        <v>3.4226648868809253</v>
      </c>
      <c r="G56" s="36">
        <v>200000</v>
      </c>
      <c r="H56" s="176">
        <f>J56/J55</f>
        <v>4.2105263157894736E-2</v>
      </c>
      <c r="I56" s="150">
        <f t="shared" si="13"/>
        <v>6.8453297737618506</v>
      </c>
      <c r="J56" s="36">
        <v>400000</v>
      </c>
    </row>
    <row r="57" spans="2:21" outlineLevel="1">
      <c r="B57" s="106" t="s">
        <v>26</v>
      </c>
      <c r="C57" s="45"/>
      <c r="D57" s="2"/>
      <c r="E57" s="4"/>
      <c r="F57" s="150">
        <f t="shared" si="12"/>
        <v>54.762638190094805</v>
      </c>
      <c r="G57" s="36">
        <v>3200000</v>
      </c>
      <c r="H57" s="4"/>
      <c r="I57" s="150">
        <f t="shared" si="13"/>
        <v>71.875962624499437</v>
      </c>
      <c r="J57" s="36">
        <v>4200000</v>
      </c>
    </row>
    <row r="58" spans="2:21" outlineLevel="1">
      <c r="B58" s="106" t="s">
        <v>125</v>
      </c>
      <c r="C58" s="45"/>
      <c r="D58" s="2"/>
      <c r="E58" s="176">
        <f>G58/SUM(G53:G57,G59)</f>
        <v>2.4464831804281346E-2</v>
      </c>
      <c r="F58" s="150">
        <f t="shared" si="12"/>
        <v>6.8453297737618506</v>
      </c>
      <c r="G58" s="36">
        <v>400000</v>
      </c>
      <c r="H58" s="176">
        <f>J58/SUM(J53:J57,J59)</f>
        <v>1.7505470459518599E-2</v>
      </c>
      <c r="I58" s="150">
        <f t="shared" si="13"/>
        <v>6.8453297737618506</v>
      </c>
      <c r="J58" s="36">
        <v>400000</v>
      </c>
    </row>
    <row r="59" spans="2:21" outlineLevel="1">
      <c r="B59" s="106" t="s">
        <v>28</v>
      </c>
      <c r="C59" s="45"/>
      <c r="D59" s="2"/>
      <c r="E59" s="4"/>
      <c r="F59" s="150">
        <f t="shared" si="12"/>
        <v>20.535989321285552</v>
      </c>
      <c r="G59" s="36">
        <v>1200000</v>
      </c>
      <c r="H59" s="4"/>
      <c r="I59" s="150">
        <f t="shared" si="13"/>
        <v>42.783311086011565</v>
      </c>
      <c r="J59" s="36">
        <v>2500000</v>
      </c>
      <c r="N59" s="138"/>
      <c r="O59" s="138"/>
    </row>
    <row r="60" spans="2:21" outlineLevel="1">
      <c r="B60" s="269" t="s">
        <v>35</v>
      </c>
      <c r="C60" s="272"/>
      <c r="D60" s="272"/>
      <c r="E60" s="273"/>
      <c r="F60" s="239">
        <f t="shared" si="12"/>
        <v>286.6481842762775</v>
      </c>
      <c r="G60" s="240">
        <f>SUM(G53:G59)</f>
        <v>16750000</v>
      </c>
      <c r="H60" s="273"/>
      <c r="I60" s="239">
        <f t="shared" si="13"/>
        <v>397.8847930999076</v>
      </c>
      <c r="J60" s="271">
        <f>SUM(J53:J59)</f>
        <v>23250000</v>
      </c>
    </row>
    <row r="61" spans="2:21" outlineLevel="1">
      <c r="B61" s="2" t="s">
        <v>123</v>
      </c>
      <c r="C61" s="2"/>
      <c r="D61" s="2"/>
      <c r="E61" s="4"/>
      <c r="F61" s="11"/>
      <c r="G61" s="3"/>
      <c r="H61" s="4"/>
      <c r="I61" s="11"/>
      <c r="J61" s="3"/>
      <c r="M61" s="46" t="s">
        <v>7</v>
      </c>
      <c r="N61" s="47" t="s">
        <v>3</v>
      </c>
      <c r="O61" s="47"/>
      <c r="P61" s="47" t="s">
        <v>5</v>
      </c>
      <c r="Q61" s="47" t="s">
        <v>131</v>
      </c>
      <c r="R61" s="48" t="s">
        <v>4</v>
      </c>
      <c r="S61" s="48" t="s">
        <v>10</v>
      </c>
      <c r="T61" s="216" t="s">
        <v>34</v>
      </c>
      <c r="U61" s="281" t="s">
        <v>166</v>
      </c>
    </row>
    <row r="62" spans="2:21" outlineLevel="1">
      <c r="B62" s="106" t="s">
        <v>8</v>
      </c>
      <c r="C62" s="37" t="str">
        <f>+C70</f>
        <v>SMF</v>
      </c>
      <c r="D62" s="2"/>
      <c r="E62" s="175">
        <f>G62/$J$66</f>
        <v>0.4731182795698925</v>
      </c>
      <c r="F62" s="133">
        <f>G62/$D$19</f>
        <v>188.24656877845089</v>
      </c>
      <c r="G62" s="30">
        <v>11000000</v>
      </c>
      <c r="H62" s="175">
        <f>J62/$J$66</f>
        <v>0.55913978494623651</v>
      </c>
      <c r="I62" s="133">
        <f>J62/$D$19</f>
        <v>222.47321764726016</v>
      </c>
      <c r="J62" s="30">
        <v>13000000</v>
      </c>
      <c r="M62" s="188">
        <v>30</v>
      </c>
      <c r="N62" s="190">
        <v>0.03</v>
      </c>
      <c r="O62" s="190"/>
      <c r="P62" s="210">
        <f>+$M$70+N62</f>
        <v>7.4499999999999997E-2</v>
      </c>
      <c r="Q62" s="29">
        <v>0.5</v>
      </c>
      <c r="R62" s="190">
        <v>0.01</v>
      </c>
      <c r="S62" s="49">
        <f>R62*J62</f>
        <v>130000</v>
      </c>
      <c r="T62" s="50">
        <f>P62/12*M62*J62*Q62</f>
        <v>1210625</v>
      </c>
      <c r="U62" s="282">
        <f>R62/M62*12</f>
        <v>4.0000000000000001E-3</v>
      </c>
    </row>
    <row r="63" spans="2:21" outlineLevel="1">
      <c r="B63" s="106" t="s">
        <v>33</v>
      </c>
      <c r="C63" s="37" t="str">
        <f>+C71</f>
        <v>MLP</v>
      </c>
      <c r="D63" s="2"/>
      <c r="E63" s="178">
        <f t="shared" ref="E63:E66" si="14">G63/$J$66</f>
        <v>0.30107526881720431</v>
      </c>
      <c r="F63" s="132">
        <f t="shared" ref="F63:F64" si="15">G63/$D$19</f>
        <v>119.79327104083239</v>
      </c>
      <c r="G63" s="132">
        <f>G64-G62</f>
        <v>7000000</v>
      </c>
      <c r="H63" s="178">
        <f t="shared" ref="H63:H66" si="16">J63/$J$66</f>
        <v>0.21505376344086022</v>
      </c>
      <c r="I63" s="132">
        <f t="shared" ref="I63:I64" si="17">J63/$D$19</f>
        <v>85.566622172023131</v>
      </c>
      <c r="J63" s="132">
        <f>J64-J62</f>
        <v>5000000</v>
      </c>
      <c r="M63" s="188">
        <v>30</v>
      </c>
      <c r="N63" s="190">
        <v>7.0000000000000007E-2</v>
      </c>
      <c r="O63" s="190"/>
      <c r="P63" s="210">
        <f>+$M$70+N63</f>
        <v>0.1145</v>
      </c>
      <c r="Q63" s="29">
        <v>0.8</v>
      </c>
      <c r="R63" s="190">
        <v>0.02</v>
      </c>
      <c r="S63" s="43">
        <f>R63*J63</f>
        <v>100000</v>
      </c>
      <c r="T63" s="50">
        <f>P63/12*M63*J63*Q63</f>
        <v>1145000</v>
      </c>
      <c r="U63" s="282">
        <f t="shared" ref="U63:U64" si="18">R63/M63*12</f>
        <v>8.0000000000000002E-3</v>
      </c>
    </row>
    <row r="64" spans="2:21" outlineLevel="1">
      <c r="B64" s="179" t="s">
        <v>23</v>
      </c>
      <c r="C64" s="35"/>
      <c r="D64" s="9"/>
      <c r="E64" s="175">
        <f t="shared" si="14"/>
        <v>0.77419354838709675</v>
      </c>
      <c r="F64" s="133">
        <f t="shared" si="15"/>
        <v>308.03983981928332</v>
      </c>
      <c r="G64" s="30">
        <v>18000000</v>
      </c>
      <c r="H64" s="175">
        <f t="shared" si="16"/>
        <v>0.77419354838709675</v>
      </c>
      <c r="I64" s="133">
        <f t="shared" si="17"/>
        <v>308.03983981928332</v>
      </c>
      <c r="J64" s="30">
        <v>18000000</v>
      </c>
      <c r="M64" s="189">
        <v>30</v>
      </c>
      <c r="N64" s="205">
        <f>SUMPRODUCT(F62:F63,N62:N63)/F64</f>
        <v>4.5555555555555551E-2</v>
      </c>
      <c r="O64" s="205"/>
      <c r="P64" s="205">
        <f>SUMPRODUCT(G62:G63,P62:P63)/G64</f>
        <v>9.0055555555555555E-2</v>
      </c>
      <c r="Q64" s="192">
        <f>T64/(G64*M64/12*P64)</f>
        <v>0.5812769895126465</v>
      </c>
      <c r="R64" s="191">
        <f>SUMPRODUCT(G62:G63,R62:R63)/G64</f>
        <v>1.3888888888888888E-2</v>
      </c>
      <c r="S64" s="51">
        <f>SUM(S62:S63)</f>
        <v>230000</v>
      </c>
      <c r="T64" s="52">
        <f>SUM(T62:T63)</f>
        <v>2355625</v>
      </c>
      <c r="U64" s="283">
        <f t="shared" si="18"/>
        <v>5.5555555555555549E-3</v>
      </c>
    </row>
    <row r="65" spans="2:21" outlineLevel="1">
      <c r="B65" s="106" t="s">
        <v>9</v>
      </c>
      <c r="C65" s="2"/>
      <c r="E65" s="175">
        <f t="shared" si="14"/>
        <v>-5.3763440860215055E-2</v>
      </c>
      <c r="F65" s="34">
        <f>G65/$D$19</f>
        <v>-21.391655543005783</v>
      </c>
      <c r="G65" s="34">
        <f>G66-G64</f>
        <v>-1250000</v>
      </c>
      <c r="H65" s="175">
        <f t="shared" si="16"/>
        <v>0.22580645161290322</v>
      </c>
      <c r="I65" s="34">
        <f>J65/$D$19</f>
        <v>89.844953280624296</v>
      </c>
      <c r="J65" s="34">
        <f>J66-J64</f>
        <v>5250000</v>
      </c>
      <c r="N65" s="1"/>
      <c r="P65" s="42"/>
      <c r="S65" s="185" t="s">
        <v>132</v>
      </c>
      <c r="T65" s="55">
        <f>SUM(S64:T64)</f>
        <v>2585625</v>
      </c>
    </row>
    <row r="66" spans="2:21" outlineLevel="1">
      <c r="B66" s="269" t="s">
        <v>126</v>
      </c>
      <c r="C66" s="270"/>
      <c r="D66" s="270"/>
      <c r="E66" s="238">
        <f t="shared" si="14"/>
        <v>0.72043010752688175</v>
      </c>
      <c r="F66" s="239">
        <f>G66/$D$19</f>
        <v>286.6481842762775</v>
      </c>
      <c r="G66" s="240">
        <f>G60</f>
        <v>16750000</v>
      </c>
      <c r="H66" s="238">
        <f t="shared" si="16"/>
        <v>1</v>
      </c>
      <c r="I66" s="239">
        <f>J66/$D$19</f>
        <v>397.8847930999076</v>
      </c>
      <c r="J66" s="271">
        <f>J60</f>
        <v>23250000</v>
      </c>
      <c r="N66" s="1"/>
      <c r="P66" s="42"/>
      <c r="S66" s="185" t="s">
        <v>133</v>
      </c>
      <c r="T66" s="186">
        <f>J59-T65</f>
        <v>-85625</v>
      </c>
      <c r="U66" s="1" t="str">
        <f>IF(T66&lt;0, "Financing Budget Insufficient", "Financing Budget Okay")</f>
        <v>Financing Budget Insufficient</v>
      </c>
    </row>
    <row r="67" spans="2:21" outlineLevel="1">
      <c r="B67" s="2"/>
      <c r="E67" s="182"/>
      <c r="F67" s="181"/>
      <c r="G67" s="131"/>
      <c r="H67" s="182"/>
      <c r="I67" s="181"/>
      <c r="J67" s="131"/>
    </row>
    <row r="68" spans="2:21" outlineLevel="1">
      <c r="B68" s="2"/>
      <c r="C68" s="2"/>
      <c r="D68" s="2"/>
      <c r="E68" s="2"/>
      <c r="F68" s="25"/>
      <c r="G68" s="4"/>
      <c r="H68" s="4"/>
      <c r="I68" s="11"/>
      <c r="J68" s="3"/>
    </row>
    <row r="69" spans="2:21" outlineLevel="1">
      <c r="B69" s="225" t="s">
        <v>22</v>
      </c>
      <c r="C69" s="224"/>
      <c r="D69" s="224"/>
      <c r="E69" s="224"/>
      <c r="F69" s="224" t="s">
        <v>17</v>
      </c>
      <c r="G69" s="224" t="s">
        <v>106</v>
      </c>
      <c r="H69" s="224"/>
      <c r="I69" s="224" t="s">
        <v>17</v>
      </c>
      <c r="J69" s="226" t="s">
        <v>105</v>
      </c>
      <c r="M69" s="206">
        <f>S76</f>
        <v>5116500</v>
      </c>
      <c r="N69" s="207" t="s">
        <v>143</v>
      </c>
      <c r="O69" s="207"/>
      <c r="P69" s="207"/>
    </row>
    <row r="70" spans="2:21" outlineLevel="1">
      <c r="B70" s="2" t="s">
        <v>8</v>
      </c>
      <c r="C70" s="37" t="s">
        <v>2</v>
      </c>
      <c r="D70" s="2"/>
      <c r="E70" s="2"/>
      <c r="F70" s="133">
        <f>G70/$D$19</f>
        <v>222.47321764726016</v>
      </c>
      <c r="G70" s="30">
        <v>13000000</v>
      </c>
      <c r="H70" s="30"/>
      <c r="I70" s="133">
        <f>J70/$D$19</f>
        <v>222.47321764726016</v>
      </c>
      <c r="J70" s="30">
        <v>13000000</v>
      </c>
      <c r="M70" s="208">
        <v>4.4499999999999998E-2</v>
      </c>
      <c r="N70" s="209" t="s">
        <v>13</v>
      </c>
      <c r="O70" s="209"/>
      <c r="P70" s="209"/>
    </row>
    <row r="71" spans="2:21" outlineLevel="1">
      <c r="B71" s="2" t="s">
        <v>33</v>
      </c>
      <c r="C71" s="37" t="s">
        <v>1</v>
      </c>
      <c r="D71" s="2"/>
      <c r="E71" s="2"/>
      <c r="F71" s="132">
        <f t="shared" ref="F71:F72" si="19">G71/$D$19</f>
        <v>188.24656877845089</v>
      </c>
      <c r="G71" s="132">
        <v>11000000</v>
      </c>
      <c r="H71" s="38"/>
      <c r="I71" s="132">
        <f t="shared" ref="I71:I72" si="20">J71/$D$19</f>
        <v>188.24656877845089</v>
      </c>
      <c r="J71" s="132">
        <f>G71</f>
        <v>11000000</v>
      </c>
      <c r="S71" s="142" t="s">
        <v>106</v>
      </c>
      <c r="T71" s="142" t="s">
        <v>105</v>
      </c>
    </row>
    <row r="72" spans="2:21" outlineLevel="1">
      <c r="B72" s="9" t="s">
        <v>23</v>
      </c>
      <c r="C72" s="35"/>
      <c r="D72" s="9"/>
      <c r="E72" s="9"/>
      <c r="F72" s="133">
        <f t="shared" si="19"/>
        <v>308.03983981928332</v>
      </c>
      <c r="G72" s="30">
        <v>18000000</v>
      </c>
      <c r="H72" s="10"/>
      <c r="I72" s="133">
        <f t="shared" si="20"/>
        <v>308.03983981928332</v>
      </c>
      <c r="J72" s="30">
        <v>18000000</v>
      </c>
      <c r="M72" s="46" t="s">
        <v>7</v>
      </c>
      <c r="N72" s="47" t="s">
        <v>3</v>
      </c>
      <c r="O72" s="47"/>
      <c r="P72" s="47" t="s">
        <v>5</v>
      </c>
      <c r="Q72" s="48" t="s">
        <v>4</v>
      </c>
      <c r="R72" s="48" t="s">
        <v>10</v>
      </c>
      <c r="S72" s="216" t="s">
        <v>34</v>
      </c>
      <c r="T72" s="216" t="s">
        <v>34</v>
      </c>
      <c r="U72" s="281" t="s">
        <v>166</v>
      </c>
    </row>
    <row r="73" spans="2:21" outlineLevel="1">
      <c r="B73" s="2" t="s">
        <v>157</v>
      </c>
      <c r="C73" s="2"/>
      <c r="F73" s="34">
        <f>G73/$D$19</f>
        <v>0</v>
      </c>
      <c r="G73" s="34">
        <v>0</v>
      </c>
      <c r="H73" s="31"/>
      <c r="I73" s="34">
        <f>J73/$D$19</f>
        <v>0</v>
      </c>
      <c r="J73" s="34">
        <v>0</v>
      </c>
      <c r="M73" s="188">
        <v>30</v>
      </c>
      <c r="N73" s="190">
        <v>2.4500000000000001E-2</v>
      </c>
      <c r="O73" s="190"/>
      <c r="P73" s="210">
        <f>+$M$70+N73</f>
        <v>6.9000000000000006E-2</v>
      </c>
      <c r="Q73" s="190">
        <v>0.01</v>
      </c>
      <c r="R73" s="49">
        <f>Q73*J70</f>
        <v>130000</v>
      </c>
      <c r="S73" s="50">
        <f>P73/12*M73*G70</f>
        <v>2242500</v>
      </c>
      <c r="T73" s="50">
        <f>P73/12*M73*J70</f>
        <v>2242500</v>
      </c>
      <c r="U73" s="282">
        <f>Q73/M73*12</f>
        <v>4.0000000000000001E-3</v>
      </c>
    </row>
    <row r="74" spans="2:21" outlineLevel="1">
      <c r="B74" s="2" t="s">
        <v>9</v>
      </c>
      <c r="C74" s="2"/>
      <c r="F74" s="34">
        <f>G74/$D$19</f>
        <v>75.658940778562936</v>
      </c>
      <c r="G74" s="34">
        <f>G75-G72</f>
        <v>4421054.5454545468</v>
      </c>
      <c r="H74" s="31"/>
      <c r="I74" s="34">
        <f>J74/$D$19</f>
        <v>89.237572770522775</v>
      </c>
      <c r="J74" s="34">
        <f>J75-J72</f>
        <v>5214508.3272727281</v>
      </c>
      <c r="M74" s="188">
        <v>30</v>
      </c>
      <c r="N74" s="190">
        <v>5.0500000000000003E-2</v>
      </c>
      <c r="O74" s="190"/>
      <c r="P74" s="210">
        <f>+$M$70+N74</f>
        <v>9.5000000000000001E-2</v>
      </c>
      <c r="Q74" s="190">
        <f>R74/J71</f>
        <v>1.1954545454545454E-2</v>
      </c>
      <c r="R74" s="43">
        <v>131500</v>
      </c>
      <c r="S74" s="50">
        <f>P74/12*M74*G71</f>
        <v>2612500</v>
      </c>
      <c r="T74" s="50">
        <f>P74/12*M74*J71</f>
        <v>2612500</v>
      </c>
      <c r="U74" s="282">
        <f>Q74/M74*12</f>
        <v>4.7818181818181813E-3</v>
      </c>
    </row>
    <row r="75" spans="2:21" outlineLevel="1">
      <c r="B75" s="18" t="s">
        <v>12</v>
      </c>
      <c r="C75" s="19"/>
      <c r="D75" s="19"/>
      <c r="E75" s="19"/>
      <c r="F75" s="20">
        <f>G75/$D$19</f>
        <v>383.69878059784622</v>
      </c>
      <c r="G75" s="20">
        <f>G40</f>
        <v>22421054.545454547</v>
      </c>
      <c r="H75" s="20"/>
      <c r="I75" s="20">
        <f>J75/$D$19</f>
        <v>397.27741258980609</v>
      </c>
      <c r="J75" s="268">
        <f>J40</f>
        <v>23214508.327272728</v>
      </c>
      <c r="M75" s="189">
        <v>30</v>
      </c>
      <c r="N75" s="205">
        <f>SUMPRODUCT(F70:F71,N73:N74)/F72</f>
        <v>4.8555555555555553E-2</v>
      </c>
      <c r="O75" s="205"/>
      <c r="P75" s="205">
        <f>SUMPRODUCT(G70:G71,P73:P74)/G72</f>
        <v>0.1078888888888889</v>
      </c>
      <c r="Q75" s="205">
        <f>SUMPRODUCT(G70:G71,Q73:Q74)/G72</f>
        <v>1.4527777777777778E-2</v>
      </c>
      <c r="R75" s="51">
        <f>SUM(R73:R74)</f>
        <v>261500</v>
      </c>
      <c r="S75" s="52">
        <f>SUM(S73:S74)</f>
        <v>4855000</v>
      </c>
      <c r="T75" s="52">
        <f>SUM(T73:T74)</f>
        <v>4855000</v>
      </c>
      <c r="U75" s="283">
        <f>Q75/M75*12</f>
        <v>5.8111111111111106E-3</v>
      </c>
    </row>
    <row r="76" spans="2:21" outlineLevel="1">
      <c r="C76" s="42"/>
      <c r="M76" s="259"/>
      <c r="N76" s="260"/>
      <c r="O76" s="260"/>
      <c r="P76" s="260"/>
      <c r="Q76" s="260"/>
      <c r="R76" s="261"/>
      <c r="S76" s="55">
        <f>SUM(R75:S75)</f>
        <v>5116500</v>
      </c>
      <c r="T76" s="55">
        <f>+R75+T75</f>
        <v>5116500</v>
      </c>
    </row>
    <row r="77" spans="2:21">
      <c r="N77" s="285"/>
      <c r="O77" s="275"/>
      <c r="P77" s="285"/>
    </row>
    <row r="78" spans="2:21">
      <c r="B78" s="225" t="s">
        <v>29</v>
      </c>
      <c r="C78" s="224"/>
      <c r="D78" s="224"/>
      <c r="E78" s="224"/>
      <c r="F78" s="224"/>
      <c r="G78" s="224" t="s">
        <v>106</v>
      </c>
      <c r="H78" s="224"/>
      <c r="I78" s="224"/>
      <c r="J78" s="226" t="s">
        <v>105</v>
      </c>
    </row>
    <row r="79" spans="2:21">
      <c r="B79" s="122" t="str">
        <f>B70</f>
        <v>First Mortgage</v>
      </c>
      <c r="C79" s="144" t="s">
        <v>11</v>
      </c>
      <c r="D79" s="142"/>
      <c r="E79" s="142"/>
      <c r="G79" s="134">
        <f>G70/G75</f>
        <v>0.57981215707962808</v>
      </c>
      <c r="H79" s="134"/>
      <c r="I79" s="134"/>
      <c r="J79" s="134">
        <f>J70/J75</f>
        <v>0.55999462994128624</v>
      </c>
    </row>
    <row r="80" spans="2:21">
      <c r="B80" s="122"/>
      <c r="C80" s="144" t="s">
        <v>158</v>
      </c>
      <c r="D80" s="142"/>
      <c r="E80" s="142"/>
      <c r="G80" s="134">
        <f>G70/G41</f>
        <v>0.52</v>
      </c>
      <c r="H80" s="134"/>
      <c r="I80" s="134"/>
      <c r="J80" s="134">
        <f>+G80</f>
        <v>0.52</v>
      </c>
      <c r="K80" s="1" t="s">
        <v>160</v>
      </c>
    </row>
    <row r="81" spans="2:15">
      <c r="B81" s="135"/>
      <c r="C81" s="144" t="s">
        <v>104</v>
      </c>
      <c r="D81" s="142"/>
      <c r="E81" s="142"/>
      <c r="G81" s="134">
        <f>G33/G70</f>
        <v>9.6339076923076916E-2</v>
      </c>
      <c r="H81" s="134"/>
      <c r="I81" s="134"/>
      <c r="J81" s="134">
        <f>J33/J70</f>
        <v>0.10063270769230769</v>
      </c>
    </row>
    <row r="82" spans="2:15" ht="19.5" customHeight="1">
      <c r="B82" s="122" t="str">
        <f>B71</f>
        <v>Second Mortgage</v>
      </c>
      <c r="C82" s="144" t="s">
        <v>11</v>
      </c>
      <c r="D82" s="142"/>
      <c r="E82" s="142"/>
      <c r="G82" s="134">
        <f>G72/G75</f>
        <v>0.80281683287948502</v>
      </c>
      <c r="H82" s="134"/>
      <c r="I82" s="134"/>
      <c r="J82" s="134">
        <f>J72/J75</f>
        <v>0.77537717991870403</v>
      </c>
    </row>
    <row r="83" spans="2:15" ht="14.25" customHeight="1">
      <c r="B83" s="122"/>
      <c r="C83" s="144" t="s">
        <v>158</v>
      </c>
      <c r="D83" s="142"/>
      <c r="E83" s="142"/>
      <c r="G83" s="134">
        <f>G72/G41</f>
        <v>0.72</v>
      </c>
      <c r="H83" s="134"/>
      <c r="I83" s="134"/>
      <c r="J83" s="134">
        <f>+G83</f>
        <v>0.72</v>
      </c>
      <c r="K83" s="1" t="s">
        <v>160</v>
      </c>
    </row>
    <row r="84" spans="2:15">
      <c r="C84" s="144" t="s">
        <v>104</v>
      </c>
      <c r="D84" s="142"/>
      <c r="E84" s="142"/>
      <c r="G84" s="134">
        <f>G33/G72</f>
        <v>6.9578222222222222E-2</v>
      </c>
      <c r="H84" s="134"/>
      <c r="I84" s="134"/>
      <c r="J84" s="134">
        <f>J33/J72</f>
        <v>7.267917777777777E-2</v>
      </c>
    </row>
    <row r="85" spans="2:15">
      <c r="C85" s="144"/>
      <c r="D85" s="142"/>
      <c r="E85" s="142"/>
      <c r="G85" s="134"/>
      <c r="H85" s="134"/>
      <c r="I85" s="134"/>
      <c r="J85" s="134"/>
    </row>
    <row r="86" spans="2:15" outlineLevel="1">
      <c r="B86" s="217" t="s">
        <v>107</v>
      </c>
      <c r="C86" s="227"/>
      <c r="D86" s="224"/>
      <c r="E86" s="224"/>
      <c r="F86" s="224"/>
      <c r="G86" s="220" t="s">
        <v>106</v>
      </c>
      <c r="H86" s="220"/>
      <c r="I86" s="220"/>
      <c r="J86" s="228" t="s">
        <v>105</v>
      </c>
      <c r="N86" s="138"/>
      <c r="O86" s="138"/>
    </row>
    <row r="87" spans="2:15" outlineLevel="1"/>
    <row r="88" spans="2:15" outlineLevel="1">
      <c r="B88" s="122" t="str">
        <f>B79</f>
        <v>First Mortgage</v>
      </c>
      <c r="C88" s="136" t="s">
        <v>112</v>
      </c>
      <c r="F88" s="141"/>
      <c r="G88" s="149">
        <f>G70*$P$73</f>
        <v>897000.00000000012</v>
      </c>
      <c r="H88" s="150"/>
      <c r="I88" s="151"/>
      <c r="J88" s="149">
        <f>J70*$P$73</f>
        <v>897000.00000000012</v>
      </c>
    </row>
    <row r="89" spans="2:15" outlineLevel="1">
      <c r="C89" s="1" t="s">
        <v>109</v>
      </c>
      <c r="F89" s="146">
        <f>G33/G88</f>
        <v>1.3962185061315495</v>
      </c>
      <c r="G89" s="39">
        <f>G33-G88</f>
        <v>355407.99999999988</v>
      </c>
      <c r="I89" s="146">
        <f>J33/J88</f>
        <v>1.4584450390189518</v>
      </c>
      <c r="J89" s="39">
        <f>J33-J88</f>
        <v>411225.19999999984</v>
      </c>
      <c r="M89" s="39"/>
    </row>
    <row r="90" spans="2:15" ht="18" customHeight="1" outlineLevel="1">
      <c r="B90" s="2" t="str">
        <f>B82</f>
        <v>Second Mortgage</v>
      </c>
      <c r="C90" s="136" t="s">
        <v>112</v>
      </c>
      <c r="D90" s="136"/>
      <c r="E90" s="136"/>
      <c r="F90" s="141"/>
      <c r="G90" s="149">
        <f>G71*$P$74</f>
        <v>1045000</v>
      </c>
      <c r="H90" s="150"/>
      <c r="I90" s="151"/>
      <c r="J90" s="149">
        <f>J71*$P$74</f>
        <v>1045000</v>
      </c>
      <c r="M90" s="40"/>
    </row>
    <row r="91" spans="2:15" outlineLevel="1">
      <c r="B91" s="2" t="s">
        <v>0</v>
      </c>
      <c r="C91" s="1" t="s">
        <v>109</v>
      </c>
      <c r="D91" s="21"/>
      <c r="E91" s="21"/>
      <c r="F91" s="146">
        <f>G33/(G90+G88)</f>
        <v>0.64490628218331614</v>
      </c>
      <c r="G91" s="39">
        <f>G33-G88-G90</f>
        <v>-689592.00000000012</v>
      </c>
      <c r="H91" s="21"/>
      <c r="I91" s="146">
        <f>J33/(J90+J88)</f>
        <v>0.673648403707518</v>
      </c>
      <c r="J91" s="39">
        <f>J33-J88-J90</f>
        <v>-633774.80000000016</v>
      </c>
      <c r="M91" s="40"/>
    </row>
    <row r="93" spans="2:15" outlineLevel="1">
      <c r="B93" s="217" t="s">
        <v>108</v>
      </c>
      <c r="C93" s="227"/>
      <c r="D93" s="229"/>
      <c r="E93" s="229"/>
      <c r="F93" s="229"/>
      <c r="G93" s="220" t="s">
        <v>106</v>
      </c>
      <c r="H93" s="220"/>
      <c r="I93" s="220"/>
      <c r="J93" s="228" t="s">
        <v>105</v>
      </c>
      <c r="N93" s="138"/>
    </row>
    <row r="94" spans="2:15" outlineLevel="1">
      <c r="B94" s="143" t="s">
        <v>113</v>
      </c>
      <c r="D94" s="148"/>
      <c r="E94" s="148"/>
      <c r="F94" s="142"/>
      <c r="G94" s="39"/>
      <c r="J94" s="39"/>
      <c r="M94" s="41"/>
    </row>
    <row r="95" spans="2:15" outlineLevel="1">
      <c r="B95" s="212">
        <f>+J72</f>
        <v>18000000</v>
      </c>
      <c r="C95" s="32">
        <v>4.4999999999999998E-2</v>
      </c>
      <c r="D95" s="33">
        <v>30</v>
      </c>
      <c r="E95" s="33"/>
      <c r="F95" s="142"/>
      <c r="G95" s="145">
        <f>-PMT((C95/2+1)^(1/6)-1,D95*12,B95)*12</f>
        <v>1089105.5992184689</v>
      </c>
      <c r="J95" s="147">
        <f>G95</f>
        <v>1089105.5992184689</v>
      </c>
    </row>
    <row r="96" spans="2:15" outlineLevel="1">
      <c r="B96" s="1" t="s">
        <v>110</v>
      </c>
      <c r="F96" s="146">
        <f>G33/G95</f>
        <v>1.1499417511935621</v>
      </c>
      <c r="G96" s="39">
        <f>G33-G95</f>
        <v>163302.40078153112</v>
      </c>
      <c r="I96" s="146">
        <f>J33/J95</f>
        <v>1.201192245213659</v>
      </c>
      <c r="J96" s="39">
        <f>J33-J95</f>
        <v>219119.60078153107</v>
      </c>
    </row>
    <row r="98" spans="2:15" outlineLevel="1">
      <c r="B98" s="1" t="s">
        <v>161</v>
      </c>
      <c r="F98" s="277">
        <v>1.2</v>
      </c>
      <c r="G98" s="284">
        <f>PV(($C$95/2+1)^(1/6)-1,$D$95*12,-(G33/12/F98),0)</f>
        <v>17249126.267903462</v>
      </c>
      <c r="I98" s="277">
        <v>1.2</v>
      </c>
      <c r="J98" s="39">
        <f>PV(($C$95/2+1)^(1/6)-1,$D$95*12,-(J33/12/I98),0)</f>
        <v>18017883.678204913</v>
      </c>
    </row>
    <row r="99" spans="2:15" outlineLevel="1">
      <c r="B99" s="1" t="s">
        <v>162</v>
      </c>
      <c r="G99" s="280">
        <f>$B$95-G98</f>
        <v>750873.73209653795</v>
      </c>
      <c r="J99" s="280">
        <f>$B$95-J98</f>
        <v>-17883.678204912692</v>
      </c>
    </row>
    <row r="100" spans="2:15" outlineLevel="1">
      <c r="B100" s="1" t="s">
        <v>163</v>
      </c>
      <c r="C100" s="278">
        <v>0.14000000000000001</v>
      </c>
      <c r="G100" s="39">
        <f>-G99*$C$100</f>
        <v>-105122.32249351533</v>
      </c>
      <c r="J100" s="39">
        <f>-J99*$C$100</f>
        <v>2503.714948687777</v>
      </c>
    </row>
    <row r="101" spans="2:15" outlineLevel="1">
      <c r="B101" s="1" t="s">
        <v>164</v>
      </c>
      <c r="C101" s="278"/>
      <c r="G101" s="39">
        <f>G33-(G33/F98)+G100</f>
        <v>103612.3441731513</v>
      </c>
      <c r="J101" s="39">
        <f>J33-(J33/I98)+J100</f>
        <v>220541.248282021</v>
      </c>
    </row>
    <row r="102" spans="2:15" outlineLevel="1">
      <c r="B102" s="1" t="s">
        <v>165</v>
      </c>
      <c r="C102" s="278"/>
      <c r="G102" s="279">
        <f>G33/(G33/F98-G100)</f>
        <v>1.0901921448323864</v>
      </c>
      <c r="J102" s="279">
        <f>J33/(J33/I98-J100)</f>
        <v>1.2027622527055581</v>
      </c>
    </row>
    <row r="103" spans="2:15" outlineLevel="1"/>
    <row r="104" spans="2:15">
      <c r="B104" s="217" t="s">
        <v>31</v>
      </c>
      <c r="C104" s="227"/>
      <c r="D104" s="227"/>
      <c r="E104" s="227"/>
      <c r="F104" s="219"/>
      <c r="G104" s="220" t="s">
        <v>106</v>
      </c>
      <c r="H104" s="220"/>
      <c r="I104" s="220"/>
      <c r="J104" s="228" t="s">
        <v>105</v>
      </c>
      <c r="N104" s="138"/>
      <c r="O104" s="138"/>
    </row>
    <row r="105" spans="2:15">
      <c r="B105" s="2" t="str">
        <f>B88</f>
        <v>First Mortgage</v>
      </c>
      <c r="C105" s="2" t="s">
        <v>32</v>
      </c>
      <c r="D105" s="2"/>
      <c r="E105" s="2"/>
      <c r="F105" s="3"/>
      <c r="G105" s="265">
        <f>1-(((G70+SUM(G36:G37,G39))*E35+SUM(G27:G29))/G24)/(1-E30-E31)</f>
        <v>0.30853004065043077</v>
      </c>
      <c r="H105" s="54"/>
      <c r="I105" s="22"/>
      <c r="J105" s="265">
        <f>1-(((J70+SUM(J36:J37,J39))*H35+SUM(J27:J29))/J24)/(1-H30-H31)</f>
        <v>0.3574990862214027</v>
      </c>
      <c r="N105" s="211"/>
      <c r="O105" s="211"/>
    </row>
    <row r="106" spans="2:15">
      <c r="B106" s="2"/>
      <c r="C106" s="2" t="s">
        <v>111</v>
      </c>
      <c r="D106" s="2"/>
      <c r="E106" s="2"/>
      <c r="F106" s="3"/>
      <c r="G106" s="266">
        <f>-(((G70+SUM(G36:G37,G39))*E35+SUM(G27:G29))/(-(1-F25)*(1-E30-E31))+SUM(G20:G23))/D19</f>
        <v>14.232724212376597</v>
      </c>
      <c r="H106" s="53"/>
      <c r="I106" s="8"/>
      <c r="J106" s="266">
        <f>-(((J70+SUM(J36:J37,J39))*H35+SUM(J27:J29))/(-(1-I25)*(1-E30-E31))+SUM(J20:J23))/D19</f>
        <v>14.120489055568498</v>
      </c>
      <c r="M106" s="39"/>
      <c r="N106" s="211"/>
      <c r="O106" s="211"/>
    </row>
    <row r="107" spans="2:15" ht="18.75" customHeight="1">
      <c r="B107" s="122" t="str">
        <f>B90</f>
        <v>Second Mortgage</v>
      </c>
      <c r="C107" s="2" t="s">
        <v>32</v>
      </c>
      <c r="G107" s="265">
        <f>1-(((G72+SUM(G36:G37,G39))*E35+SUM(G27:G29))/G24)/(1-E30-E31)</f>
        <v>0.14478508027373393</v>
      </c>
      <c r="J107" s="265">
        <f>1-(((J72+SUM(J36:J37,J39))*H35+SUM(J27:J29))/J24)/(1-H30-H31)</f>
        <v>0.20850895116591994</v>
      </c>
      <c r="N107" s="211"/>
      <c r="O107" s="211"/>
    </row>
    <row r="108" spans="2:15">
      <c r="C108" s="2" t="s">
        <v>111</v>
      </c>
      <c r="G108" s="267">
        <f>-(((G72+SUM(G36:G37,G39))*E35+SUM(G27:G29))/(-(1-F25)*(1-E30-E31))+SUM(G20:G23))/D19</f>
        <v>19.171472744246159</v>
      </c>
      <c r="J108" s="267">
        <f>-(((J72+SUM(J36:J37,J39))*H35+SUM(J27:J29))/(-(1-I25)*(1-E30-E31))+SUM(J20:J23))/D19</f>
        <v>19.319171720694349</v>
      </c>
      <c r="N108" s="211"/>
      <c r="O108" s="211"/>
    </row>
    <row r="109" spans="2:15">
      <c r="N109" s="1"/>
      <c r="O109" s="1"/>
    </row>
    <row r="110" spans="2:15">
      <c r="N110" s="1"/>
      <c r="O110" s="1"/>
    </row>
    <row r="111" spans="2:15">
      <c r="F111" s="42"/>
      <c r="G111" s="42"/>
      <c r="N111" s="1"/>
      <c r="O111" s="1"/>
    </row>
    <row r="112" spans="2:15">
      <c r="F112" s="288" t="s">
        <v>140</v>
      </c>
      <c r="G112" s="288"/>
      <c r="H112" s="288"/>
      <c r="I112" s="288"/>
      <c r="J112" s="288"/>
      <c r="N112" s="1"/>
      <c r="O112" s="1"/>
    </row>
    <row r="113" spans="6:15">
      <c r="F113" s="233" t="s">
        <v>136</v>
      </c>
      <c r="G113" s="233"/>
      <c r="H113" s="233" t="s">
        <v>137</v>
      </c>
      <c r="I113" s="233" t="s">
        <v>138</v>
      </c>
      <c r="J113" s="233" t="s">
        <v>139</v>
      </c>
      <c r="N113" s="1"/>
      <c r="O113" s="1"/>
    </row>
    <row r="114" spans="6:15">
      <c r="F114" s="193">
        <f>+F115-0.5%</f>
        <v>4.7500000000000001E-2</v>
      </c>
      <c r="G114" s="256"/>
      <c r="H114" s="196">
        <f t="shared" ref="H114:H115" si="21">($J$33/F114)-SUM($J$36:$J$39)</f>
        <v>26970178.757894736</v>
      </c>
      <c r="I114" s="197">
        <f t="shared" ref="I114:I115" si="22">$J$70/H114</f>
        <v>0.48201386118713163</v>
      </c>
      <c r="J114" s="195">
        <f t="shared" ref="J114:J115" si="23">$J$72/H114</f>
        <v>0.66740380779756692</v>
      </c>
      <c r="N114" s="1"/>
      <c r="O114" s="1"/>
    </row>
    <row r="115" spans="6:15">
      <c r="F115" s="193">
        <f>+F116-0.25%</f>
        <v>5.2499999999999998E-2</v>
      </c>
      <c r="G115" s="256"/>
      <c r="H115" s="196">
        <f t="shared" si="21"/>
        <v>24347170.83809524</v>
      </c>
      <c r="I115" s="197">
        <f t="shared" si="22"/>
        <v>0.53394294090462924</v>
      </c>
      <c r="J115" s="195">
        <f t="shared" si="23"/>
        <v>0.73930561048333288</v>
      </c>
      <c r="N115" s="1"/>
      <c r="O115" s="1"/>
    </row>
    <row r="116" spans="6:15">
      <c r="F116" s="234">
        <f>H35</f>
        <v>5.5E-2</v>
      </c>
      <c r="G116" s="257"/>
      <c r="H116" s="235">
        <f>($J$33/F116)-SUM($J$36:$J$39)</f>
        <v>23214508.327272728</v>
      </c>
      <c r="I116" s="236">
        <f>$J$70/H116</f>
        <v>0.55999462994128624</v>
      </c>
      <c r="J116" s="237">
        <f>$J$72/H116</f>
        <v>0.77537717991870403</v>
      </c>
      <c r="N116" s="1"/>
      <c r="O116" s="1"/>
    </row>
    <row r="117" spans="6:15">
      <c r="F117" s="193">
        <f>+F116+0.25%</f>
        <v>5.7500000000000002E-2</v>
      </c>
      <c r="G117" s="256"/>
      <c r="H117" s="196">
        <f t="shared" ref="H117:H118" si="24">($J$33/F117)-SUM($J$36:$J$39)</f>
        <v>22180338.20869565</v>
      </c>
      <c r="I117" s="197">
        <f t="shared" ref="I117:I118" si="25">$J$70/H117</f>
        <v>0.58610467873314209</v>
      </c>
      <c r="J117" s="195">
        <f t="shared" ref="J117:J118" si="26">$J$72/H117</f>
        <v>0.81152955516896597</v>
      </c>
    </row>
    <row r="118" spans="6:15">
      <c r="F118" s="194">
        <f>+F117+0.5%</f>
        <v>6.25E-2</v>
      </c>
      <c r="G118" s="258"/>
      <c r="H118" s="198">
        <f t="shared" si="24"/>
        <v>20360198.800000001</v>
      </c>
      <c r="I118" s="199">
        <f t="shared" si="25"/>
        <v>0.63850064175208343</v>
      </c>
      <c r="J118" s="200">
        <f t="shared" si="26"/>
        <v>0.88407781165673094</v>
      </c>
    </row>
  </sheetData>
  <mergeCells count="1">
    <mergeCell ref="F112:J112"/>
  </mergeCells>
  <conditionalFormatting sqref="U62">
    <cfRule type="cellIs" dxfId="3" priority="4" operator="lessThan">
      <formula>0.0035</formula>
    </cfRule>
  </conditionalFormatting>
  <conditionalFormatting sqref="U63">
    <cfRule type="cellIs" dxfId="2" priority="3" operator="lessThan">
      <formula>0.0075</formula>
    </cfRule>
  </conditionalFormatting>
  <conditionalFormatting sqref="U73">
    <cfRule type="cellIs" dxfId="1" priority="2" operator="lessThan">
      <formula>0.0035</formula>
    </cfRule>
  </conditionalFormatting>
  <conditionalFormatting sqref="U74">
    <cfRule type="cellIs" dxfId="0" priority="1" operator="lessThan">
      <formula>0.0075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92BB-0CA6-4420-85E2-CA69170E3BE3}">
  <dimension ref="A1:O53"/>
  <sheetViews>
    <sheetView showGridLines="0" zoomScaleNormal="100" workbookViewId="0">
      <selection activeCell="E64" sqref="E28:E64"/>
    </sheetView>
  </sheetViews>
  <sheetFormatPr baseColWidth="10" defaultColWidth="8.6640625" defaultRowHeight="15"/>
  <cols>
    <col min="1" max="1" width="19" style="57" customWidth="1"/>
    <col min="2" max="2" width="10.1640625" style="77" customWidth="1"/>
    <col min="3" max="3" width="8.6640625" style="78"/>
    <col min="4" max="4" width="11.5" style="79" bestFit="1" customWidth="1"/>
    <col min="5" max="6" width="10.1640625" style="57" customWidth="1"/>
    <col min="7" max="7" width="5.6640625" style="57" customWidth="1"/>
    <col min="8" max="8" width="9.1640625" style="57" customWidth="1"/>
    <col min="9" max="9" width="15.83203125" style="59" bestFit="1" customWidth="1"/>
    <col min="10" max="10" width="6" style="59" customWidth="1"/>
    <col min="11" max="11" width="11.33203125" style="57" customWidth="1"/>
    <col min="12" max="12" width="14.1640625" style="57" bestFit="1" customWidth="1"/>
    <col min="13" max="13" width="6.83203125" style="59" customWidth="1"/>
    <col min="14" max="14" width="10.5" style="57" customWidth="1"/>
    <col min="15" max="15" width="8.83203125" style="57" customWidth="1"/>
    <col min="16" max="16" width="2.83203125" style="57" customWidth="1"/>
    <col min="17" max="16384" width="8.6640625" style="57"/>
  </cols>
  <sheetData>
    <row r="1" spans="1:15">
      <c r="A1" s="56"/>
      <c r="F1" s="56" t="s">
        <v>46</v>
      </c>
      <c r="G1" s="56"/>
      <c r="H1" s="58">
        <f ca="1">TODAY()</f>
        <v>46095</v>
      </c>
      <c r="I1" s="107"/>
      <c r="L1" s="57">
        <f ca="1">YEAR(H1)</f>
        <v>2026</v>
      </c>
    </row>
    <row r="2" spans="1:15">
      <c r="A2" s="80"/>
      <c r="K2" s="56"/>
    </row>
    <row r="3" spans="1:15">
      <c r="A3" s="217" t="s">
        <v>115</v>
      </c>
      <c r="B3" s="227"/>
      <c r="C3" s="227"/>
      <c r="D3" s="230"/>
      <c r="E3" s="224"/>
      <c r="F3" s="220"/>
      <c r="G3" s="220"/>
      <c r="H3" s="218"/>
      <c r="I3" s="231"/>
      <c r="K3" s="232" t="s">
        <v>116</v>
      </c>
      <c r="L3" s="218"/>
      <c r="M3" s="218"/>
      <c r="N3" s="218"/>
      <c r="O3" s="231"/>
    </row>
    <row r="4" spans="1:15">
      <c r="A4" s="159" t="s">
        <v>36</v>
      </c>
      <c r="B4" s="160" t="s">
        <v>40</v>
      </c>
      <c r="C4" s="160" t="s">
        <v>5</v>
      </c>
      <c r="D4" s="201" t="s">
        <v>41</v>
      </c>
      <c r="E4" s="203" t="s">
        <v>47</v>
      </c>
      <c r="F4" s="203" t="s">
        <v>48</v>
      </c>
      <c r="G4" s="202" t="s">
        <v>7</v>
      </c>
      <c r="H4" s="161" t="s">
        <v>49</v>
      </c>
      <c r="I4" s="162" t="s">
        <v>42</v>
      </c>
      <c r="K4" s="163" t="s">
        <v>117</v>
      </c>
      <c r="L4" s="164" t="s">
        <v>118</v>
      </c>
      <c r="M4" s="164" t="s">
        <v>6</v>
      </c>
      <c r="N4" s="164" t="s">
        <v>40</v>
      </c>
      <c r="O4" s="165" t="s">
        <v>6</v>
      </c>
    </row>
    <row r="5" spans="1:15">
      <c r="A5" s="80" t="s">
        <v>51</v>
      </c>
      <c r="B5" s="81">
        <v>9140</v>
      </c>
      <c r="C5" s="82">
        <v>33</v>
      </c>
      <c r="D5" s="63">
        <f>B5*C5</f>
        <v>301620</v>
      </c>
      <c r="E5" s="83">
        <v>42217</v>
      </c>
      <c r="F5" s="83">
        <v>44043</v>
      </c>
      <c r="G5" s="84">
        <f>(F5-E5)/365</f>
        <v>5.0027397260273974</v>
      </c>
      <c r="H5" s="84">
        <f t="shared" ref="H5:H28" ca="1" si="0">IF(F5&lt;TODAY(),0,(F5-$H$1)/365)</f>
        <v>0</v>
      </c>
      <c r="I5" s="97" t="s">
        <v>38</v>
      </c>
      <c r="K5" s="59" t="s">
        <v>44</v>
      </c>
      <c r="L5" s="166">
        <f>SUMIF(A5:A39,"Vacant",D5:D39)</f>
        <v>83154</v>
      </c>
      <c r="M5" s="167">
        <f t="shared" ref="M5:M11" ca="1" si="1">L5/$L$12</f>
        <v>5.7009656553052769E-2</v>
      </c>
      <c r="N5" s="168">
        <f>SUMIF(A5:A39,"Vacant",B5:B39)</f>
        <v>3659</v>
      </c>
      <c r="O5" s="169">
        <f t="shared" ref="O5:O11" ca="1" si="2">N5/$N$12</f>
        <v>6.2617654105486531E-2</v>
      </c>
    </row>
    <row r="6" spans="1:15">
      <c r="A6" s="80" t="s">
        <v>52</v>
      </c>
      <c r="B6" s="85">
        <v>8748</v>
      </c>
      <c r="C6" s="82">
        <v>15</v>
      </c>
      <c r="D6" s="63">
        <f t="shared" ref="D6:D28" si="3">B6*C6</f>
        <v>131220</v>
      </c>
      <c r="E6" s="86">
        <v>42461</v>
      </c>
      <c r="F6" s="83">
        <v>46112</v>
      </c>
      <c r="G6" s="84">
        <f>(F6-E6)/365</f>
        <v>10.002739726027396</v>
      </c>
      <c r="H6" s="84">
        <f ca="1">IF(F6&lt;TODAY(),0,(F6-$H$1)/365)</f>
        <v>4.6575342465753428E-2</v>
      </c>
      <c r="I6" s="97" t="s">
        <v>38</v>
      </c>
      <c r="K6" s="59">
        <f ca="1">L1</f>
        <v>2026</v>
      </c>
      <c r="L6" s="166">
        <f ca="1">SUMIF($F$5:$F$39,"&lt;="&amp;DATE(K6,12,31),$D$5:$D$39)</f>
        <v>1375441</v>
      </c>
      <c r="M6" s="167">
        <f t="shared" ca="1" si="1"/>
        <v>0.94299034344694721</v>
      </c>
      <c r="N6" s="168">
        <f ca="1">SUMIF($F$5:$F$39,"&lt;="&amp;DATE(K6,12,31),$B$5:$B$39)</f>
        <v>54775</v>
      </c>
      <c r="O6" s="169">
        <f t="shared" ca="1" si="2"/>
        <v>0.93738234589451341</v>
      </c>
    </row>
    <row r="7" spans="1:15">
      <c r="A7" s="87" t="s">
        <v>53</v>
      </c>
      <c r="B7" s="81">
        <v>4861</v>
      </c>
      <c r="C7" s="82">
        <v>20</v>
      </c>
      <c r="D7" s="63">
        <f t="shared" si="3"/>
        <v>97220</v>
      </c>
      <c r="E7" s="86">
        <v>42461</v>
      </c>
      <c r="F7" s="86">
        <v>43555</v>
      </c>
      <c r="G7" s="84">
        <f>(F7-E7)/365</f>
        <v>2.9972602739726026</v>
      </c>
      <c r="H7" s="84">
        <f ca="1">IF(F7&lt;TODAY(),0,(F7-$H$1)/365)</f>
        <v>0</v>
      </c>
      <c r="I7" s="97" t="s">
        <v>38</v>
      </c>
      <c r="K7" s="59">
        <f ca="1">K6+1</f>
        <v>2027</v>
      </c>
      <c r="L7" s="166">
        <f ca="1">SUMIF($F$5:$F$39,"&lt;="&amp;DATE(K7,12,31),$D$5:$D$39)-L6</f>
        <v>0</v>
      </c>
      <c r="M7" s="167">
        <f t="shared" ca="1" si="1"/>
        <v>0</v>
      </c>
      <c r="N7" s="168">
        <f ca="1">SUMIF($F$5:$F$39,"&lt;="&amp;DATE(K7,12,31),$B$5:$B$39)-N6</f>
        <v>0</v>
      </c>
      <c r="O7" s="169">
        <f t="shared" ca="1" si="2"/>
        <v>0</v>
      </c>
    </row>
    <row r="8" spans="1:15">
      <c r="A8" s="80" t="s">
        <v>54</v>
      </c>
      <c r="B8" s="81">
        <v>4125</v>
      </c>
      <c r="C8" s="82">
        <v>26</v>
      </c>
      <c r="D8" s="63">
        <f t="shared" si="3"/>
        <v>107250</v>
      </c>
      <c r="E8" s="83">
        <v>42339</v>
      </c>
      <c r="F8" s="83">
        <v>45991</v>
      </c>
      <c r="G8" s="84">
        <f t="shared" ref="G8:G28" si="4">(F8-E8)/365</f>
        <v>10.005479452054795</v>
      </c>
      <c r="H8" s="84">
        <f t="shared" ca="1" si="0"/>
        <v>0</v>
      </c>
      <c r="I8" s="97" t="s">
        <v>37</v>
      </c>
      <c r="K8" s="59">
        <f t="shared" ref="K8:K10" ca="1" si="5">K7+1</f>
        <v>2028</v>
      </c>
      <c r="L8" s="166">
        <f ca="1">SUMIF($F$5:$F$39,"&lt;="&amp;DATE(K8,12,31),$D$5:$D$39)-L7-L6</f>
        <v>0</v>
      </c>
      <c r="M8" s="167">
        <f t="shared" ca="1" si="1"/>
        <v>0</v>
      </c>
      <c r="N8" s="168">
        <f ca="1">SUMIF($F$5:$F$39,"&lt;="&amp;DATE(K8,12,31),$B$5:$B$39)-N7-N6</f>
        <v>0</v>
      </c>
      <c r="O8" s="169">
        <f t="shared" ca="1" si="2"/>
        <v>0</v>
      </c>
    </row>
    <row r="9" spans="1:15">
      <c r="A9" s="87" t="s">
        <v>55</v>
      </c>
      <c r="B9" s="85">
        <v>2854</v>
      </c>
      <c r="C9" s="82">
        <v>35</v>
      </c>
      <c r="D9" s="63">
        <f t="shared" si="3"/>
        <v>99890</v>
      </c>
      <c r="E9" s="83">
        <v>43040</v>
      </c>
      <c r="F9" s="83">
        <v>44865</v>
      </c>
      <c r="G9" s="84">
        <f t="shared" si="4"/>
        <v>5</v>
      </c>
      <c r="H9" s="84">
        <f t="shared" ca="1" si="0"/>
        <v>0</v>
      </c>
      <c r="I9" s="97" t="s">
        <v>38</v>
      </c>
      <c r="K9" s="59">
        <f t="shared" ca="1" si="5"/>
        <v>2029</v>
      </c>
      <c r="L9" s="166">
        <f ca="1">SUMIF($F$5:$F$39,"&lt;="&amp;DATE(K9,12,31),$D$5:$D$39)-L8-L7-L6</f>
        <v>0</v>
      </c>
      <c r="M9" s="167">
        <f t="shared" ca="1" si="1"/>
        <v>0</v>
      </c>
      <c r="N9" s="168">
        <f ca="1">SUMIF($F$5:$F$39,"&lt;="&amp;DATE(K9,12,31),$B$5:$B$39)-N8-N7-N6</f>
        <v>0</v>
      </c>
      <c r="O9" s="169">
        <f t="shared" ca="1" si="2"/>
        <v>0</v>
      </c>
    </row>
    <row r="10" spans="1:15">
      <c r="A10" s="87" t="s">
        <v>56</v>
      </c>
      <c r="B10" s="85">
        <v>2758</v>
      </c>
      <c r="C10" s="82">
        <v>36.5</v>
      </c>
      <c r="D10" s="63">
        <f t="shared" si="3"/>
        <v>100667</v>
      </c>
      <c r="E10" s="83">
        <v>41326</v>
      </c>
      <c r="F10" s="83">
        <v>44977</v>
      </c>
      <c r="G10" s="84">
        <f>(F10-E10)/365</f>
        <v>10.002739726027396</v>
      </c>
      <c r="H10" s="84">
        <f ca="1">IF(F10&lt;TODAY(),0,(F10-$H$1)/365)</f>
        <v>0</v>
      </c>
      <c r="I10" s="97" t="s">
        <v>38</v>
      </c>
      <c r="K10" s="59">
        <f t="shared" ca="1" si="5"/>
        <v>2030</v>
      </c>
      <c r="L10" s="166">
        <f ca="1">SUMIF($F$5:$F$39,"&lt;="&amp;DATE(K10,12,31),$D$5:$D$39)-L9-L8-L7-L6</f>
        <v>0</v>
      </c>
      <c r="M10" s="167">
        <f t="shared" ca="1" si="1"/>
        <v>0</v>
      </c>
      <c r="N10" s="168">
        <f ca="1">SUMIF($F$5:$F$39,"&lt;="&amp;DATE(K10,12,31),$B$5:$B$39)-N9-N8-N7-N6</f>
        <v>0</v>
      </c>
      <c r="O10" s="169">
        <f t="shared" ca="1" si="2"/>
        <v>0</v>
      </c>
    </row>
    <row r="11" spans="1:15">
      <c r="A11" s="80" t="s">
        <v>57</v>
      </c>
      <c r="B11" s="85">
        <v>2657</v>
      </c>
      <c r="C11" s="82">
        <v>7</v>
      </c>
      <c r="D11" s="63">
        <f t="shared" si="3"/>
        <v>18599</v>
      </c>
      <c r="E11" s="83">
        <v>42461</v>
      </c>
      <c r="F11" s="83">
        <v>44286</v>
      </c>
      <c r="G11" s="84">
        <f t="shared" si="4"/>
        <v>5</v>
      </c>
      <c r="H11" s="84">
        <f ca="1">IF(F11&lt;TODAY(),0,(F11-$H$1)/365)</f>
        <v>0</v>
      </c>
      <c r="I11" s="97" t="s">
        <v>37</v>
      </c>
      <c r="K11" s="154">
        <f ca="1">K10+1</f>
        <v>2031</v>
      </c>
      <c r="L11" s="170">
        <f ca="1">SUMIF($F$5:$F$39,"&gt;"&amp;DATE(K11,1,1),$D$5:$D$39)</f>
        <v>0</v>
      </c>
      <c r="M11" s="171">
        <f t="shared" ca="1" si="1"/>
        <v>0</v>
      </c>
      <c r="N11" s="172">
        <f ca="1">SUMIF($F$5:$F$39,"&gt;"&amp;DATE(K11,1,1),$B$5:$B$39)</f>
        <v>0</v>
      </c>
      <c r="O11" s="173">
        <f t="shared" ca="1" si="2"/>
        <v>0</v>
      </c>
    </row>
    <row r="12" spans="1:15">
      <c r="A12" s="87" t="s">
        <v>58</v>
      </c>
      <c r="B12" s="85">
        <v>2400</v>
      </c>
      <c r="C12" s="89">
        <v>24</v>
      </c>
      <c r="D12" s="63">
        <f t="shared" si="3"/>
        <v>57600</v>
      </c>
      <c r="E12" s="83">
        <v>41214</v>
      </c>
      <c r="F12" s="83">
        <v>44926</v>
      </c>
      <c r="G12" s="84">
        <f t="shared" si="4"/>
        <v>10.169863013698631</v>
      </c>
      <c r="H12" s="84">
        <f t="shared" ca="1" si="0"/>
        <v>0</v>
      </c>
      <c r="I12" s="97" t="s">
        <v>37</v>
      </c>
      <c r="K12" s="59" t="s">
        <v>0</v>
      </c>
      <c r="L12" s="61">
        <f ca="1">SUM(L5:L11)</f>
        <v>1458595</v>
      </c>
      <c r="M12" s="62">
        <f ca="1">SUM(M5:M11)</f>
        <v>1</v>
      </c>
      <c r="N12" s="151">
        <f ca="1">SUM(N5:N11)</f>
        <v>58434</v>
      </c>
      <c r="O12" s="62">
        <f ca="1">SUM(O5:O11)</f>
        <v>1</v>
      </c>
    </row>
    <row r="13" spans="1:15">
      <c r="A13" s="80" t="s">
        <v>59</v>
      </c>
      <c r="B13" s="85">
        <v>2363</v>
      </c>
      <c r="C13" s="82">
        <v>19</v>
      </c>
      <c r="D13" s="63">
        <f t="shared" si="3"/>
        <v>44897</v>
      </c>
      <c r="E13" s="83">
        <v>42826</v>
      </c>
      <c r="F13" s="83">
        <v>43921</v>
      </c>
      <c r="G13" s="84">
        <f t="shared" si="4"/>
        <v>3</v>
      </c>
      <c r="H13" s="84">
        <f t="shared" ca="1" si="0"/>
        <v>0</v>
      </c>
      <c r="I13" s="97" t="s">
        <v>39</v>
      </c>
    </row>
    <row r="14" spans="1:15">
      <c r="A14" s="87" t="s">
        <v>44</v>
      </c>
      <c r="B14" s="81">
        <v>1956</v>
      </c>
      <c r="C14" s="82">
        <v>29</v>
      </c>
      <c r="D14" s="63">
        <f t="shared" si="3"/>
        <v>56724</v>
      </c>
      <c r="E14" s="83"/>
      <c r="F14" s="83"/>
      <c r="G14" s="84">
        <f t="shared" si="4"/>
        <v>0</v>
      </c>
      <c r="H14" s="84">
        <f t="shared" ca="1" si="0"/>
        <v>0</v>
      </c>
      <c r="I14" s="97" t="s">
        <v>37</v>
      </c>
    </row>
    <row r="15" spans="1:15">
      <c r="A15" s="87" t="s">
        <v>60</v>
      </c>
      <c r="B15" s="81">
        <v>1631</v>
      </c>
      <c r="C15" s="82">
        <v>29</v>
      </c>
      <c r="D15" s="63">
        <f t="shared" si="3"/>
        <v>47299</v>
      </c>
      <c r="E15" s="83">
        <v>42917</v>
      </c>
      <c r="F15" s="83">
        <v>44742</v>
      </c>
      <c r="G15" s="84">
        <f t="shared" si="4"/>
        <v>5</v>
      </c>
      <c r="H15" s="84">
        <f t="shared" ca="1" si="0"/>
        <v>0</v>
      </c>
      <c r="I15" s="97" t="s">
        <v>37</v>
      </c>
      <c r="K15" s="56"/>
      <c r="L15" s="155">
        <f ca="1">L12-D40</f>
        <v>0</v>
      </c>
      <c r="M15" s="156"/>
      <c r="N15" s="157">
        <f ca="1">B40-N12</f>
        <v>0</v>
      </c>
      <c r="O15" s="158" t="s">
        <v>114</v>
      </c>
    </row>
    <row r="16" spans="1:15">
      <c r="A16" s="87" t="s">
        <v>61</v>
      </c>
      <c r="B16" s="81">
        <v>1580</v>
      </c>
      <c r="C16" s="82">
        <v>20.5</v>
      </c>
      <c r="D16" s="63">
        <f t="shared" si="3"/>
        <v>32390</v>
      </c>
      <c r="E16" s="83">
        <v>42064</v>
      </c>
      <c r="F16" s="83">
        <v>43890</v>
      </c>
      <c r="G16" s="84">
        <f t="shared" si="4"/>
        <v>5.0027397260273974</v>
      </c>
      <c r="H16" s="84">
        <f t="shared" ca="1" si="0"/>
        <v>0</v>
      </c>
      <c r="I16" s="97" t="s">
        <v>37</v>
      </c>
      <c r="K16" s="56"/>
    </row>
    <row r="17" spans="1:9">
      <c r="A17" s="80" t="s">
        <v>62</v>
      </c>
      <c r="B17" s="81">
        <v>1532</v>
      </c>
      <c r="C17" s="82">
        <v>43</v>
      </c>
      <c r="D17" s="63">
        <f t="shared" si="3"/>
        <v>65876</v>
      </c>
      <c r="E17" s="83">
        <v>39825</v>
      </c>
      <c r="F17" s="83">
        <v>43524</v>
      </c>
      <c r="G17" s="84">
        <f>(F17-E17)/365</f>
        <v>10.134246575342466</v>
      </c>
      <c r="H17" s="84">
        <f ca="1">IF(F17&lt;TODAY(),0,(F17-$H$1)/365)</f>
        <v>0</v>
      </c>
      <c r="I17" s="97" t="s">
        <v>38</v>
      </c>
    </row>
    <row r="18" spans="1:9">
      <c r="A18" s="87" t="s">
        <v>63</v>
      </c>
      <c r="B18" s="81">
        <v>1513</v>
      </c>
      <c r="C18" s="82">
        <v>22</v>
      </c>
      <c r="D18" s="63">
        <f t="shared" si="3"/>
        <v>33286</v>
      </c>
      <c r="E18" s="86">
        <v>42401</v>
      </c>
      <c r="F18" s="86">
        <v>44227</v>
      </c>
      <c r="G18" s="84">
        <f t="shared" si="4"/>
        <v>5.0027397260273974</v>
      </c>
      <c r="H18" s="84">
        <f t="shared" ca="1" si="0"/>
        <v>0</v>
      </c>
      <c r="I18" s="97" t="s">
        <v>37</v>
      </c>
    </row>
    <row r="19" spans="1:9">
      <c r="A19" s="87" t="s">
        <v>64</v>
      </c>
      <c r="B19" s="81">
        <v>1334</v>
      </c>
      <c r="C19" s="82">
        <v>28</v>
      </c>
      <c r="D19" s="63">
        <f t="shared" si="3"/>
        <v>37352</v>
      </c>
      <c r="E19" s="83">
        <v>42826</v>
      </c>
      <c r="F19" s="83">
        <v>44651</v>
      </c>
      <c r="G19" s="84">
        <f t="shared" si="4"/>
        <v>5</v>
      </c>
      <c r="H19" s="84">
        <f t="shared" ca="1" si="0"/>
        <v>0</v>
      </c>
      <c r="I19" s="97" t="s">
        <v>38</v>
      </c>
    </row>
    <row r="20" spans="1:9">
      <c r="A20" s="80" t="s">
        <v>65</v>
      </c>
      <c r="B20" s="81">
        <v>1236</v>
      </c>
      <c r="C20" s="82">
        <v>27</v>
      </c>
      <c r="D20" s="63">
        <f t="shared" si="3"/>
        <v>33372</v>
      </c>
      <c r="E20" s="98">
        <v>42339</v>
      </c>
      <c r="F20" s="98">
        <v>44227</v>
      </c>
      <c r="G20" s="84">
        <f t="shared" si="4"/>
        <v>5.1726027397260275</v>
      </c>
      <c r="H20" s="84">
        <f t="shared" ca="1" si="0"/>
        <v>0</v>
      </c>
      <c r="I20" s="97" t="s">
        <v>39</v>
      </c>
    </row>
    <row r="21" spans="1:9">
      <c r="A21" s="87" t="s">
        <v>66</v>
      </c>
      <c r="B21" s="81">
        <v>1057</v>
      </c>
      <c r="C21" s="82">
        <v>25</v>
      </c>
      <c r="D21" s="63">
        <f t="shared" si="3"/>
        <v>26425</v>
      </c>
      <c r="E21" s="83">
        <v>42309</v>
      </c>
      <c r="F21" s="83">
        <v>44135</v>
      </c>
      <c r="G21" s="84">
        <f t="shared" si="4"/>
        <v>5.0027397260273974</v>
      </c>
      <c r="H21" s="84">
        <f t="shared" ca="1" si="0"/>
        <v>0</v>
      </c>
      <c r="I21" s="97" t="s">
        <v>37</v>
      </c>
    </row>
    <row r="22" spans="1:9">
      <c r="A22" s="80" t="s">
        <v>67</v>
      </c>
      <c r="B22" s="85">
        <v>1057</v>
      </c>
      <c r="C22" s="82">
        <v>26</v>
      </c>
      <c r="D22" s="63">
        <f t="shared" si="3"/>
        <v>27482</v>
      </c>
      <c r="E22" s="83">
        <v>41671</v>
      </c>
      <c r="F22" s="83">
        <v>43616</v>
      </c>
      <c r="G22" s="84">
        <f t="shared" si="4"/>
        <v>5.3287671232876717</v>
      </c>
      <c r="H22" s="84">
        <f t="shared" ca="1" si="0"/>
        <v>0</v>
      </c>
      <c r="I22" s="97" t="s">
        <v>39</v>
      </c>
    </row>
    <row r="23" spans="1:9">
      <c r="A23" s="87" t="s">
        <v>68</v>
      </c>
      <c r="B23" s="99">
        <v>994</v>
      </c>
      <c r="C23" s="100">
        <v>32</v>
      </c>
      <c r="D23" s="63">
        <f t="shared" si="3"/>
        <v>31808</v>
      </c>
      <c r="E23" s="83">
        <v>42705</v>
      </c>
      <c r="F23" s="83">
        <v>44530</v>
      </c>
      <c r="G23" s="84">
        <f t="shared" si="4"/>
        <v>5</v>
      </c>
      <c r="H23" s="84">
        <f t="shared" ca="1" si="0"/>
        <v>0</v>
      </c>
      <c r="I23" s="97" t="s">
        <v>37</v>
      </c>
    </row>
    <row r="24" spans="1:9">
      <c r="A24" s="80" t="s">
        <v>69</v>
      </c>
      <c r="B24" s="85">
        <v>990</v>
      </c>
      <c r="C24" s="89">
        <v>27</v>
      </c>
      <c r="D24" s="63">
        <f t="shared" si="3"/>
        <v>26730</v>
      </c>
      <c r="E24" s="83">
        <v>41609</v>
      </c>
      <c r="F24" s="83">
        <v>45260</v>
      </c>
      <c r="G24" s="84">
        <f t="shared" si="4"/>
        <v>10.002739726027396</v>
      </c>
      <c r="H24" s="84">
        <f t="shared" ca="1" si="0"/>
        <v>0</v>
      </c>
      <c r="I24" s="97" t="s">
        <v>37</v>
      </c>
    </row>
    <row r="25" spans="1:9">
      <c r="A25" s="87" t="s">
        <v>70</v>
      </c>
      <c r="B25" s="81">
        <v>973</v>
      </c>
      <c r="C25" s="82">
        <v>26</v>
      </c>
      <c r="D25" s="63">
        <f t="shared" si="3"/>
        <v>25298</v>
      </c>
      <c r="E25" s="83">
        <v>42217</v>
      </c>
      <c r="F25" s="83">
        <v>44773</v>
      </c>
      <c r="G25" s="84">
        <f t="shared" si="4"/>
        <v>7.0027397260273974</v>
      </c>
      <c r="H25" s="84">
        <f t="shared" ca="1" si="0"/>
        <v>0</v>
      </c>
      <c r="I25" s="97" t="s">
        <v>38</v>
      </c>
    </row>
    <row r="26" spans="1:9">
      <c r="A26" s="87" t="s">
        <v>71</v>
      </c>
      <c r="B26" s="81">
        <v>972</v>
      </c>
      <c r="C26" s="82">
        <v>30</v>
      </c>
      <c r="D26" s="63">
        <f t="shared" si="3"/>
        <v>29160</v>
      </c>
      <c r="E26" s="83">
        <v>42675</v>
      </c>
      <c r="F26" s="83">
        <v>46326</v>
      </c>
      <c r="G26" s="84">
        <f t="shared" si="4"/>
        <v>10.002739726027396</v>
      </c>
      <c r="H26" s="84">
        <f t="shared" ca="1" si="0"/>
        <v>0.63287671232876708</v>
      </c>
      <c r="I26" s="97" t="s">
        <v>38</v>
      </c>
    </row>
    <row r="27" spans="1:9">
      <c r="A27" s="87" t="s">
        <v>44</v>
      </c>
      <c r="B27" s="81">
        <v>881</v>
      </c>
      <c r="C27" s="82">
        <v>30</v>
      </c>
      <c r="D27" s="63">
        <f t="shared" si="3"/>
        <v>26430</v>
      </c>
      <c r="E27" s="83"/>
      <c r="F27" s="83"/>
      <c r="G27" s="84">
        <f t="shared" si="4"/>
        <v>0</v>
      </c>
      <c r="H27" s="84">
        <f t="shared" ca="1" si="0"/>
        <v>0</v>
      </c>
      <c r="I27" s="97" t="s">
        <v>39</v>
      </c>
    </row>
    <row r="28" spans="1:9">
      <c r="A28" s="87" t="s">
        <v>44</v>
      </c>
      <c r="B28" s="85">
        <v>822</v>
      </c>
      <c r="C28" s="82">
        <v>0</v>
      </c>
      <c r="D28" s="63">
        <f t="shared" si="3"/>
        <v>0</v>
      </c>
      <c r="E28" s="83"/>
      <c r="F28" s="83"/>
      <c r="G28" s="84">
        <f t="shared" si="4"/>
        <v>0</v>
      </c>
      <c r="H28" s="84">
        <f t="shared" ca="1" si="0"/>
        <v>0</v>
      </c>
      <c r="I28" s="97" t="s">
        <v>38</v>
      </c>
    </row>
    <row r="29" spans="1:9">
      <c r="A29" s="80"/>
      <c r="B29" s="81"/>
      <c r="C29" s="82"/>
      <c r="D29" s="63"/>
      <c r="E29" s="83"/>
      <c r="F29" s="83"/>
      <c r="G29" s="84"/>
      <c r="H29" s="84"/>
      <c r="I29" s="97"/>
    </row>
    <row r="30" spans="1:9">
      <c r="A30" s="80"/>
      <c r="B30" s="81"/>
      <c r="C30" s="82"/>
      <c r="D30" s="63"/>
      <c r="E30" s="83"/>
      <c r="F30" s="83"/>
      <c r="G30" s="84"/>
      <c r="H30" s="84"/>
      <c r="I30" s="97"/>
    </row>
    <row r="31" spans="1:9">
      <c r="A31" s="80"/>
      <c r="B31" s="81"/>
      <c r="C31" s="82"/>
      <c r="D31" s="63"/>
      <c r="E31" s="83"/>
      <c r="F31" s="83"/>
      <c r="G31" s="84"/>
      <c r="H31" s="84"/>
      <c r="I31" s="97"/>
    </row>
    <row r="32" spans="1:9">
      <c r="A32" s="80"/>
      <c r="B32" s="81"/>
      <c r="C32" s="82"/>
      <c r="D32" s="63"/>
      <c r="E32" s="83"/>
      <c r="F32" s="83"/>
      <c r="G32" s="84"/>
      <c r="H32" s="84"/>
      <c r="I32" s="97"/>
    </row>
    <row r="33" spans="1:9">
      <c r="A33" s="80"/>
      <c r="B33" s="81"/>
      <c r="C33" s="82"/>
      <c r="D33" s="63"/>
      <c r="E33" s="83"/>
      <c r="F33" s="83"/>
      <c r="G33" s="84"/>
      <c r="H33" s="84"/>
      <c r="I33" s="97"/>
    </row>
    <row r="34" spans="1:9">
      <c r="A34" s="80"/>
      <c r="B34" s="81"/>
      <c r="C34" s="82"/>
      <c r="D34" s="63"/>
      <c r="E34" s="83"/>
      <c r="F34" s="83"/>
      <c r="G34" s="84"/>
      <c r="H34" s="84"/>
      <c r="I34" s="97"/>
    </row>
    <row r="35" spans="1:9">
      <c r="A35" s="80"/>
      <c r="B35" s="81"/>
      <c r="C35" s="82"/>
      <c r="D35" s="63"/>
      <c r="E35" s="83"/>
      <c r="F35" s="83"/>
      <c r="G35" s="84"/>
      <c r="H35" s="84"/>
      <c r="I35" s="97"/>
    </row>
    <row r="36" spans="1:9">
      <c r="A36" s="80"/>
      <c r="B36" s="81"/>
      <c r="C36" s="82"/>
      <c r="D36" s="63"/>
      <c r="E36" s="83"/>
      <c r="F36" s="83"/>
      <c r="G36" s="84"/>
      <c r="H36" s="84"/>
      <c r="I36" s="97"/>
    </row>
    <row r="37" spans="1:9">
      <c r="A37" s="80"/>
      <c r="B37" s="81"/>
      <c r="C37" s="82"/>
      <c r="D37" s="63"/>
      <c r="E37" s="83"/>
      <c r="F37" s="83"/>
      <c r="G37" s="84"/>
      <c r="H37" s="84"/>
      <c r="I37" s="97"/>
    </row>
    <row r="38" spans="1:9">
      <c r="A38" s="80"/>
      <c r="B38" s="81"/>
      <c r="C38" s="82"/>
      <c r="D38" s="63"/>
      <c r="E38" s="83"/>
      <c r="F38" s="83"/>
      <c r="G38" s="84"/>
      <c r="H38" s="84"/>
      <c r="I38" s="97"/>
    </row>
    <row r="39" spans="1:9">
      <c r="A39" s="101"/>
      <c r="B39" s="102"/>
      <c r="C39" s="103"/>
      <c r="D39" s="104"/>
      <c r="E39" s="105"/>
      <c r="F39" s="105"/>
      <c r="G39" s="96"/>
      <c r="H39" s="96"/>
      <c r="I39" s="97"/>
    </row>
    <row r="40" spans="1:9" ht="16" thickBot="1">
      <c r="A40" s="64" t="s">
        <v>0</v>
      </c>
      <c r="B40" s="65">
        <f>SUM(B5:B39)</f>
        <v>58434</v>
      </c>
      <c r="C40" s="66">
        <f>D40/B40</f>
        <v>24.961409453400417</v>
      </c>
      <c r="D40" s="67">
        <f>SUM(D5:D39)</f>
        <v>1458595</v>
      </c>
      <c r="E40" s="68"/>
      <c r="F40" s="68"/>
      <c r="G40" s="68" t="s">
        <v>43</v>
      </c>
      <c r="H40" s="69">
        <f ca="1">SUMPRODUCT(D5:D39,H5:H39)/D40</f>
        <v>1.6842441781209319E-2</v>
      </c>
      <c r="I40" s="108"/>
    </row>
    <row r="41" spans="1:9" ht="16" thickTop="1">
      <c r="A41" s="70" t="s">
        <v>44</v>
      </c>
      <c r="B41" s="71">
        <f>SUMIF(A5:A39, "Vacant", B5:B39)</f>
        <v>3659</v>
      </c>
      <c r="C41" s="72">
        <f>B41/B40</f>
        <v>6.2617654105486531E-2</v>
      </c>
      <c r="D41" s="71">
        <f>SUMIF(A5:A39, "Vacant", D5:D39)</f>
        <v>83154</v>
      </c>
      <c r="E41" s="73"/>
      <c r="F41" s="73"/>
      <c r="G41" s="73"/>
      <c r="H41" s="73"/>
      <c r="I41" s="109"/>
    </row>
    <row r="42" spans="1:9">
      <c r="A42" s="70" t="s">
        <v>45</v>
      </c>
      <c r="B42" s="71">
        <f>B40-B41</f>
        <v>54775</v>
      </c>
      <c r="C42" s="72">
        <f>B42/B40</f>
        <v>0.93738234589451341</v>
      </c>
      <c r="D42" s="74">
        <f>D40-D41</f>
        <v>1375441</v>
      </c>
      <c r="E42" s="73"/>
      <c r="F42" s="73"/>
      <c r="G42" s="73"/>
      <c r="H42" s="73"/>
      <c r="I42" s="109"/>
    </row>
    <row r="43" spans="1:9">
      <c r="A43" s="70" t="s">
        <v>91</v>
      </c>
      <c r="B43" s="71">
        <f>COUNTA(A5:A39)</f>
        <v>24</v>
      </c>
      <c r="C43" s="72"/>
      <c r="D43" s="74"/>
      <c r="E43" s="73"/>
      <c r="F43" s="73"/>
      <c r="G43" s="73"/>
      <c r="H43" s="73"/>
      <c r="I43" s="109"/>
    </row>
    <row r="44" spans="1:9">
      <c r="B44" s="90"/>
      <c r="C44" s="91"/>
      <c r="D44" s="92"/>
    </row>
    <row r="45" spans="1:9">
      <c r="A45" s="75" t="s">
        <v>73</v>
      </c>
      <c r="B45" s="93"/>
      <c r="C45" s="94"/>
      <c r="D45" s="88"/>
      <c r="E45" s="76"/>
      <c r="F45" s="76"/>
      <c r="G45" s="76"/>
      <c r="H45" s="76" t="s">
        <v>76</v>
      </c>
      <c r="I45" s="60"/>
    </row>
    <row r="46" spans="1:9">
      <c r="A46" s="57" t="str">
        <f t="shared" ref="A46:B50" si="6">A5</f>
        <v>Royal Bank</v>
      </c>
      <c r="B46" s="77">
        <f t="shared" si="6"/>
        <v>9140</v>
      </c>
      <c r="C46" s="78">
        <f>IFERROR(D46/B46,"")</f>
        <v>33</v>
      </c>
      <c r="D46" s="79">
        <f t="shared" ref="D46:E50" si="7">D5</f>
        <v>301620</v>
      </c>
      <c r="E46" s="83">
        <f t="shared" si="7"/>
        <v>42217</v>
      </c>
      <c r="F46" s="83">
        <f t="shared" ref="F46:H46" si="8">F5</f>
        <v>44043</v>
      </c>
      <c r="G46" s="84">
        <f t="shared" si="8"/>
        <v>5.0027397260273974</v>
      </c>
      <c r="H46" s="84">
        <f t="shared" ca="1" si="8"/>
        <v>0</v>
      </c>
      <c r="I46" s="97" t="str">
        <f t="shared" ref="I46" si="9">I5</f>
        <v>2 x 5</v>
      </c>
    </row>
    <row r="47" spans="1:9">
      <c r="A47" s="57" t="str">
        <f t="shared" si="6"/>
        <v>Dollarama</v>
      </c>
      <c r="B47" s="77">
        <f t="shared" si="6"/>
        <v>8748</v>
      </c>
      <c r="C47" s="78">
        <f t="shared" ref="C47:C52" si="10">IFERROR(D47/B47,"")</f>
        <v>15</v>
      </c>
      <c r="D47" s="79">
        <f t="shared" si="7"/>
        <v>131220</v>
      </c>
      <c r="E47" s="86">
        <f t="shared" si="7"/>
        <v>42461</v>
      </c>
      <c r="F47" s="86">
        <f t="shared" ref="F47:H50" si="11">F6</f>
        <v>46112</v>
      </c>
      <c r="G47" s="84">
        <f t="shared" si="11"/>
        <v>10.002739726027396</v>
      </c>
      <c r="H47" s="84">
        <f t="shared" ca="1" si="11"/>
        <v>4.6575342465753428E-2</v>
      </c>
      <c r="I47" s="97" t="str">
        <f t="shared" ref="I47" si="12">I6</f>
        <v>2 x 5</v>
      </c>
    </row>
    <row r="48" spans="1:9">
      <c r="A48" s="57" t="str">
        <f t="shared" si="6"/>
        <v>Reitmans</v>
      </c>
      <c r="B48" s="77">
        <f t="shared" si="6"/>
        <v>4861</v>
      </c>
      <c r="C48" s="78">
        <f t="shared" si="10"/>
        <v>20</v>
      </c>
      <c r="D48" s="79">
        <f t="shared" si="7"/>
        <v>97220</v>
      </c>
      <c r="E48" s="86">
        <f t="shared" si="7"/>
        <v>42461</v>
      </c>
      <c r="F48" s="83">
        <f t="shared" si="11"/>
        <v>43555</v>
      </c>
      <c r="G48" s="84">
        <f t="shared" si="11"/>
        <v>2.9972602739726026</v>
      </c>
      <c r="H48" s="84">
        <f t="shared" ca="1" si="11"/>
        <v>0</v>
      </c>
      <c r="I48" s="97" t="str">
        <f t="shared" ref="I48" si="13">I7</f>
        <v>2 x 5</v>
      </c>
    </row>
    <row r="49" spans="1:9">
      <c r="A49" s="57" t="str">
        <f t="shared" si="6"/>
        <v>Crown &amp; Tower Pub</v>
      </c>
      <c r="B49" s="77">
        <f t="shared" si="6"/>
        <v>4125</v>
      </c>
      <c r="C49" s="78">
        <f t="shared" si="10"/>
        <v>26</v>
      </c>
      <c r="D49" s="92">
        <f t="shared" si="7"/>
        <v>107250</v>
      </c>
      <c r="E49" s="83">
        <f t="shared" si="7"/>
        <v>42339</v>
      </c>
      <c r="F49" s="86">
        <f t="shared" si="11"/>
        <v>45991</v>
      </c>
      <c r="G49" s="95">
        <f t="shared" si="11"/>
        <v>10.005479452054795</v>
      </c>
      <c r="H49" s="95">
        <f t="shared" ca="1" si="11"/>
        <v>0</v>
      </c>
      <c r="I49" s="110" t="str">
        <f t="shared" ref="I49" si="14">I8</f>
        <v>1 x 5</v>
      </c>
    </row>
    <row r="50" spans="1:9">
      <c r="A50" s="57" t="str">
        <f t="shared" si="6"/>
        <v>Orange Theory Fitness</v>
      </c>
      <c r="B50" s="90">
        <f t="shared" si="6"/>
        <v>2854</v>
      </c>
      <c r="C50" s="78">
        <f t="shared" si="10"/>
        <v>35</v>
      </c>
      <c r="D50" s="92">
        <f t="shared" si="7"/>
        <v>99890</v>
      </c>
      <c r="E50" s="83">
        <f t="shared" si="7"/>
        <v>43040</v>
      </c>
      <c r="F50" s="83">
        <f t="shared" si="11"/>
        <v>44865</v>
      </c>
      <c r="G50" s="95">
        <f t="shared" si="11"/>
        <v>5</v>
      </c>
      <c r="H50" s="95">
        <f t="shared" ca="1" si="11"/>
        <v>0</v>
      </c>
      <c r="I50" s="110" t="str">
        <f t="shared" ref="I50" si="15">I9</f>
        <v>2 x 5</v>
      </c>
    </row>
    <row r="51" spans="1:9">
      <c r="A51" s="57" t="s">
        <v>50</v>
      </c>
      <c r="B51" s="90">
        <f>B53-B52-SUM(B46:B50)</f>
        <v>25047</v>
      </c>
      <c r="C51" s="78">
        <f t="shared" si="10"/>
        <v>25.48173433944185</v>
      </c>
      <c r="D51" s="90">
        <f>D53-D52-SUM(D46:D50)</f>
        <v>638241</v>
      </c>
      <c r="E51" s="83" t="s">
        <v>74</v>
      </c>
      <c r="F51" s="83" t="s">
        <v>74</v>
      </c>
      <c r="G51" s="95" t="s">
        <v>74</v>
      </c>
      <c r="H51" s="111">
        <f ca="1">(H53*D53-SUMPRODUCT(D46:D50,H46:H50))/D51</f>
        <v>2.8914916045046996E-2</v>
      </c>
      <c r="I51" s="110"/>
    </row>
    <row r="52" spans="1:9">
      <c r="A52" s="57" t="s">
        <v>44</v>
      </c>
      <c r="B52" s="90">
        <f>B41</f>
        <v>3659</v>
      </c>
      <c r="C52" s="78">
        <f t="shared" si="10"/>
        <v>22.725881388357475</v>
      </c>
      <c r="D52" s="90">
        <f>D41</f>
        <v>83154</v>
      </c>
      <c r="E52" s="83" t="s">
        <v>75</v>
      </c>
      <c r="F52" s="83" t="s">
        <v>75</v>
      </c>
      <c r="G52" s="95"/>
      <c r="H52" s="95">
        <v>0</v>
      </c>
      <c r="I52" s="110"/>
    </row>
    <row r="53" spans="1:9" ht="16" thickBot="1">
      <c r="A53" s="64" t="s">
        <v>0</v>
      </c>
      <c r="B53" s="65">
        <f>B40</f>
        <v>58434</v>
      </c>
      <c r="C53" s="66">
        <f t="shared" ref="C53" si="16">D53/B53</f>
        <v>24.961409453400417</v>
      </c>
      <c r="D53" s="67">
        <f>D40</f>
        <v>1458595</v>
      </c>
      <c r="E53" s="68"/>
      <c r="F53" s="68"/>
      <c r="G53" s="68">
        <f>SUMPRODUCT(G46:G50,B46:B50)/B53</f>
        <v>3.4798455205990506</v>
      </c>
      <c r="H53" s="69">
        <f ca="1">H40</f>
        <v>1.6842441781209319E-2</v>
      </c>
      <c r="I53" s="108"/>
    </row>
  </sheetData>
  <conditionalFormatting sqref="H5:I3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{9007C394-BCA2-4143-BF4B-7ABE542F756C}</x14:id>
        </ext>
      </extLst>
    </cfRule>
  </conditionalFormatting>
  <pageMargins left="0.7" right="0.7" top="0.75" bottom="0.75" header="0.3" footer="0.3"/>
  <pageSetup orientation="portrait" r:id="rId1"/>
  <ignoredErrors>
    <ignoredError sqref="C42 C40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07C394-BCA2-4143-BF4B-7ABE542F7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H5:I39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ortgage_x0020_Team xmlns="9484510b-f930-464b-a977-a0a887fa087d" xsi:nil="true"/>
    <TaxCatchAll xmlns="9484510b-f930-464b-a977-a0a887fa087d" xsi:nil="true"/>
    <lcf76f155ced4ddcb4097134ff3c332f xmlns="cc98b9f1-cbf8-4754-8156-c78c3741574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6CBC4442BBA345B6F8E9B92CFB4C32" ma:contentTypeVersion="32" ma:contentTypeDescription="Create a new document." ma:contentTypeScope="" ma:versionID="25ea3de78a38c37aa1381bad9950e435">
  <xsd:schema xmlns:xsd="http://www.w3.org/2001/XMLSchema" xmlns:xs="http://www.w3.org/2001/XMLSchema" xmlns:p="http://schemas.microsoft.com/office/2006/metadata/properties" xmlns:ns1="http://schemas.microsoft.com/sharepoint/v3" xmlns:ns2="9484510b-f930-464b-a977-a0a887fa087d" xmlns:ns3="759e9fdd-c438-405d-9144-ebb6db272c1d" xmlns:ns4="cc98b9f1-cbf8-4754-8156-c78c37415743" targetNamespace="http://schemas.microsoft.com/office/2006/metadata/properties" ma:root="true" ma:fieldsID="a87aee0b0b0f1e4416e761c5b417bd72" ns1:_="" ns2:_="" ns3:_="" ns4:_="">
    <xsd:import namespace="http://schemas.microsoft.com/sharepoint/v3"/>
    <xsd:import namespace="9484510b-f930-464b-a977-a0a887fa087d"/>
    <xsd:import namespace="759e9fdd-c438-405d-9144-ebb6db272c1d"/>
    <xsd:import namespace="cc98b9f1-cbf8-4754-8156-c78c374157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2:Mortgage_x0020_Team" minOccurs="0"/>
                <xsd:element ref="ns1:_ip_UnifiedCompliancePolicyProperties" minOccurs="0"/>
                <xsd:element ref="ns1:_ip_UnifiedCompliancePolicyUIAc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lcf76f155ced4ddcb4097134ff3c332f" minOccurs="0"/>
                <xsd:element ref="ns2:TaxCatchAll" minOccurs="0"/>
                <xsd:element ref="ns4:MediaServiceObjectDetectorVersion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4510b-f930-464b-a977-a0a887fa087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Mortgage_x0020_Team" ma:index="17" nillable="true" ma:displayName="Mortgage Team" ma:format="Dropdown" ma:internalName="Mortgage_x0020_Team">
      <xsd:simpleType>
        <xsd:restriction base="dms:Choice">
          <xsd:enumeration value="Andy Baines"/>
          <xsd:enumeration value="Antoni Kajetanowicz"/>
          <xsd:enumeration value="Amy McLandress"/>
          <xsd:enumeration value="Bryan Salazar"/>
          <xsd:enumeration value="Chris Enns"/>
          <xsd:enumeration value="Cynthia Zaharia"/>
          <xsd:enumeration value="Danielle Powell"/>
          <xsd:enumeration value="Frank Margani"/>
          <xsd:enumeration value="Jake Smith"/>
          <xsd:enumeration value="Jamie Dysart"/>
          <xsd:enumeration value="Justin Walton"/>
          <xsd:enumeration value="Luana Poverelli"/>
          <xsd:enumeration value="Michael Jarvela"/>
          <xsd:enumeration value="Michelle Child"/>
          <xsd:enumeration value="Scott Coates"/>
          <xsd:enumeration value="Shawn Feldon"/>
          <xsd:enumeration value="Tanya Lee"/>
        </xsd:restriction>
      </xsd:simpleType>
    </xsd:element>
    <xsd:element name="TaxCatchAll" ma:index="28" nillable="true" ma:displayName="Taxonomy Catch All Column" ma:hidden="true" ma:list="{934dab3b-353b-4bbe-9131-931e236f1b82}" ma:internalName="TaxCatchAll" ma:showField="CatchAllData" ma:web="9484510b-f930-464b-a977-a0a887fa0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e9fdd-c438-405d-9144-ebb6db272c1d" elementFormDefault="qualified">
    <xsd:import namespace="http://schemas.microsoft.com/office/2006/documentManagement/types"/>
    <xsd:import namespace="http://schemas.microsoft.com/office/infopath/2007/PartnerControls"/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98b9f1-cbf8-4754-8156-c78c374157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2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98e54374-fd09-435c-ac79-e87410dc23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621263-33B0-46FB-8788-E8241C14AB6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5C2FD6-C8B9-4108-920A-6CF203138E1F}">
  <ds:schemaRefs>
    <ds:schemaRef ds:uri="9484510b-f930-464b-a977-a0a887fa087d"/>
    <ds:schemaRef ds:uri="http://schemas.microsoft.com/sharepoint/v3"/>
    <ds:schemaRef ds:uri="http://purl.org/dc/elements/1.1/"/>
    <ds:schemaRef ds:uri="http://www.w3.org/XML/1998/namespace"/>
    <ds:schemaRef ds:uri="http://schemas.microsoft.com/office/2006/metadata/properties"/>
    <ds:schemaRef ds:uri="759e9fdd-c438-405d-9144-ebb6db272c1d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c98b9f1-cbf8-4754-8156-c78c3741574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A9A158-2013-46D1-AA30-135FA07E78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484510b-f930-464b-a977-a0a887fa087d"/>
    <ds:schemaRef ds:uri="759e9fdd-c438-405d-9144-ebb6db272c1d"/>
    <ds:schemaRef ds:uri="cc98b9f1-cbf8-4754-8156-c78c374157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UW - IPP ICI</vt:lpstr>
      <vt:lpstr>Rent Roll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Smith</dc:creator>
  <cp:lastModifiedBy>Amirarshia Rahimisadegh</cp:lastModifiedBy>
  <dcterms:created xsi:type="dcterms:W3CDTF">2018-04-06T17:30:59Z</dcterms:created>
  <dcterms:modified xsi:type="dcterms:W3CDTF">2026-03-14T04:53:49Z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0x010100E86CBC4442BBA345B6F8E9B92CFB4C32</vt:lpwstr>
  </property>
  <property fmtid="{D5CDD505-2E9C-101B-9397-08002B2CF9AE}" pid="3" name="AuthorIds_UIVersion_1024">
    <vt:lpwstr>30</vt:lpwstr>
  </property>
  <property fmtid="{D5CDD505-2E9C-101B-9397-08002B2CF9AE}" pid="4" name="AuthorIds_UIVersion_512">
    <vt:lpwstr>30</vt:lpwstr>
  </property>
  <property fmtid="{D5CDD505-2E9C-101B-9397-08002B2CF9AE}" pid="5" name="MediaServiceImageTags">
    <vt:lpwstr/>
  </property>
</Properties>
</file>